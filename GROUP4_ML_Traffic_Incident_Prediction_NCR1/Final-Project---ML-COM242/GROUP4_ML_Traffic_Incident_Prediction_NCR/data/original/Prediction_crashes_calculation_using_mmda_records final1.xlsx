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ESTER\Downloads\coding\school\Machine-Learning\Final_Proj\"/>
    </mc:Choice>
  </mc:AlternateContent>
  <xr:revisionPtr revIDLastSave="0" documentId="13_ncr:1_{BBA1F5DC-CD9A-4768-879A-F36A4F5EBB39}" xr6:coauthVersionLast="47" xr6:coauthVersionMax="47" xr10:uidLastSave="{00000000-0000-0000-0000-000000000000}"/>
  <bookViews>
    <workbookView xWindow="-108" yWindow="-108" windowWidth="23256" windowHeight="12456" tabRatio="500" firstSheet="3" activeTab="4" xr2:uid="{00000000-000D-0000-FFFF-FFFF00000000}"/>
  </bookViews>
  <sheets>
    <sheet name="DATASETS" sheetId="1" r:id="rId1"/>
    <sheet name="LR_CAL" sheetId="2" r:id="rId2"/>
    <sheet name="RF_CAL" sheetId="3" r:id="rId3"/>
    <sheet name="MLR_CALC" sheetId="5" r:id="rId4"/>
    <sheet name="EDSA_TEST_ROAD" sheetId="6" r:id="rId5"/>
    <sheet name="MODEL_COMPARISON" sheetId="7" r:id="rId6"/>
    <sheet name="SOURCE_DATA" sheetId="8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8" i="6" l="1"/>
  <c r="C28" i="6"/>
  <c r="D28" i="6"/>
  <c r="E28" i="6"/>
  <c r="F28" i="6"/>
  <c r="F29" i="6"/>
  <c r="E29" i="6"/>
  <c r="D29" i="6"/>
  <c r="C29" i="6"/>
  <c r="B29" i="6"/>
  <c r="K17" i="6"/>
  <c r="AB16" i="6"/>
  <c r="AC16" i="6"/>
  <c r="AD16" i="6"/>
  <c r="AE16" i="6"/>
  <c r="F30" i="6" s="1"/>
  <c r="AA16" i="6"/>
  <c r="B30" i="6" s="1"/>
  <c r="C30" i="6"/>
  <c r="D30" i="6"/>
  <c r="E30" i="6"/>
  <c r="AA7" i="6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A116" i="1"/>
  <c r="A152" i="2" s="1"/>
  <c r="A38" i="7"/>
  <c r="C53" i="2"/>
  <c r="G53" i="2"/>
  <c r="C54" i="2"/>
  <c r="G54" i="2"/>
  <c r="C55" i="2"/>
  <c r="G55" i="2"/>
  <c r="C56" i="2"/>
  <c r="G56" i="2"/>
  <c r="C57" i="2"/>
  <c r="G57" i="2"/>
  <c r="C58" i="2"/>
  <c r="G58" i="2"/>
  <c r="C59" i="2"/>
  <c r="G59" i="2"/>
  <c r="C60" i="2"/>
  <c r="G60" i="2"/>
  <c r="C61" i="2"/>
  <c r="G61" i="2"/>
  <c r="C62" i="2"/>
  <c r="G62" i="2"/>
  <c r="C63" i="2"/>
  <c r="G63" i="2"/>
  <c r="C64" i="2"/>
  <c r="G64" i="2"/>
  <c r="C65" i="2"/>
  <c r="G65" i="2"/>
  <c r="C66" i="2"/>
  <c r="G66" i="2"/>
  <c r="C67" i="2"/>
  <c r="G67" i="2"/>
  <c r="C68" i="2"/>
  <c r="G68" i="2"/>
  <c r="C69" i="2"/>
  <c r="G69" i="2"/>
  <c r="C70" i="2"/>
  <c r="G70" i="2"/>
  <c r="C71" i="2"/>
  <c r="G71" i="2"/>
  <c r="C72" i="2"/>
  <c r="G72" i="2"/>
  <c r="C73" i="2"/>
  <c r="G73" i="2"/>
  <c r="C74" i="2"/>
  <c r="G74" i="2"/>
  <c r="C75" i="2"/>
  <c r="G75" i="2"/>
  <c r="C76" i="2"/>
  <c r="G76" i="2"/>
  <c r="C77" i="2"/>
  <c r="G77" i="2"/>
  <c r="C78" i="2"/>
  <c r="G78" i="2"/>
  <c r="C79" i="2"/>
  <c r="G79" i="2"/>
  <c r="C80" i="2"/>
  <c r="G80" i="2"/>
  <c r="C81" i="2"/>
  <c r="G81" i="2"/>
  <c r="C82" i="2"/>
  <c r="G82" i="2"/>
  <c r="C83" i="2"/>
  <c r="G83" i="2"/>
  <c r="C84" i="2"/>
  <c r="G84" i="2"/>
  <c r="C85" i="2"/>
  <c r="G85" i="2"/>
  <c r="C86" i="2"/>
  <c r="G86" i="2"/>
  <c r="C87" i="2"/>
  <c r="G87" i="2"/>
  <c r="C88" i="2"/>
  <c r="G88" i="2"/>
  <c r="C89" i="2"/>
  <c r="G89" i="2"/>
  <c r="C90" i="2"/>
  <c r="G90" i="2"/>
  <c r="C91" i="2"/>
  <c r="G91" i="2"/>
  <c r="C92" i="2"/>
  <c r="G92" i="2"/>
  <c r="C93" i="2"/>
  <c r="G93" i="2"/>
  <c r="C94" i="2"/>
  <c r="G94" i="2"/>
  <c r="C95" i="2"/>
  <c r="G95" i="2"/>
  <c r="C96" i="2"/>
  <c r="G96" i="2"/>
  <c r="C97" i="2"/>
  <c r="G97" i="2"/>
  <c r="C98" i="2"/>
  <c r="G98" i="2"/>
  <c r="C99" i="2"/>
  <c r="G99" i="2"/>
  <c r="C100" i="2"/>
  <c r="G100" i="2"/>
  <c r="C101" i="2"/>
  <c r="G101" i="2"/>
  <c r="C102" i="2"/>
  <c r="G102" i="2"/>
  <c r="C103" i="2"/>
  <c r="G103" i="2"/>
  <c r="C104" i="2"/>
  <c r="G104" i="2"/>
  <c r="C105" i="2"/>
  <c r="G105" i="2"/>
  <c r="C106" i="2"/>
  <c r="G106" i="2"/>
  <c r="A107" i="2"/>
  <c r="C107" i="2"/>
  <c r="G107" i="2"/>
  <c r="A108" i="2"/>
  <c r="C108" i="2"/>
  <c r="G108" i="2"/>
  <c r="A109" i="2"/>
  <c r="C109" i="2"/>
  <c r="G109" i="2"/>
  <c r="A110" i="2"/>
  <c r="C110" i="2"/>
  <c r="G110" i="2"/>
  <c r="A111" i="2"/>
  <c r="C111" i="2"/>
  <c r="G111" i="2"/>
  <c r="A112" i="2"/>
  <c r="C112" i="2"/>
  <c r="G112" i="2"/>
  <c r="A113" i="2"/>
  <c r="C113" i="2"/>
  <c r="G113" i="2"/>
  <c r="A114" i="2"/>
  <c r="C114" i="2"/>
  <c r="G114" i="2"/>
  <c r="A115" i="2"/>
  <c r="C115" i="2"/>
  <c r="G115" i="2"/>
  <c r="C116" i="2"/>
  <c r="G116" i="2"/>
  <c r="C117" i="2"/>
  <c r="G117" i="2"/>
  <c r="C118" i="2"/>
  <c r="G118" i="2"/>
  <c r="C119" i="2"/>
  <c r="G119" i="2"/>
  <c r="C120" i="2"/>
  <c r="G120" i="2"/>
  <c r="C121" i="2"/>
  <c r="G121" i="2"/>
  <c r="C122" i="2"/>
  <c r="G122" i="2"/>
  <c r="C123" i="2"/>
  <c r="G123" i="2"/>
  <c r="C124" i="2"/>
  <c r="G124" i="2"/>
  <c r="C125" i="2"/>
  <c r="G125" i="2"/>
  <c r="C126" i="2"/>
  <c r="G126" i="2"/>
  <c r="C127" i="2"/>
  <c r="G127" i="2"/>
  <c r="C128" i="2"/>
  <c r="G128" i="2"/>
  <c r="C129" i="2"/>
  <c r="G129" i="2"/>
  <c r="C130" i="2"/>
  <c r="G130" i="2"/>
  <c r="C131" i="2"/>
  <c r="G131" i="2"/>
  <c r="C132" i="2"/>
  <c r="G132" i="2"/>
  <c r="C133" i="2"/>
  <c r="G133" i="2"/>
  <c r="C134" i="2"/>
  <c r="G134" i="2"/>
  <c r="C135" i="2"/>
  <c r="G135" i="2"/>
  <c r="C136" i="2"/>
  <c r="G136" i="2"/>
  <c r="C137" i="2"/>
  <c r="G137" i="2"/>
  <c r="C138" i="2"/>
  <c r="G138" i="2"/>
  <c r="C139" i="2"/>
  <c r="G139" i="2"/>
  <c r="C140" i="2"/>
  <c r="G140" i="2"/>
  <c r="C141" i="2"/>
  <c r="G141" i="2"/>
  <c r="C142" i="2"/>
  <c r="G142" i="2"/>
  <c r="C143" i="2"/>
  <c r="G143" i="2"/>
  <c r="C144" i="2"/>
  <c r="G144" i="2"/>
  <c r="C145" i="2"/>
  <c r="G145" i="2"/>
  <c r="C146" i="2"/>
  <c r="G146" i="2"/>
  <c r="C147" i="2"/>
  <c r="G147" i="2"/>
  <c r="C148" i="2"/>
  <c r="G148" i="2"/>
  <c r="C149" i="2"/>
  <c r="G149" i="2"/>
  <c r="C150" i="2"/>
  <c r="G150" i="2"/>
  <c r="C151" i="2"/>
  <c r="G151" i="2"/>
  <c r="C152" i="2"/>
  <c r="G152" i="2"/>
  <c r="C153" i="2"/>
  <c r="G153" i="2"/>
  <c r="C154" i="2"/>
  <c r="G154" i="2"/>
  <c r="C155" i="2"/>
  <c r="G155" i="2"/>
  <c r="C156" i="2"/>
  <c r="G156" i="2"/>
  <c r="C157" i="2"/>
  <c r="G157" i="2"/>
  <c r="C158" i="2"/>
  <c r="G158" i="2"/>
  <c r="C159" i="2"/>
  <c r="G159" i="2"/>
  <c r="C160" i="2"/>
  <c r="G160" i="2"/>
  <c r="C161" i="2"/>
  <c r="G161" i="2"/>
  <c r="C162" i="2"/>
  <c r="G162" i="2"/>
  <c r="A163" i="2"/>
  <c r="C163" i="2"/>
  <c r="G163" i="2"/>
  <c r="C164" i="2"/>
  <c r="G164" i="2"/>
  <c r="C165" i="2"/>
  <c r="G165" i="2"/>
  <c r="C166" i="2"/>
  <c r="G166" i="2"/>
  <c r="C167" i="2"/>
  <c r="G167" i="2"/>
  <c r="C168" i="2"/>
  <c r="G168" i="2"/>
  <c r="C169" i="2"/>
  <c r="G169" i="2"/>
  <c r="C170" i="2"/>
  <c r="G170" i="2"/>
  <c r="C171" i="2"/>
  <c r="G171" i="2"/>
  <c r="C172" i="2"/>
  <c r="G172" i="2"/>
  <c r="C173" i="2"/>
  <c r="G173" i="2"/>
  <c r="C174" i="2"/>
  <c r="G174" i="2"/>
  <c r="C175" i="2"/>
  <c r="G175" i="2"/>
  <c r="C176" i="2"/>
  <c r="G176" i="2"/>
  <c r="C177" i="2"/>
  <c r="G177" i="2"/>
  <c r="C178" i="2"/>
  <c r="G178" i="2"/>
  <c r="A15" i="6"/>
  <c r="A49" i="7" s="1"/>
  <c r="A14" i="6"/>
  <c r="A37" i="7" s="1"/>
  <c r="A13" i="6"/>
  <c r="A36" i="7" s="1"/>
  <c r="A12" i="6"/>
  <c r="A35" i="7" s="1"/>
  <c r="A11" i="6"/>
  <c r="A34" i="7" s="1"/>
  <c r="A10" i="6"/>
  <c r="A44" i="7" s="1"/>
  <c r="A9" i="6"/>
  <c r="A32" i="7" s="1"/>
  <c r="A8" i="6"/>
  <c r="A31" i="7" s="1"/>
  <c r="A7" i="6"/>
  <c r="A41" i="7" s="1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P113" i="5"/>
  <c r="D215" i="3"/>
  <c r="B215" i="3"/>
  <c r="D214" i="3"/>
  <c r="B214" i="3"/>
  <c r="D213" i="3"/>
  <c r="B213" i="3"/>
  <c r="D212" i="3"/>
  <c r="B212" i="3"/>
  <c r="D211" i="3"/>
  <c r="B211" i="3"/>
  <c r="D210" i="3"/>
  <c r="B210" i="3"/>
  <c r="D209" i="3"/>
  <c r="B209" i="3"/>
  <c r="D208" i="3"/>
  <c r="B208" i="3"/>
  <c r="D207" i="3"/>
  <c r="B207" i="3"/>
  <c r="D206" i="3"/>
  <c r="B206" i="3"/>
  <c r="D205" i="3"/>
  <c r="B205" i="3"/>
  <c r="D204" i="3"/>
  <c r="B204" i="3"/>
  <c r="D203" i="3"/>
  <c r="B203" i="3"/>
  <c r="D202" i="3"/>
  <c r="B202" i="3"/>
  <c r="D201" i="3"/>
  <c r="B201" i="3"/>
  <c r="D200" i="3"/>
  <c r="B200" i="3"/>
  <c r="D199" i="3"/>
  <c r="B199" i="3"/>
  <c r="D198" i="3"/>
  <c r="B198" i="3"/>
  <c r="D197" i="3"/>
  <c r="B197" i="3"/>
  <c r="D196" i="3"/>
  <c r="B196" i="3"/>
  <c r="D195" i="3"/>
  <c r="B195" i="3"/>
  <c r="D194" i="3"/>
  <c r="B194" i="3"/>
  <c r="D193" i="3"/>
  <c r="B193" i="3"/>
  <c r="D192" i="3"/>
  <c r="B192" i="3"/>
  <c r="D191" i="3"/>
  <c r="B191" i="3"/>
  <c r="D190" i="3"/>
  <c r="B190" i="3"/>
  <c r="D189" i="3"/>
  <c r="B189" i="3"/>
  <c r="D188" i="3"/>
  <c r="B188" i="3"/>
  <c r="D187" i="3"/>
  <c r="B187" i="3"/>
  <c r="D186" i="3"/>
  <c r="B186" i="3"/>
  <c r="D185" i="3"/>
  <c r="B185" i="3"/>
  <c r="D184" i="3"/>
  <c r="B184" i="3"/>
  <c r="D183" i="3"/>
  <c r="B183" i="3"/>
  <c r="D182" i="3"/>
  <c r="B182" i="3"/>
  <c r="D181" i="3"/>
  <c r="B181" i="3"/>
  <c r="D180" i="3"/>
  <c r="B180" i="3"/>
  <c r="D179" i="3"/>
  <c r="B179" i="3"/>
  <c r="D178" i="3"/>
  <c r="B178" i="3"/>
  <c r="D177" i="3"/>
  <c r="B177" i="3"/>
  <c r="D176" i="3"/>
  <c r="B176" i="3"/>
  <c r="D175" i="3"/>
  <c r="B175" i="3"/>
  <c r="D174" i="3"/>
  <c r="B174" i="3"/>
  <c r="D173" i="3"/>
  <c r="B173" i="3"/>
  <c r="D172" i="3"/>
  <c r="B172" i="3"/>
  <c r="D171" i="3"/>
  <c r="B171" i="3"/>
  <c r="D170" i="3"/>
  <c r="B170" i="3"/>
  <c r="D169" i="3"/>
  <c r="B169" i="3"/>
  <c r="D168" i="3"/>
  <c r="B168" i="3"/>
  <c r="D167" i="3"/>
  <c r="B167" i="3"/>
  <c r="D166" i="3"/>
  <c r="B166" i="3"/>
  <c r="D165" i="3"/>
  <c r="B165" i="3"/>
  <c r="D164" i="3"/>
  <c r="B164" i="3"/>
  <c r="D163" i="3"/>
  <c r="B163" i="3"/>
  <c r="D162" i="3"/>
  <c r="B162" i="3"/>
  <c r="D161" i="3"/>
  <c r="B161" i="3"/>
  <c r="D160" i="3"/>
  <c r="B160" i="3"/>
  <c r="D159" i="3"/>
  <c r="B159" i="3"/>
  <c r="D158" i="3"/>
  <c r="B158" i="3"/>
  <c r="D157" i="3"/>
  <c r="B157" i="3"/>
  <c r="D156" i="3"/>
  <c r="B156" i="3"/>
  <c r="D155" i="3"/>
  <c r="B155" i="3"/>
  <c r="D154" i="3"/>
  <c r="B154" i="3"/>
  <c r="D153" i="3"/>
  <c r="B153" i="3"/>
  <c r="D152" i="3"/>
  <c r="B152" i="3"/>
  <c r="A152" i="3"/>
  <c r="D151" i="3"/>
  <c r="B151" i="3"/>
  <c r="A151" i="3"/>
  <c r="D150" i="3"/>
  <c r="B150" i="3"/>
  <c r="A150" i="3"/>
  <c r="D149" i="3"/>
  <c r="B149" i="3"/>
  <c r="A149" i="3"/>
  <c r="D148" i="3"/>
  <c r="B148" i="3"/>
  <c r="A148" i="3"/>
  <c r="D147" i="3"/>
  <c r="B147" i="3"/>
  <c r="A147" i="3"/>
  <c r="D146" i="3"/>
  <c r="B146" i="3"/>
  <c r="A146" i="3"/>
  <c r="D145" i="3"/>
  <c r="B145" i="3"/>
  <c r="A145" i="3"/>
  <c r="D144" i="3"/>
  <c r="B144" i="3"/>
  <c r="A144" i="3"/>
  <c r="D143" i="3"/>
  <c r="B143" i="3"/>
  <c r="D142" i="3"/>
  <c r="B142" i="3"/>
  <c r="D141" i="3"/>
  <c r="B141" i="3"/>
  <c r="D140" i="3"/>
  <c r="B140" i="3"/>
  <c r="D139" i="3"/>
  <c r="B139" i="3"/>
  <c r="D138" i="3"/>
  <c r="B138" i="3"/>
  <c r="D137" i="3"/>
  <c r="B137" i="3"/>
  <c r="D136" i="3"/>
  <c r="B136" i="3"/>
  <c r="D135" i="3"/>
  <c r="B135" i="3"/>
  <c r="D134" i="3"/>
  <c r="B134" i="3"/>
  <c r="D133" i="3"/>
  <c r="B133" i="3"/>
  <c r="D132" i="3"/>
  <c r="B132" i="3"/>
  <c r="D131" i="3"/>
  <c r="B131" i="3"/>
  <c r="D130" i="3"/>
  <c r="B130" i="3"/>
  <c r="D129" i="3"/>
  <c r="B129" i="3"/>
  <c r="D128" i="3"/>
  <c r="B128" i="3"/>
  <c r="D127" i="3"/>
  <c r="B127" i="3"/>
  <c r="D126" i="3"/>
  <c r="B126" i="3"/>
  <c r="D125" i="3"/>
  <c r="B125" i="3"/>
  <c r="D124" i="3"/>
  <c r="B124" i="3"/>
  <c r="D123" i="3"/>
  <c r="B123" i="3"/>
  <c r="D122" i="3"/>
  <c r="B122" i="3"/>
  <c r="D121" i="3"/>
  <c r="B121" i="3"/>
  <c r="D120" i="3"/>
  <c r="B120" i="3"/>
  <c r="D119" i="3"/>
  <c r="B119" i="3"/>
  <c r="D118" i="3"/>
  <c r="B118" i="3"/>
  <c r="D117" i="3"/>
  <c r="B117" i="3"/>
  <c r="D116" i="3"/>
  <c r="B116" i="3"/>
  <c r="D115" i="3"/>
  <c r="B115" i="3"/>
  <c r="D114" i="3"/>
  <c r="B114" i="3"/>
  <c r="D113" i="3"/>
  <c r="B113" i="3"/>
  <c r="D112" i="3"/>
  <c r="B112" i="3"/>
  <c r="D111" i="3"/>
  <c r="B111" i="3"/>
  <c r="D110" i="3"/>
  <c r="B110" i="3"/>
  <c r="D109" i="3"/>
  <c r="B109" i="3"/>
  <c r="D108" i="3"/>
  <c r="B108" i="3"/>
  <c r="D107" i="3"/>
  <c r="B107" i="3"/>
  <c r="D106" i="3"/>
  <c r="B106" i="3"/>
  <c r="D105" i="3"/>
  <c r="B105" i="3"/>
  <c r="D104" i="3"/>
  <c r="B104" i="3"/>
  <c r="D103" i="3"/>
  <c r="B103" i="3"/>
  <c r="D102" i="3"/>
  <c r="B102" i="3"/>
  <c r="D101" i="3"/>
  <c r="B101" i="3"/>
  <c r="D100" i="3"/>
  <c r="B100" i="3"/>
  <c r="D99" i="3"/>
  <c r="B99" i="3"/>
  <c r="D98" i="3"/>
  <c r="B98" i="3"/>
  <c r="D97" i="3"/>
  <c r="B97" i="3"/>
  <c r="D96" i="3"/>
  <c r="B96" i="3"/>
  <c r="D95" i="3"/>
  <c r="B95" i="3"/>
  <c r="D94" i="3"/>
  <c r="B94" i="3"/>
  <c r="D93" i="3"/>
  <c r="B93" i="3"/>
  <c r="D92" i="3"/>
  <c r="B92" i="3"/>
  <c r="D91" i="3"/>
  <c r="B91" i="3"/>
  <c r="D90" i="3"/>
  <c r="B90" i="3"/>
  <c r="M88" i="3"/>
  <c r="B41" i="3"/>
  <c r="B39" i="3"/>
  <c r="H144" i="1"/>
  <c r="E178" i="2" s="1"/>
  <c r="G144" i="1"/>
  <c r="F144" i="1"/>
  <c r="C15" i="6" s="1"/>
  <c r="D144" i="1"/>
  <c r="F178" i="2" s="1"/>
  <c r="J178" i="2" s="1"/>
  <c r="C144" i="1"/>
  <c r="B178" i="2" s="1"/>
  <c r="I178" i="2" s="1"/>
  <c r="A144" i="1"/>
  <c r="A178" i="2" s="1"/>
  <c r="H143" i="1"/>
  <c r="E177" i="2" s="1"/>
  <c r="G143" i="1"/>
  <c r="F143" i="1"/>
  <c r="C14" i="6" s="1"/>
  <c r="D143" i="1"/>
  <c r="F177" i="2" s="1"/>
  <c r="J177" i="2" s="1"/>
  <c r="C143" i="1"/>
  <c r="B177" i="2" s="1"/>
  <c r="A143" i="1"/>
  <c r="A177" i="2" s="1"/>
  <c r="H142" i="1"/>
  <c r="E176" i="2" s="1"/>
  <c r="G142" i="1"/>
  <c r="F142" i="1"/>
  <c r="C13" i="6" s="1"/>
  <c r="D142" i="1"/>
  <c r="F176" i="2" s="1"/>
  <c r="J176" i="2" s="1"/>
  <c r="C142" i="1"/>
  <c r="B176" i="2" s="1"/>
  <c r="A142" i="1"/>
  <c r="A176" i="2" s="1"/>
  <c r="H141" i="1"/>
  <c r="E175" i="2" s="1"/>
  <c r="G141" i="1"/>
  <c r="F141" i="1"/>
  <c r="C12" i="6" s="1"/>
  <c r="D141" i="1"/>
  <c r="F175" i="2" s="1"/>
  <c r="C141" i="1"/>
  <c r="B175" i="2" s="1"/>
  <c r="I175" i="2" s="1"/>
  <c r="A141" i="1"/>
  <c r="A175" i="2" s="1"/>
  <c r="H140" i="1"/>
  <c r="E174" i="2" s="1"/>
  <c r="G140" i="1"/>
  <c r="F140" i="1"/>
  <c r="C11" i="6" s="1"/>
  <c r="D140" i="1"/>
  <c r="F174" i="2" s="1"/>
  <c r="C140" i="1"/>
  <c r="B174" i="2" s="1"/>
  <c r="A140" i="1"/>
  <c r="A174" i="2" s="1"/>
  <c r="H139" i="1"/>
  <c r="E173" i="2" s="1"/>
  <c r="G139" i="1"/>
  <c r="F139" i="1"/>
  <c r="C10" i="6" s="1"/>
  <c r="D139" i="1"/>
  <c r="F173" i="2" s="1"/>
  <c r="J173" i="2" s="1"/>
  <c r="C139" i="1"/>
  <c r="B173" i="2" s="1"/>
  <c r="A139" i="1"/>
  <c r="A173" i="2" s="1"/>
  <c r="H138" i="1"/>
  <c r="E172" i="2" s="1"/>
  <c r="G138" i="1"/>
  <c r="F138" i="1"/>
  <c r="C9" i="6" s="1"/>
  <c r="D138" i="1"/>
  <c r="F172" i="2" s="1"/>
  <c r="J172" i="2" s="1"/>
  <c r="C138" i="1"/>
  <c r="B172" i="2" s="1"/>
  <c r="A138" i="1"/>
  <c r="A172" i="2" s="1"/>
  <c r="H137" i="1"/>
  <c r="E171" i="2" s="1"/>
  <c r="G137" i="1"/>
  <c r="F137" i="1"/>
  <c r="C8" i="6" s="1"/>
  <c r="D137" i="1"/>
  <c r="F171" i="2" s="1"/>
  <c r="J171" i="2" s="1"/>
  <c r="C137" i="1"/>
  <c r="B171" i="2" s="1"/>
  <c r="I171" i="2" s="1"/>
  <c r="A137" i="1"/>
  <c r="A171" i="2" s="1"/>
  <c r="H136" i="1"/>
  <c r="E170" i="2" s="1"/>
  <c r="G136" i="1"/>
  <c r="F136" i="1"/>
  <c r="C7" i="6" s="1"/>
  <c r="D136" i="1"/>
  <c r="F170" i="2" s="1"/>
  <c r="C136" i="1"/>
  <c r="B170" i="2" s="1"/>
  <c r="I170" i="2" s="1"/>
  <c r="A136" i="1"/>
  <c r="A170" i="2" s="1"/>
  <c r="H135" i="1"/>
  <c r="G135" i="1"/>
  <c r="F135" i="1"/>
  <c r="D135" i="1"/>
  <c r="C135" i="1"/>
  <c r="A135" i="1"/>
  <c r="H134" i="1"/>
  <c r="E169" i="2" s="1"/>
  <c r="G134" i="1"/>
  <c r="F134" i="1"/>
  <c r="D134" i="1"/>
  <c r="F169" i="2" s="1"/>
  <c r="J169" i="2" s="1"/>
  <c r="C134" i="1"/>
  <c r="B169" i="2" s="1"/>
  <c r="A134" i="1"/>
  <c r="A169" i="2" s="1"/>
  <c r="H133" i="1"/>
  <c r="E168" i="2" s="1"/>
  <c r="G133" i="1"/>
  <c r="F133" i="1"/>
  <c r="D133" i="1"/>
  <c r="F168" i="2" s="1"/>
  <c r="J168" i="2" s="1"/>
  <c r="C133" i="1"/>
  <c r="B168" i="2" s="1"/>
  <c r="A133" i="1"/>
  <c r="A168" i="2" s="1"/>
  <c r="H132" i="1"/>
  <c r="E167" i="2" s="1"/>
  <c r="G132" i="1"/>
  <c r="F132" i="1"/>
  <c r="D132" i="1"/>
  <c r="F167" i="2" s="1"/>
  <c r="J167" i="2" s="1"/>
  <c r="C132" i="1"/>
  <c r="B167" i="2" s="1"/>
  <c r="A132" i="1"/>
  <c r="A167" i="2" s="1"/>
  <c r="H131" i="1"/>
  <c r="E166" i="2" s="1"/>
  <c r="G131" i="1"/>
  <c r="F131" i="1"/>
  <c r="D131" i="1"/>
  <c r="F166" i="2" s="1"/>
  <c r="J166" i="2" s="1"/>
  <c r="C131" i="1"/>
  <c r="B166" i="2" s="1"/>
  <c r="I166" i="2" s="1"/>
  <c r="A131" i="1"/>
  <c r="A166" i="2" s="1"/>
  <c r="H130" i="1"/>
  <c r="E165" i="2" s="1"/>
  <c r="G130" i="1"/>
  <c r="F130" i="1"/>
  <c r="D130" i="1"/>
  <c r="F165" i="2" s="1"/>
  <c r="C130" i="1"/>
  <c r="B165" i="2" s="1"/>
  <c r="A130" i="1"/>
  <c r="A165" i="2" s="1"/>
  <c r="H129" i="1"/>
  <c r="E164" i="2" s="1"/>
  <c r="G129" i="1"/>
  <c r="F129" i="1"/>
  <c r="D129" i="1"/>
  <c r="F164" i="2" s="1"/>
  <c r="J164" i="2" s="1"/>
  <c r="C129" i="1"/>
  <c r="B164" i="2" s="1"/>
  <c r="A129" i="1"/>
  <c r="A164" i="2" s="1"/>
  <c r="H128" i="1"/>
  <c r="E163" i="2" s="1"/>
  <c r="G128" i="1"/>
  <c r="F128" i="1"/>
  <c r="D128" i="1"/>
  <c r="F163" i="2" s="1"/>
  <c r="C128" i="1"/>
  <c r="B163" i="2" s="1"/>
  <c r="A128" i="1"/>
  <c r="H127" i="1"/>
  <c r="E162" i="2" s="1"/>
  <c r="G127" i="1"/>
  <c r="F127" i="1"/>
  <c r="D127" i="1"/>
  <c r="F162" i="2" s="1"/>
  <c r="J162" i="2" s="1"/>
  <c r="C127" i="1"/>
  <c r="B162" i="2" s="1"/>
  <c r="A127" i="1"/>
  <c r="A162" i="2" s="1"/>
  <c r="H126" i="1"/>
  <c r="E161" i="2" s="1"/>
  <c r="G126" i="1"/>
  <c r="F126" i="1"/>
  <c r="D126" i="1"/>
  <c r="F161" i="2" s="1"/>
  <c r="C126" i="1"/>
  <c r="B161" i="2" s="1"/>
  <c r="I161" i="2" s="1"/>
  <c r="A126" i="1"/>
  <c r="A161" i="2" s="1"/>
  <c r="H125" i="1"/>
  <c r="G125" i="1"/>
  <c r="F125" i="1"/>
  <c r="D125" i="1"/>
  <c r="C125" i="1"/>
  <c r="A125" i="1"/>
  <c r="H124" i="1"/>
  <c r="E160" i="2" s="1"/>
  <c r="G124" i="1"/>
  <c r="F124" i="1"/>
  <c r="D124" i="1"/>
  <c r="F160" i="2" s="1"/>
  <c r="J160" i="2" s="1"/>
  <c r="C124" i="1"/>
  <c r="B160" i="2" s="1"/>
  <c r="A124" i="1"/>
  <c r="A160" i="2" s="1"/>
  <c r="H123" i="1"/>
  <c r="E159" i="2" s="1"/>
  <c r="G123" i="1"/>
  <c r="F123" i="1"/>
  <c r="D123" i="1"/>
  <c r="F159" i="2" s="1"/>
  <c r="J159" i="2" s="1"/>
  <c r="C123" i="1"/>
  <c r="B159" i="2" s="1"/>
  <c r="A123" i="1"/>
  <c r="A159" i="2" s="1"/>
  <c r="H122" i="1"/>
  <c r="E158" i="2" s="1"/>
  <c r="G122" i="1"/>
  <c r="F122" i="1"/>
  <c r="D122" i="1"/>
  <c r="F158" i="2" s="1"/>
  <c r="C122" i="1"/>
  <c r="B158" i="2" s="1"/>
  <c r="A122" i="1"/>
  <c r="A158" i="2" s="1"/>
  <c r="H121" i="1"/>
  <c r="E157" i="2" s="1"/>
  <c r="G121" i="1"/>
  <c r="F121" i="1"/>
  <c r="D121" i="1"/>
  <c r="F157" i="2" s="1"/>
  <c r="C121" i="1"/>
  <c r="B157" i="2" s="1"/>
  <c r="I157" i="2" s="1"/>
  <c r="A121" i="1"/>
  <c r="A157" i="2" s="1"/>
  <c r="H120" i="1"/>
  <c r="E156" i="2" s="1"/>
  <c r="G120" i="1"/>
  <c r="F120" i="1"/>
  <c r="D120" i="1"/>
  <c r="F156" i="2" s="1"/>
  <c r="J156" i="2" s="1"/>
  <c r="C120" i="1"/>
  <c r="B156" i="2" s="1"/>
  <c r="I156" i="2" s="1"/>
  <c r="A120" i="1"/>
  <c r="A156" i="2" s="1"/>
  <c r="H119" i="1"/>
  <c r="E155" i="2" s="1"/>
  <c r="G119" i="1"/>
  <c r="F119" i="1"/>
  <c r="D119" i="1"/>
  <c r="F155" i="2" s="1"/>
  <c r="J155" i="2" s="1"/>
  <c r="C119" i="1"/>
  <c r="B155" i="2" s="1"/>
  <c r="A119" i="1"/>
  <c r="A155" i="2" s="1"/>
  <c r="H118" i="1"/>
  <c r="E154" i="2" s="1"/>
  <c r="G118" i="1"/>
  <c r="F118" i="1"/>
  <c r="D118" i="1"/>
  <c r="F154" i="2" s="1"/>
  <c r="J154" i="2" s="1"/>
  <c r="C118" i="1"/>
  <c r="B154" i="2" s="1"/>
  <c r="A118" i="1"/>
  <c r="A154" i="2" s="1"/>
  <c r="H117" i="1"/>
  <c r="E153" i="2" s="1"/>
  <c r="G117" i="1"/>
  <c r="F117" i="1"/>
  <c r="D117" i="1"/>
  <c r="F153" i="2" s="1"/>
  <c r="J153" i="2" s="1"/>
  <c r="C117" i="1"/>
  <c r="B153" i="2" s="1"/>
  <c r="A117" i="1"/>
  <c r="A153" i="2" s="1"/>
  <c r="H116" i="1"/>
  <c r="E152" i="2" s="1"/>
  <c r="G116" i="1"/>
  <c r="F116" i="1"/>
  <c r="D116" i="1"/>
  <c r="F152" i="2" s="1"/>
  <c r="J152" i="2" s="1"/>
  <c r="C116" i="1"/>
  <c r="B152" i="2" s="1"/>
  <c r="H115" i="1"/>
  <c r="G115" i="1"/>
  <c r="F115" i="1"/>
  <c r="D115" i="1"/>
  <c r="C115" i="1"/>
  <c r="A115" i="1"/>
  <c r="H114" i="1"/>
  <c r="E151" i="2" s="1"/>
  <c r="G114" i="1"/>
  <c r="F114" i="1"/>
  <c r="D114" i="1"/>
  <c r="F151" i="2" s="1"/>
  <c r="J151" i="2" s="1"/>
  <c r="C114" i="1"/>
  <c r="B151" i="2" s="1"/>
  <c r="I151" i="2" s="1"/>
  <c r="A114" i="1"/>
  <c r="A151" i="2" s="1"/>
  <c r="H113" i="1"/>
  <c r="E150" i="2" s="1"/>
  <c r="G113" i="1"/>
  <c r="F113" i="1"/>
  <c r="D113" i="1"/>
  <c r="F150" i="2" s="1"/>
  <c r="C113" i="1"/>
  <c r="B150" i="2" s="1"/>
  <c r="A113" i="1"/>
  <c r="A150" i="2" s="1"/>
  <c r="H112" i="1"/>
  <c r="E149" i="2" s="1"/>
  <c r="G112" i="1"/>
  <c r="F112" i="1"/>
  <c r="D112" i="1"/>
  <c r="F149" i="2" s="1"/>
  <c r="J149" i="2" s="1"/>
  <c r="C112" i="1"/>
  <c r="B149" i="2" s="1"/>
  <c r="I149" i="2" s="1"/>
  <c r="A112" i="1"/>
  <c r="A149" i="2" s="1"/>
  <c r="H111" i="1"/>
  <c r="E148" i="2" s="1"/>
  <c r="G111" i="1"/>
  <c r="F111" i="1"/>
  <c r="D111" i="1"/>
  <c r="F148" i="2" s="1"/>
  <c r="C111" i="1"/>
  <c r="B148" i="2" s="1"/>
  <c r="A111" i="1"/>
  <c r="A148" i="2" s="1"/>
  <c r="H110" i="1"/>
  <c r="E147" i="2" s="1"/>
  <c r="G110" i="1"/>
  <c r="F110" i="1"/>
  <c r="D110" i="1"/>
  <c r="F147" i="2" s="1"/>
  <c r="J147" i="2" s="1"/>
  <c r="C110" i="1"/>
  <c r="B147" i="2" s="1"/>
  <c r="I147" i="2" s="1"/>
  <c r="A110" i="1"/>
  <c r="A147" i="2" s="1"/>
  <c r="H109" i="1"/>
  <c r="E146" i="2" s="1"/>
  <c r="G109" i="1"/>
  <c r="F109" i="1"/>
  <c r="D109" i="1"/>
  <c r="F146" i="2" s="1"/>
  <c r="J146" i="2" s="1"/>
  <c r="C109" i="1"/>
  <c r="B146" i="2" s="1"/>
  <c r="I146" i="2" s="1"/>
  <c r="A109" i="1"/>
  <c r="A146" i="2" s="1"/>
  <c r="H108" i="1"/>
  <c r="E145" i="2" s="1"/>
  <c r="G108" i="1"/>
  <c r="F108" i="1"/>
  <c r="D108" i="1"/>
  <c r="F145" i="2" s="1"/>
  <c r="J145" i="2" s="1"/>
  <c r="C108" i="1"/>
  <c r="B145" i="2" s="1"/>
  <c r="I145" i="2" s="1"/>
  <c r="A108" i="1"/>
  <c r="A145" i="2" s="1"/>
  <c r="H107" i="1"/>
  <c r="E144" i="2" s="1"/>
  <c r="G107" i="1"/>
  <c r="F107" i="1"/>
  <c r="D107" i="1"/>
  <c r="F144" i="2" s="1"/>
  <c r="J144" i="2" s="1"/>
  <c r="C107" i="1"/>
  <c r="B144" i="2" s="1"/>
  <c r="A107" i="1"/>
  <c r="A144" i="2" s="1"/>
  <c r="H106" i="1"/>
  <c r="E143" i="2" s="1"/>
  <c r="G106" i="1"/>
  <c r="F106" i="1"/>
  <c r="D106" i="1"/>
  <c r="F143" i="2" s="1"/>
  <c r="J143" i="2" s="1"/>
  <c r="C106" i="1"/>
  <c r="B143" i="2" s="1"/>
  <c r="A106" i="1"/>
  <c r="A143" i="2" s="1"/>
  <c r="H105" i="1"/>
  <c r="G105" i="1"/>
  <c r="F105" i="1"/>
  <c r="D105" i="1"/>
  <c r="C105" i="1"/>
  <c r="A105" i="1"/>
  <c r="H104" i="1"/>
  <c r="E142" i="2" s="1"/>
  <c r="G104" i="1"/>
  <c r="F104" i="1"/>
  <c r="D104" i="1"/>
  <c r="F142" i="2" s="1"/>
  <c r="J142" i="2" s="1"/>
  <c r="C104" i="1"/>
  <c r="B142" i="2" s="1"/>
  <c r="A104" i="1"/>
  <c r="A142" i="2" s="1"/>
  <c r="H103" i="1"/>
  <c r="E141" i="2" s="1"/>
  <c r="G103" i="1"/>
  <c r="F103" i="1"/>
  <c r="D103" i="1"/>
  <c r="F141" i="2" s="1"/>
  <c r="J141" i="2" s="1"/>
  <c r="C103" i="1"/>
  <c r="B141" i="2" s="1"/>
  <c r="A103" i="1"/>
  <c r="A141" i="2" s="1"/>
  <c r="H102" i="1"/>
  <c r="E140" i="2" s="1"/>
  <c r="G102" i="1"/>
  <c r="F102" i="1"/>
  <c r="D102" i="1"/>
  <c r="F140" i="2" s="1"/>
  <c r="J140" i="2" s="1"/>
  <c r="C102" i="1"/>
  <c r="B140" i="2" s="1"/>
  <c r="A102" i="1"/>
  <c r="A140" i="2" s="1"/>
  <c r="H101" i="1"/>
  <c r="E139" i="2" s="1"/>
  <c r="G101" i="1"/>
  <c r="F101" i="1"/>
  <c r="D101" i="1"/>
  <c r="F139" i="2" s="1"/>
  <c r="J139" i="2" s="1"/>
  <c r="C101" i="1"/>
  <c r="B139" i="2" s="1"/>
  <c r="I139" i="2" s="1"/>
  <c r="A101" i="1"/>
  <c r="A139" i="2" s="1"/>
  <c r="H100" i="1"/>
  <c r="E138" i="2" s="1"/>
  <c r="G100" i="1"/>
  <c r="F100" i="1"/>
  <c r="D100" i="1"/>
  <c r="F138" i="2" s="1"/>
  <c r="C100" i="1"/>
  <c r="B138" i="2" s="1"/>
  <c r="I138" i="2" s="1"/>
  <c r="A100" i="1"/>
  <c r="A138" i="2" s="1"/>
  <c r="H99" i="1"/>
  <c r="E137" i="2" s="1"/>
  <c r="G99" i="1"/>
  <c r="F99" i="1"/>
  <c r="D99" i="1"/>
  <c r="F137" i="2" s="1"/>
  <c r="J137" i="2" s="1"/>
  <c r="C99" i="1"/>
  <c r="B137" i="2" s="1"/>
  <c r="A99" i="1"/>
  <c r="A137" i="2" s="1"/>
  <c r="H98" i="1"/>
  <c r="E136" i="2" s="1"/>
  <c r="G98" i="1"/>
  <c r="F98" i="1"/>
  <c r="D98" i="1"/>
  <c r="F136" i="2" s="1"/>
  <c r="J136" i="2" s="1"/>
  <c r="C98" i="1"/>
  <c r="B136" i="2" s="1"/>
  <c r="A98" i="1"/>
  <c r="A136" i="2" s="1"/>
  <c r="H97" i="1"/>
  <c r="E135" i="2" s="1"/>
  <c r="G97" i="1"/>
  <c r="F97" i="1"/>
  <c r="D97" i="1"/>
  <c r="F135" i="2" s="1"/>
  <c r="J135" i="2" s="1"/>
  <c r="C97" i="1"/>
  <c r="B135" i="2" s="1"/>
  <c r="A97" i="1"/>
  <c r="A135" i="2" s="1"/>
  <c r="H96" i="1"/>
  <c r="E134" i="2" s="1"/>
  <c r="G96" i="1"/>
  <c r="F96" i="1"/>
  <c r="D96" i="1"/>
  <c r="F134" i="2" s="1"/>
  <c r="J134" i="2" s="1"/>
  <c r="C96" i="1"/>
  <c r="B134" i="2" s="1"/>
  <c r="A96" i="1"/>
  <c r="A134" i="2" s="1"/>
  <c r="H95" i="1"/>
  <c r="G95" i="1"/>
  <c r="F95" i="1"/>
  <c r="D95" i="1"/>
  <c r="C95" i="1"/>
  <c r="A95" i="1"/>
  <c r="H94" i="1"/>
  <c r="E133" i="2" s="1"/>
  <c r="G94" i="1"/>
  <c r="F94" i="1"/>
  <c r="D94" i="1"/>
  <c r="F133" i="2" s="1"/>
  <c r="C94" i="1"/>
  <c r="B133" i="2" s="1"/>
  <c r="I133" i="2" s="1"/>
  <c r="A94" i="1"/>
  <c r="A133" i="2" s="1"/>
  <c r="H93" i="1"/>
  <c r="E132" i="2" s="1"/>
  <c r="G93" i="1"/>
  <c r="F93" i="1"/>
  <c r="D93" i="1"/>
  <c r="F132" i="2" s="1"/>
  <c r="J132" i="2" s="1"/>
  <c r="C93" i="1"/>
  <c r="B132" i="2" s="1"/>
  <c r="A93" i="1"/>
  <c r="A132" i="2" s="1"/>
  <c r="H92" i="1"/>
  <c r="E131" i="2" s="1"/>
  <c r="G92" i="1"/>
  <c r="F92" i="1"/>
  <c r="D92" i="1"/>
  <c r="F131" i="2" s="1"/>
  <c r="C92" i="1"/>
  <c r="B131" i="2" s="1"/>
  <c r="I131" i="2" s="1"/>
  <c r="A92" i="1"/>
  <c r="A131" i="2" s="1"/>
  <c r="H91" i="1"/>
  <c r="E130" i="2" s="1"/>
  <c r="G91" i="1"/>
  <c r="F91" i="1"/>
  <c r="D91" i="1"/>
  <c r="F130" i="2" s="1"/>
  <c r="C91" i="1"/>
  <c r="B130" i="2" s="1"/>
  <c r="I130" i="2" s="1"/>
  <c r="A91" i="1"/>
  <c r="A130" i="2" s="1"/>
  <c r="H90" i="1"/>
  <c r="E129" i="2" s="1"/>
  <c r="G90" i="1"/>
  <c r="F90" i="1"/>
  <c r="D90" i="1"/>
  <c r="F129" i="2" s="1"/>
  <c r="J129" i="2" s="1"/>
  <c r="C90" i="1"/>
  <c r="B129" i="2" s="1"/>
  <c r="A90" i="1"/>
  <c r="H89" i="1"/>
  <c r="E128" i="2" s="1"/>
  <c r="G89" i="1"/>
  <c r="F89" i="1"/>
  <c r="D89" i="1"/>
  <c r="F128" i="2" s="1"/>
  <c r="C89" i="1"/>
  <c r="B128" i="2" s="1"/>
  <c r="I128" i="2" s="1"/>
  <c r="A89" i="1"/>
  <c r="A128" i="2" s="1"/>
  <c r="H88" i="1"/>
  <c r="E127" i="2" s="1"/>
  <c r="G88" i="1"/>
  <c r="F88" i="1"/>
  <c r="D88" i="1"/>
  <c r="F127" i="2" s="1"/>
  <c r="J127" i="2" s="1"/>
  <c r="C88" i="1"/>
  <c r="B127" i="2" s="1"/>
  <c r="A88" i="1"/>
  <c r="A127" i="2" s="1"/>
  <c r="H87" i="1"/>
  <c r="E126" i="2" s="1"/>
  <c r="G87" i="1"/>
  <c r="F87" i="1"/>
  <c r="D87" i="1"/>
  <c r="F126" i="2" s="1"/>
  <c r="C87" i="1"/>
  <c r="B126" i="2" s="1"/>
  <c r="I126" i="2" s="1"/>
  <c r="A87" i="1"/>
  <c r="A126" i="2" s="1"/>
  <c r="H86" i="1"/>
  <c r="E125" i="2" s="1"/>
  <c r="G86" i="1"/>
  <c r="F86" i="1"/>
  <c r="D86" i="1"/>
  <c r="F125" i="2" s="1"/>
  <c r="C86" i="1"/>
  <c r="B125" i="2" s="1"/>
  <c r="I125" i="2" s="1"/>
  <c r="A86" i="1"/>
  <c r="A125" i="2" s="1"/>
  <c r="H85" i="1"/>
  <c r="G85" i="1"/>
  <c r="F85" i="1"/>
  <c r="D85" i="1"/>
  <c r="C85" i="1"/>
  <c r="A85" i="1"/>
  <c r="H84" i="1"/>
  <c r="E124" i="2" s="1"/>
  <c r="G84" i="1"/>
  <c r="F84" i="1"/>
  <c r="D84" i="1"/>
  <c r="F124" i="2" s="1"/>
  <c r="J124" i="2" s="1"/>
  <c r="C84" i="1"/>
  <c r="B124" i="2" s="1"/>
  <c r="H124" i="2" s="1"/>
  <c r="A84" i="1"/>
  <c r="A124" i="2" s="1"/>
  <c r="H83" i="1"/>
  <c r="E123" i="2" s="1"/>
  <c r="G83" i="1"/>
  <c r="F83" i="1"/>
  <c r="D83" i="1"/>
  <c r="F123" i="2" s="1"/>
  <c r="J123" i="2" s="1"/>
  <c r="C83" i="1"/>
  <c r="B123" i="2" s="1"/>
  <c r="A83" i="1"/>
  <c r="A123" i="2" s="1"/>
  <c r="H82" i="1"/>
  <c r="E122" i="2" s="1"/>
  <c r="G82" i="1"/>
  <c r="F82" i="1"/>
  <c r="D82" i="1"/>
  <c r="F122" i="2" s="1"/>
  <c r="J122" i="2" s="1"/>
  <c r="C82" i="1"/>
  <c r="B122" i="2" s="1"/>
  <c r="A82" i="1"/>
  <c r="A122" i="2" s="1"/>
  <c r="H81" i="1"/>
  <c r="E121" i="2" s="1"/>
  <c r="G81" i="1"/>
  <c r="F81" i="1"/>
  <c r="D81" i="1"/>
  <c r="F121" i="2" s="1"/>
  <c r="J121" i="2" s="1"/>
  <c r="C81" i="1"/>
  <c r="B121" i="2" s="1"/>
  <c r="A81" i="1"/>
  <c r="A121" i="2" s="1"/>
  <c r="H80" i="1"/>
  <c r="E120" i="2" s="1"/>
  <c r="G80" i="1"/>
  <c r="F80" i="1"/>
  <c r="D80" i="1"/>
  <c r="F120" i="2" s="1"/>
  <c r="J120" i="2" s="1"/>
  <c r="C80" i="1"/>
  <c r="B120" i="2" s="1"/>
  <c r="I120" i="2" s="1"/>
  <c r="A80" i="1"/>
  <c r="A120" i="2" s="1"/>
  <c r="H79" i="1"/>
  <c r="E119" i="2" s="1"/>
  <c r="G79" i="1"/>
  <c r="F79" i="1"/>
  <c r="D79" i="1"/>
  <c r="F119" i="2" s="1"/>
  <c r="C79" i="1"/>
  <c r="B119" i="2" s="1"/>
  <c r="A79" i="1"/>
  <c r="A119" i="2" s="1"/>
  <c r="H78" i="1"/>
  <c r="E118" i="2" s="1"/>
  <c r="G78" i="1"/>
  <c r="F78" i="1"/>
  <c r="D78" i="1"/>
  <c r="F118" i="2" s="1"/>
  <c r="J118" i="2" s="1"/>
  <c r="C78" i="1"/>
  <c r="B118" i="2" s="1"/>
  <c r="A78" i="1"/>
  <c r="A118" i="2" s="1"/>
  <c r="H77" i="1"/>
  <c r="E117" i="2" s="1"/>
  <c r="G77" i="1"/>
  <c r="F77" i="1"/>
  <c r="D77" i="1"/>
  <c r="F117" i="2" s="1"/>
  <c r="C77" i="1"/>
  <c r="B117" i="2" s="1"/>
  <c r="A77" i="1"/>
  <c r="A117" i="2" s="1"/>
  <c r="H76" i="1"/>
  <c r="E116" i="2" s="1"/>
  <c r="G76" i="1"/>
  <c r="F76" i="1"/>
  <c r="D76" i="1"/>
  <c r="F116" i="2" s="1"/>
  <c r="J116" i="2" s="1"/>
  <c r="C76" i="1"/>
  <c r="B116" i="2" s="1"/>
  <c r="I116" i="2" s="1"/>
  <c r="A76" i="1"/>
  <c r="A116" i="2" s="1"/>
  <c r="H75" i="1"/>
  <c r="G75" i="1"/>
  <c r="F75" i="1"/>
  <c r="D75" i="1"/>
  <c r="C75" i="1"/>
  <c r="A75" i="1"/>
  <c r="H74" i="1"/>
  <c r="E115" i="2" s="1"/>
  <c r="F74" i="1"/>
  <c r="D74" i="1"/>
  <c r="F115" i="2" s="1"/>
  <c r="C74" i="1"/>
  <c r="B115" i="2" s="1"/>
  <c r="I115" i="2" s="1"/>
  <c r="H73" i="1"/>
  <c r="E114" i="2" s="1"/>
  <c r="F73" i="1"/>
  <c r="G73" i="1" s="1"/>
  <c r="D73" i="1"/>
  <c r="F114" i="2" s="1"/>
  <c r="J114" i="2" s="1"/>
  <c r="C73" i="1"/>
  <c r="B114" i="2" s="1"/>
  <c r="H72" i="1"/>
  <c r="E113" i="2" s="1"/>
  <c r="F72" i="1"/>
  <c r="D72" i="1"/>
  <c r="F113" i="2" s="1"/>
  <c r="J113" i="2" s="1"/>
  <c r="C72" i="1"/>
  <c r="B113" i="2" s="1"/>
  <c r="H71" i="1"/>
  <c r="G71" i="1" s="1"/>
  <c r="F71" i="1"/>
  <c r="D71" i="1"/>
  <c r="F112" i="2" s="1"/>
  <c r="J112" i="2" s="1"/>
  <c r="C71" i="1"/>
  <c r="B112" i="2" s="1"/>
  <c r="I112" i="2" s="1"/>
  <c r="H70" i="1"/>
  <c r="E111" i="2" s="1"/>
  <c r="F70" i="1"/>
  <c r="D70" i="1"/>
  <c r="F111" i="2" s="1"/>
  <c r="J111" i="2" s="1"/>
  <c r="C70" i="1"/>
  <c r="B111" i="2" s="1"/>
  <c r="I111" i="2" s="1"/>
  <c r="H69" i="1"/>
  <c r="E110" i="2" s="1"/>
  <c r="F69" i="1"/>
  <c r="G69" i="1" s="1"/>
  <c r="D69" i="1"/>
  <c r="F110" i="2" s="1"/>
  <c r="C69" i="1"/>
  <c r="B110" i="2" s="1"/>
  <c r="I110" i="2" s="1"/>
  <c r="H68" i="1"/>
  <c r="E109" i="2" s="1"/>
  <c r="F68" i="1"/>
  <c r="G68" i="1" s="1"/>
  <c r="D68" i="1"/>
  <c r="F109" i="2" s="1"/>
  <c r="J109" i="2" s="1"/>
  <c r="C68" i="1"/>
  <c r="B109" i="2" s="1"/>
  <c r="H67" i="1"/>
  <c r="E108" i="2" s="1"/>
  <c r="F67" i="1"/>
  <c r="D67" i="1"/>
  <c r="F108" i="2" s="1"/>
  <c r="J108" i="2" s="1"/>
  <c r="C67" i="1"/>
  <c r="B108" i="2" s="1"/>
  <c r="H108" i="2" s="1"/>
  <c r="H66" i="1"/>
  <c r="E107" i="2" s="1"/>
  <c r="F66" i="1"/>
  <c r="D66" i="1"/>
  <c r="F107" i="2" s="1"/>
  <c r="J107" i="2" s="1"/>
  <c r="C66" i="1"/>
  <c r="B107" i="2" s="1"/>
  <c r="H65" i="1"/>
  <c r="G65" i="1"/>
  <c r="F65" i="1"/>
  <c r="D65" i="1"/>
  <c r="C65" i="1"/>
  <c r="H64" i="1"/>
  <c r="E106" i="2" s="1"/>
  <c r="G64" i="1"/>
  <c r="F64" i="1"/>
  <c r="D64" i="1"/>
  <c r="F106" i="2" s="1"/>
  <c r="C64" i="1"/>
  <c r="B106" i="2" s="1"/>
  <c r="I106" i="2" s="1"/>
  <c r="A64" i="1"/>
  <c r="A106" i="2" s="1"/>
  <c r="H63" i="1"/>
  <c r="E105" i="2" s="1"/>
  <c r="G63" i="1"/>
  <c r="F63" i="1"/>
  <c r="D63" i="1"/>
  <c r="F105" i="2" s="1"/>
  <c r="J105" i="2" s="1"/>
  <c r="C63" i="1"/>
  <c r="B105" i="2" s="1"/>
  <c r="A63" i="1"/>
  <c r="A105" i="2" s="1"/>
  <c r="H62" i="1"/>
  <c r="E104" i="2" s="1"/>
  <c r="G62" i="1"/>
  <c r="F62" i="1"/>
  <c r="D62" i="1"/>
  <c r="F104" i="2" s="1"/>
  <c r="J104" i="2" s="1"/>
  <c r="C62" i="1"/>
  <c r="B104" i="2" s="1"/>
  <c r="A62" i="1"/>
  <c r="H61" i="1"/>
  <c r="E103" i="2" s="1"/>
  <c r="G61" i="1"/>
  <c r="F61" i="1"/>
  <c r="D61" i="1"/>
  <c r="F103" i="2" s="1"/>
  <c r="C61" i="1"/>
  <c r="B103" i="2" s="1"/>
  <c r="A61" i="1"/>
  <c r="A103" i="2" s="1"/>
  <c r="H60" i="1"/>
  <c r="E102" i="2" s="1"/>
  <c r="G60" i="1"/>
  <c r="F60" i="1"/>
  <c r="D60" i="1"/>
  <c r="F102" i="2" s="1"/>
  <c r="J102" i="2" s="1"/>
  <c r="C60" i="1"/>
  <c r="B102" i="2" s="1"/>
  <c r="I102" i="2" s="1"/>
  <c r="A60" i="1"/>
  <c r="A102" i="2" s="1"/>
  <c r="H59" i="1"/>
  <c r="E101" i="2" s="1"/>
  <c r="G59" i="1"/>
  <c r="F59" i="1"/>
  <c r="D59" i="1"/>
  <c r="F101" i="2" s="1"/>
  <c r="J101" i="2" s="1"/>
  <c r="C59" i="1"/>
  <c r="B101" i="2" s="1"/>
  <c r="I101" i="2" s="1"/>
  <c r="A59" i="1"/>
  <c r="A101" i="2" s="1"/>
  <c r="H58" i="1"/>
  <c r="E100" i="2" s="1"/>
  <c r="G58" i="1"/>
  <c r="F58" i="1"/>
  <c r="D58" i="1"/>
  <c r="F100" i="2" s="1"/>
  <c r="J100" i="2" s="1"/>
  <c r="C58" i="1"/>
  <c r="B100" i="2" s="1"/>
  <c r="A58" i="1"/>
  <c r="A100" i="2" s="1"/>
  <c r="H57" i="1"/>
  <c r="E99" i="2" s="1"/>
  <c r="G57" i="1"/>
  <c r="F57" i="1"/>
  <c r="D57" i="1"/>
  <c r="F99" i="2" s="1"/>
  <c r="J99" i="2" s="1"/>
  <c r="C57" i="1"/>
  <c r="B99" i="2" s="1"/>
  <c r="A57" i="1"/>
  <c r="H56" i="1"/>
  <c r="E98" i="2" s="1"/>
  <c r="G56" i="1"/>
  <c r="F56" i="1"/>
  <c r="D56" i="1"/>
  <c r="F98" i="2" s="1"/>
  <c r="J98" i="2" s="1"/>
  <c r="C56" i="1"/>
  <c r="B98" i="2" s="1"/>
  <c r="I98" i="2" s="1"/>
  <c r="A56" i="1"/>
  <c r="A98" i="2" s="1"/>
  <c r="H55" i="1"/>
  <c r="G55" i="1"/>
  <c r="F55" i="1"/>
  <c r="D55" i="1"/>
  <c r="C55" i="1"/>
  <c r="A55" i="1"/>
  <c r="H54" i="1"/>
  <c r="E97" i="2" s="1"/>
  <c r="G54" i="1"/>
  <c r="F54" i="1"/>
  <c r="D54" i="1"/>
  <c r="F97" i="2" s="1"/>
  <c r="J97" i="2" s="1"/>
  <c r="C54" i="1"/>
  <c r="B97" i="2" s="1"/>
  <c r="H97" i="2" s="1"/>
  <c r="A54" i="1"/>
  <c r="A97" i="2" s="1"/>
  <c r="H53" i="1"/>
  <c r="E96" i="2" s="1"/>
  <c r="G53" i="1"/>
  <c r="F53" i="1"/>
  <c r="D53" i="1"/>
  <c r="F96" i="2" s="1"/>
  <c r="C53" i="1"/>
  <c r="B96" i="2" s="1"/>
  <c r="A53" i="1"/>
  <c r="A96" i="2" s="1"/>
  <c r="H52" i="1"/>
  <c r="E95" i="2" s="1"/>
  <c r="G52" i="1"/>
  <c r="F52" i="1"/>
  <c r="D52" i="1"/>
  <c r="F95" i="2" s="1"/>
  <c r="C52" i="1"/>
  <c r="B95" i="2" s="1"/>
  <c r="A52" i="1"/>
  <c r="A95" i="2" s="1"/>
  <c r="H51" i="1"/>
  <c r="E94" i="2" s="1"/>
  <c r="G51" i="1"/>
  <c r="F51" i="1"/>
  <c r="D51" i="1"/>
  <c r="F94" i="2" s="1"/>
  <c r="C51" i="1"/>
  <c r="B94" i="2" s="1"/>
  <c r="I94" i="2" s="1"/>
  <c r="A51" i="1"/>
  <c r="A94" i="2" s="1"/>
  <c r="H50" i="1"/>
  <c r="E93" i="2" s="1"/>
  <c r="G50" i="1"/>
  <c r="F50" i="1"/>
  <c r="D50" i="1"/>
  <c r="F93" i="2" s="1"/>
  <c r="J93" i="2" s="1"/>
  <c r="C50" i="1"/>
  <c r="B93" i="2" s="1"/>
  <c r="H93" i="2" s="1"/>
  <c r="A50" i="1"/>
  <c r="A93" i="2" s="1"/>
  <c r="H49" i="1"/>
  <c r="E92" i="2" s="1"/>
  <c r="G49" i="1"/>
  <c r="F49" i="1"/>
  <c r="D49" i="1"/>
  <c r="F92" i="2" s="1"/>
  <c r="J92" i="2" s="1"/>
  <c r="C49" i="1"/>
  <c r="B92" i="2" s="1"/>
  <c r="I92" i="2" s="1"/>
  <c r="A49" i="1"/>
  <c r="A92" i="2" s="1"/>
  <c r="H48" i="1"/>
  <c r="E91" i="2" s="1"/>
  <c r="G48" i="1"/>
  <c r="F48" i="1"/>
  <c r="D48" i="1"/>
  <c r="F91" i="2" s="1"/>
  <c r="J91" i="2" s="1"/>
  <c r="C48" i="1"/>
  <c r="B91" i="2" s="1"/>
  <c r="A48" i="1"/>
  <c r="A91" i="2" s="1"/>
  <c r="H47" i="1"/>
  <c r="E90" i="2" s="1"/>
  <c r="G47" i="1"/>
  <c r="F47" i="1"/>
  <c r="D47" i="1"/>
  <c r="F90" i="2" s="1"/>
  <c r="C47" i="1"/>
  <c r="B90" i="2" s="1"/>
  <c r="A47" i="1"/>
  <c r="A90" i="2" s="1"/>
  <c r="H46" i="1"/>
  <c r="E89" i="2" s="1"/>
  <c r="G46" i="1"/>
  <c r="F46" i="1"/>
  <c r="D46" i="1"/>
  <c r="F89" i="2" s="1"/>
  <c r="J89" i="2" s="1"/>
  <c r="C46" i="1"/>
  <c r="B89" i="2" s="1"/>
  <c r="I89" i="2" s="1"/>
  <c r="A46" i="1"/>
  <c r="H45" i="1"/>
  <c r="G45" i="1"/>
  <c r="F45" i="1"/>
  <c r="D45" i="1"/>
  <c r="C45" i="1"/>
  <c r="A45" i="1"/>
  <c r="H44" i="1"/>
  <c r="E88" i="2" s="1"/>
  <c r="G44" i="1"/>
  <c r="F44" i="1"/>
  <c r="D44" i="1"/>
  <c r="F88" i="2" s="1"/>
  <c r="J88" i="2" s="1"/>
  <c r="C44" i="1"/>
  <c r="B88" i="2" s="1"/>
  <c r="A44" i="1"/>
  <c r="A88" i="2" s="1"/>
  <c r="H43" i="1"/>
  <c r="E87" i="2" s="1"/>
  <c r="G43" i="1"/>
  <c r="F43" i="1"/>
  <c r="D43" i="1"/>
  <c r="F87" i="2" s="1"/>
  <c r="C43" i="1"/>
  <c r="B87" i="2" s="1"/>
  <c r="A43" i="1"/>
  <c r="A87" i="2" s="1"/>
  <c r="H42" i="1"/>
  <c r="E86" i="2" s="1"/>
  <c r="G42" i="1"/>
  <c r="F42" i="1"/>
  <c r="D42" i="1"/>
  <c r="F86" i="2" s="1"/>
  <c r="C42" i="1"/>
  <c r="B86" i="2" s="1"/>
  <c r="I86" i="2" s="1"/>
  <c r="A42" i="1"/>
  <c r="A86" i="2" s="1"/>
  <c r="H41" i="1"/>
  <c r="E85" i="2" s="1"/>
  <c r="G41" i="1"/>
  <c r="F41" i="1"/>
  <c r="D41" i="1"/>
  <c r="F85" i="2" s="1"/>
  <c r="C41" i="1"/>
  <c r="B85" i="2" s="1"/>
  <c r="I85" i="2" s="1"/>
  <c r="A41" i="1"/>
  <c r="A85" i="2" s="1"/>
  <c r="H40" i="1"/>
  <c r="E84" i="2" s="1"/>
  <c r="G40" i="1"/>
  <c r="F40" i="1"/>
  <c r="D40" i="1"/>
  <c r="F84" i="2" s="1"/>
  <c r="C40" i="1"/>
  <c r="B84" i="2" s="1"/>
  <c r="I84" i="2" s="1"/>
  <c r="A40" i="1"/>
  <c r="A84" i="2" s="1"/>
  <c r="H39" i="1"/>
  <c r="E83" i="2" s="1"/>
  <c r="G39" i="1"/>
  <c r="F39" i="1"/>
  <c r="D39" i="1"/>
  <c r="F83" i="2" s="1"/>
  <c r="J83" i="2" s="1"/>
  <c r="C39" i="1"/>
  <c r="B83" i="2" s="1"/>
  <c r="A39" i="1"/>
  <c r="A83" i="2" s="1"/>
  <c r="H38" i="1"/>
  <c r="E82" i="2" s="1"/>
  <c r="G38" i="1"/>
  <c r="F38" i="1"/>
  <c r="D38" i="1"/>
  <c r="F82" i="2" s="1"/>
  <c r="J82" i="2" s="1"/>
  <c r="C38" i="1"/>
  <c r="B82" i="2" s="1"/>
  <c r="A38" i="1"/>
  <c r="A82" i="2" s="1"/>
  <c r="H37" i="1"/>
  <c r="E81" i="2" s="1"/>
  <c r="G37" i="1"/>
  <c r="F37" i="1"/>
  <c r="D37" i="1"/>
  <c r="F81" i="2" s="1"/>
  <c r="J81" i="2" s="1"/>
  <c r="C37" i="1"/>
  <c r="B81" i="2" s="1"/>
  <c r="A37" i="1"/>
  <c r="A81" i="2" s="1"/>
  <c r="H36" i="1"/>
  <c r="E80" i="2" s="1"/>
  <c r="G36" i="1"/>
  <c r="F36" i="1"/>
  <c r="D36" i="1"/>
  <c r="F80" i="2" s="1"/>
  <c r="J80" i="2" s="1"/>
  <c r="C36" i="1"/>
  <c r="B80" i="2" s="1"/>
  <c r="A36" i="1"/>
  <c r="A80" i="2" s="1"/>
  <c r="H35" i="1"/>
  <c r="G35" i="1"/>
  <c r="F35" i="1"/>
  <c r="D35" i="1"/>
  <c r="C35" i="1"/>
  <c r="A35" i="1"/>
  <c r="H34" i="1"/>
  <c r="E79" i="2" s="1"/>
  <c r="G34" i="1"/>
  <c r="F34" i="1"/>
  <c r="D34" i="1"/>
  <c r="F79" i="2" s="1"/>
  <c r="J79" i="2" s="1"/>
  <c r="C34" i="1"/>
  <c r="B79" i="2" s="1"/>
  <c r="H79" i="2" s="1"/>
  <c r="A34" i="1"/>
  <c r="A79" i="2" s="1"/>
  <c r="H33" i="1"/>
  <c r="E78" i="2" s="1"/>
  <c r="G33" i="1"/>
  <c r="F33" i="1"/>
  <c r="D33" i="1"/>
  <c r="F78" i="2" s="1"/>
  <c r="C33" i="1"/>
  <c r="B78" i="2" s="1"/>
  <c r="A33" i="1"/>
  <c r="A78" i="2" s="1"/>
  <c r="H32" i="1"/>
  <c r="E77" i="2" s="1"/>
  <c r="G32" i="1"/>
  <c r="F32" i="1"/>
  <c r="D32" i="1"/>
  <c r="F77" i="2" s="1"/>
  <c r="J77" i="2" s="1"/>
  <c r="C32" i="1"/>
  <c r="B77" i="2" s="1"/>
  <c r="A32" i="1"/>
  <c r="A77" i="2" s="1"/>
  <c r="H31" i="1"/>
  <c r="E76" i="2" s="1"/>
  <c r="G31" i="1"/>
  <c r="F31" i="1"/>
  <c r="D31" i="1"/>
  <c r="F76" i="2" s="1"/>
  <c r="C31" i="1"/>
  <c r="B76" i="2" s="1"/>
  <c r="A31" i="1"/>
  <c r="A76" i="2" s="1"/>
  <c r="H30" i="1"/>
  <c r="E75" i="2" s="1"/>
  <c r="G30" i="1"/>
  <c r="F30" i="1"/>
  <c r="D30" i="1"/>
  <c r="F75" i="2" s="1"/>
  <c r="J75" i="2" s="1"/>
  <c r="C30" i="1"/>
  <c r="B75" i="2" s="1"/>
  <c r="A30" i="1"/>
  <c r="A75" i="2" s="1"/>
  <c r="H29" i="1"/>
  <c r="E74" i="2" s="1"/>
  <c r="G29" i="1"/>
  <c r="F29" i="1"/>
  <c r="D29" i="1"/>
  <c r="F74" i="2" s="1"/>
  <c r="J74" i="2" s="1"/>
  <c r="C29" i="1"/>
  <c r="B74" i="2" s="1"/>
  <c r="A29" i="1"/>
  <c r="A74" i="2" s="1"/>
  <c r="H28" i="1"/>
  <c r="E73" i="2" s="1"/>
  <c r="G28" i="1"/>
  <c r="F28" i="1"/>
  <c r="D28" i="1"/>
  <c r="F73" i="2" s="1"/>
  <c r="J73" i="2" s="1"/>
  <c r="C28" i="1"/>
  <c r="B73" i="2" s="1"/>
  <c r="A28" i="1"/>
  <c r="A73" i="2" s="1"/>
  <c r="H27" i="1"/>
  <c r="E72" i="2" s="1"/>
  <c r="G27" i="1"/>
  <c r="F27" i="1"/>
  <c r="D27" i="1"/>
  <c r="F72" i="2" s="1"/>
  <c r="J72" i="2" s="1"/>
  <c r="C27" i="1"/>
  <c r="B72" i="2" s="1"/>
  <c r="I72" i="2" s="1"/>
  <c r="A27" i="1"/>
  <c r="A72" i="2" s="1"/>
  <c r="H26" i="1"/>
  <c r="E71" i="2" s="1"/>
  <c r="G26" i="1"/>
  <c r="F26" i="1"/>
  <c r="D26" i="1"/>
  <c r="F71" i="2" s="1"/>
  <c r="C26" i="1"/>
  <c r="B71" i="2" s="1"/>
  <c r="A26" i="1"/>
  <c r="A71" i="2" s="1"/>
  <c r="H25" i="1"/>
  <c r="G25" i="1"/>
  <c r="F25" i="1"/>
  <c r="D25" i="1"/>
  <c r="C25" i="1"/>
  <c r="A25" i="1"/>
  <c r="H24" i="1"/>
  <c r="E70" i="2" s="1"/>
  <c r="G24" i="1"/>
  <c r="F24" i="1"/>
  <c r="D24" i="1"/>
  <c r="F70" i="2" s="1"/>
  <c r="J70" i="2" s="1"/>
  <c r="C24" i="1"/>
  <c r="B70" i="2" s="1"/>
  <c r="A24" i="1"/>
  <c r="A70" i="2" s="1"/>
  <c r="H23" i="1"/>
  <c r="E69" i="2" s="1"/>
  <c r="G23" i="1"/>
  <c r="F23" i="1"/>
  <c r="D23" i="1"/>
  <c r="F69" i="2" s="1"/>
  <c r="C23" i="1"/>
  <c r="B69" i="2" s="1"/>
  <c r="I69" i="2" s="1"/>
  <c r="A23" i="1"/>
  <c r="A69" i="2" s="1"/>
  <c r="H22" i="1"/>
  <c r="E68" i="2" s="1"/>
  <c r="G22" i="1"/>
  <c r="F22" i="1"/>
  <c r="D22" i="1"/>
  <c r="F68" i="2" s="1"/>
  <c r="C22" i="1"/>
  <c r="B68" i="2" s="1"/>
  <c r="I68" i="2" s="1"/>
  <c r="A22" i="1"/>
  <c r="A68" i="2" s="1"/>
  <c r="H21" i="1"/>
  <c r="E67" i="2" s="1"/>
  <c r="G21" i="1"/>
  <c r="F21" i="1"/>
  <c r="D21" i="1"/>
  <c r="F67" i="2" s="1"/>
  <c r="J67" i="2" s="1"/>
  <c r="C21" i="1"/>
  <c r="B67" i="2" s="1"/>
  <c r="I67" i="2" s="1"/>
  <c r="A21" i="1"/>
  <c r="A67" i="2" s="1"/>
  <c r="H20" i="1"/>
  <c r="E66" i="2" s="1"/>
  <c r="G20" i="1"/>
  <c r="F20" i="1"/>
  <c r="D20" i="1"/>
  <c r="F66" i="2" s="1"/>
  <c r="J66" i="2" s="1"/>
  <c r="C20" i="1"/>
  <c r="B66" i="2" s="1"/>
  <c r="A20" i="1"/>
  <c r="A66" i="2" s="1"/>
  <c r="H19" i="1"/>
  <c r="E65" i="2" s="1"/>
  <c r="G19" i="1"/>
  <c r="F19" i="1"/>
  <c r="D19" i="1"/>
  <c r="F65" i="2" s="1"/>
  <c r="J65" i="2" s="1"/>
  <c r="C19" i="1"/>
  <c r="B65" i="2" s="1"/>
  <c r="A19" i="1"/>
  <c r="A65" i="2" s="1"/>
  <c r="H18" i="1"/>
  <c r="E64" i="2" s="1"/>
  <c r="G18" i="1"/>
  <c r="F18" i="1"/>
  <c r="D18" i="1"/>
  <c r="F64" i="2" s="1"/>
  <c r="J64" i="2" s="1"/>
  <c r="C18" i="1"/>
  <c r="B64" i="2" s="1"/>
  <c r="A18" i="1"/>
  <c r="A64" i="2" s="1"/>
  <c r="H17" i="1"/>
  <c r="E63" i="2" s="1"/>
  <c r="G17" i="1"/>
  <c r="F17" i="1"/>
  <c r="D17" i="1"/>
  <c r="F63" i="2" s="1"/>
  <c r="C17" i="1"/>
  <c r="B63" i="2" s="1"/>
  <c r="I63" i="2" s="1"/>
  <c r="A17" i="1"/>
  <c r="A63" i="2" s="1"/>
  <c r="H16" i="1"/>
  <c r="E62" i="2" s="1"/>
  <c r="G16" i="1"/>
  <c r="F16" i="1"/>
  <c r="D16" i="1"/>
  <c r="F62" i="2" s="1"/>
  <c r="C16" i="1"/>
  <c r="B62" i="2" s="1"/>
  <c r="A16" i="1"/>
  <c r="A62" i="2" s="1"/>
  <c r="H15" i="1"/>
  <c r="G15" i="1"/>
  <c r="F15" i="1"/>
  <c r="D15" i="1"/>
  <c r="C15" i="1"/>
  <c r="A15" i="1"/>
  <c r="H14" i="1"/>
  <c r="E61" i="2" s="1"/>
  <c r="G14" i="1"/>
  <c r="F14" i="1"/>
  <c r="D14" i="1"/>
  <c r="F61" i="2" s="1"/>
  <c r="J61" i="2" s="1"/>
  <c r="C14" i="1"/>
  <c r="B61" i="2" s="1"/>
  <c r="A14" i="1"/>
  <c r="A61" i="2" s="1"/>
  <c r="H13" i="1"/>
  <c r="E60" i="2" s="1"/>
  <c r="G13" i="1"/>
  <c r="F13" i="1"/>
  <c r="D13" i="1"/>
  <c r="F60" i="2" s="1"/>
  <c r="C13" i="1"/>
  <c r="B60" i="2" s="1"/>
  <c r="A13" i="1"/>
  <c r="A60" i="2" s="1"/>
  <c r="N12" i="1"/>
  <c r="H12" i="1"/>
  <c r="E59" i="2" s="1"/>
  <c r="G12" i="1"/>
  <c r="F12" i="1"/>
  <c r="D12" i="1"/>
  <c r="F59" i="2" s="1"/>
  <c r="J59" i="2" s="1"/>
  <c r="C12" i="1"/>
  <c r="B59" i="2" s="1"/>
  <c r="A12" i="1"/>
  <c r="A59" i="2" s="1"/>
  <c r="H11" i="1"/>
  <c r="E58" i="2" s="1"/>
  <c r="G11" i="1"/>
  <c r="F11" i="1"/>
  <c r="D11" i="1"/>
  <c r="F58" i="2" s="1"/>
  <c r="J58" i="2" s="1"/>
  <c r="C11" i="1"/>
  <c r="B58" i="2" s="1"/>
  <c r="H58" i="2" s="1"/>
  <c r="A11" i="1"/>
  <c r="A58" i="2" s="1"/>
  <c r="H10" i="1"/>
  <c r="E57" i="2" s="1"/>
  <c r="G10" i="1"/>
  <c r="F10" i="1"/>
  <c r="D10" i="1"/>
  <c r="F57" i="2" s="1"/>
  <c r="J57" i="2" s="1"/>
  <c r="C10" i="1"/>
  <c r="B57" i="2" s="1"/>
  <c r="I57" i="2" s="1"/>
  <c r="A10" i="1"/>
  <c r="A57" i="2" s="1"/>
  <c r="H9" i="1"/>
  <c r="E56" i="2" s="1"/>
  <c r="G9" i="1"/>
  <c r="F9" i="1"/>
  <c r="D9" i="1"/>
  <c r="F56" i="2" s="1"/>
  <c r="J56" i="2" s="1"/>
  <c r="C9" i="1"/>
  <c r="B56" i="2" s="1"/>
  <c r="A9" i="1"/>
  <c r="A56" i="2" s="1"/>
  <c r="N8" i="1"/>
  <c r="H8" i="1"/>
  <c r="E55" i="2" s="1"/>
  <c r="G8" i="1"/>
  <c r="F8" i="1"/>
  <c r="D8" i="1"/>
  <c r="F55" i="2" s="1"/>
  <c r="C8" i="1"/>
  <c r="B55" i="2" s="1"/>
  <c r="A8" i="1"/>
  <c r="A55" i="2" s="1"/>
  <c r="N7" i="1"/>
  <c r="H7" i="1"/>
  <c r="E54" i="2" s="1"/>
  <c r="G7" i="1"/>
  <c r="F7" i="1"/>
  <c r="D7" i="1"/>
  <c r="F54" i="2" s="1"/>
  <c r="J54" i="2" s="1"/>
  <c r="C7" i="1"/>
  <c r="B54" i="2" s="1"/>
  <c r="H54" i="2" s="1"/>
  <c r="A7" i="1"/>
  <c r="A54" i="2" s="1"/>
  <c r="H6" i="1"/>
  <c r="E53" i="2" s="1"/>
  <c r="G6" i="1"/>
  <c r="F6" i="1"/>
  <c r="D6" i="1"/>
  <c r="F53" i="2" s="1"/>
  <c r="J53" i="2" s="1"/>
  <c r="C6" i="1"/>
  <c r="B53" i="2" s="1"/>
  <c r="A6" i="1"/>
  <c r="I72" i="1" s="1"/>
  <c r="D113" i="2" s="1"/>
  <c r="H5" i="1"/>
  <c r="G5" i="1"/>
  <c r="F5" i="1"/>
  <c r="D5" i="1"/>
  <c r="C5" i="1"/>
  <c r="A5" i="1"/>
  <c r="I69" i="1" s="1"/>
  <c r="J69" i="1" s="1"/>
  <c r="H125" i="2" l="1"/>
  <c r="G72" i="1"/>
  <c r="H135" i="2"/>
  <c r="H69" i="2"/>
  <c r="H172" i="2"/>
  <c r="I5" i="1"/>
  <c r="H60" i="2"/>
  <c r="H81" i="2"/>
  <c r="G70" i="1"/>
  <c r="H132" i="2"/>
  <c r="H175" i="2"/>
  <c r="I6" i="1"/>
  <c r="D53" i="2" s="1"/>
  <c r="H163" i="2"/>
  <c r="G67" i="1"/>
  <c r="H70" i="2"/>
  <c r="H109" i="2"/>
  <c r="H137" i="2"/>
  <c r="H176" i="2"/>
  <c r="I76" i="2"/>
  <c r="H76" i="2"/>
  <c r="H83" i="2"/>
  <c r="H105" i="2"/>
  <c r="H114" i="2"/>
  <c r="H177" i="2"/>
  <c r="I143" i="2"/>
  <c r="H143" i="2"/>
  <c r="H153" i="2"/>
  <c r="H85" i="2"/>
  <c r="I164" i="2"/>
  <c r="H164" i="2"/>
  <c r="I152" i="2"/>
  <c r="H152" i="2"/>
  <c r="B9" i="2"/>
  <c r="H53" i="2"/>
  <c r="I65" i="2"/>
  <c r="H65" i="2"/>
  <c r="H159" i="2"/>
  <c r="I173" i="2"/>
  <c r="H173" i="2"/>
  <c r="I99" i="2"/>
  <c r="H99" i="2"/>
  <c r="H61" i="2"/>
  <c r="I61" i="2"/>
  <c r="I82" i="2"/>
  <c r="H82" i="2"/>
  <c r="I104" i="2"/>
  <c r="H104" i="2"/>
  <c r="H154" i="2"/>
  <c r="I154" i="2"/>
  <c r="H123" i="2"/>
  <c r="I123" i="2"/>
  <c r="H56" i="2"/>
  <c r="H113" i="2"/>
  <c r="I105" i="1"/>
  <c r="K105" i="1" s="1"/>
  <c r="H168" i="2"/>
  <c r="H155" i="2"/>
  <c r="H115" i="2"/>
  <c r="I46" i="1"/>
  <c r="D89" i="2" s="1"/>
  <c r="I135" i="1"/>
  <c r="I30" i="1"/>
  <c r="D75" i="2" s="1"/>
  <c r="I62" i="1"/>
  <c r="D104" i="2" s="1"/>
  <c r="E112" i="2"/>
  <c r="I41" i="1"/>
  <c r="D85" i="2" s="1"/>
  <c r="I67" i="1"/>
  <c r="D108" i="2" s="1"/>
  <c r="I70" i="1"/>
  <c r="D111" i="2" s="1"/>
  <c r="I73" i="1"/>
  <c r="D114" i="2" s="1"/>
  <c r="I90" i="1"/>
  <c r="D129" i="2" s="1"/>
  <c r="I106" i="1"/>
  <c r="D143" i="2" s="1"/>
  <c r="A53" i="2"/>
  <c r="I14" i="1"/>
  <c r="D61" i="2" s="1"/>
  <c r="I125" i="1"/>
  <c r="I25" i="1"/>
  <c r="K25" i="1" s="1"/>
  <c r="I85" i="1"/>
  <c r="A89" i="2"/>
  <c r="I57" i="1"/>
  <c r="D99" i="2" s="1"/>
  <c r="I15" i="1"/>
  <c r="J15" i="1" s="1"/>
  <c r="G74" i="1"/>
  <c r="A104" i="2"/>
  <c r="A99" i="2"/>
  <c r="I65" i="1"/>
  <c r="K65" i="1" s="1"/>
  <c r="I68" i="1"/>
  <c r="D109" i="2" s="1"/>
  <c r="I74" i="1"/>
  <c r="K74" i="1" s="1"/>
  <c r="A129" i="2"/>
  <c r="I75" i="1"/>
  <c r="I83" i="1"/>
  <c r="D123" i="2" s="1"/>
  <c r="I99" i="1"/>
  <c r="D137" i="2" s="1"/>
  <c r="I115" i="1"/>
  <c r="I109" i="1"/>
  <c r="D146" i="2" s="1"/>
  <c r="I45" i="1"/>
  <c r="K45" i="1" s="1"/>
  <c r="G66" i="1"/>
  <c r="I71" i="1"/>
  <c r="D112" i="2" s="1"/>
  <c r="I66" i="1"/>
  <c r="K66" i="1" s="1"/>
  <c r="D110" i="2"/>
  <c r="B7" i="2"/>
  <c r="H67" i="2"/>
  <c r="H107" i="2"/>
  <c r="I108" i="2"/>
  <c r="H106" i="2"/>
  <c r="I53" i="2"/>
  <c r="H55" i="2"/>
  <c r="I172" i="2"/>
  <c r="H171" i="2"/>
  <c r="H127" i="2"/>
  <c r="H110" i="2"/>
  <c r="H100" i="2"/>
  <c r="B10" i="2"/>
  <c r="H150" i="2"/>
  <c r="H142" i="2"/>
  <c r="H139" i="2"/>
  <c r="H121" i="2"/>
  <c r="I93" i="2"/>
  <c r="H77" i="2"/>
  <c r="H71" i="2"/>
  <c r="H57" i="2"/>
  <c r="I127" i="2"/>
  <c r="I159" i="2"/>
  <c r="I155" i="2"/>
  <c r="H144" i="2"/>
  <c r="H129" i="2"/>
  <c r="H75" i="2"/>
  <c r="H73" i="2"/>
  <c r="H147" i="2"/>
  <c r="H101" i="2"/>
  <c r="I132" i="2"/>
  <c r="H157" i="2"/>
  <c r="H126" i="2"/>
  <c r="I177" i="2"/>
  <c r="J175" i="2"/>
  <c r="H151" i="2"/>
  <c r="I113" i="2"/>
  <c r="B8" i="2"/>
  <c r="H118" i="2"/>
  <c r="H89" i="2"/>
  <c r="A48" i="7"/>
  <c r="A47" i="7"/>
  <c r="A43" i="7"/>
  <c r="A33" i="7"/>
  <c r="A42" i="7"/>
  <c r="A30" i="7"/>
  <c r="A46" i="7"/>
  <c r="A45" i="7"/>
  <c r="C7" i="5"/>
  <c r="H156" i="2"/>
  <c r="H160" i="2"/>
  <c r="I97" i="2"/>
  <c r="I83" i="2"/>
  <c r="H72" i="2"/>
  <c r="I70" i="2"/>
  <c r="J157" i="2"/>
  <c r="H136" i="2"/>
  <c r="J126" i="2"/>
  <c r="H112" i="2"/>
  <c r="H161" i="2"/>
  <c r="I137" i="2"/>
  <c r="H134" i="2"/>
  <c r="I100" i="2"/>
  <c r="I81" i="2"/>
  <c r="H68" i="2"/>
  <c r="H63" i="2"/>
  <c r="I150" i="2"/>
  <c r="I135" i="2"/>
  <c r="I124" i="2"/>
  <c r="I109" i="2"/>
  <c r="I79" i="2"/>
  <c r="I77" i="2"/>
  <c r="I58" i="2"/>
  <c r="I144" i="2"/>
  <c r="I129" i="2"/>
  <c r="I118" i="2"/>
  <c r="I114" i="2"/>
  <c r="I107" i="2"/>
  <c r="H98" i="2"/>
  <c r="I75" i="2"/>
  <c r="I168" i="2"/>
  <c r="I153" i="2"/>
  <c r="H146" i="2"/>
  <c r="I142" i="2"/>
  <c r="I105" i="2"/>
  <c r="I54" i="2"/>
  <c r="H162" i="2"/>
  <c r="I162" i="2"/>
  <c r="H130" i="2"/>
  <c r="J130" i="2"/>
  <c r="I78" i="2"/>
  <c r="H78" i="2"/>
  <c r="J174" i="2"/>
  <c r="H167" i="2"/>
  <c r="I167" i="2"/>
  <c r="H169" i="2"/>
  <c r="I169" i="2"/>
  <c r="J133" i="2"/>
  <c r="J94" i="2"/>
  <c r="H94" i="2"/>
  <c r="J138" i="2"/>
  <c r="H138" i="2"/>
  <c r="H170" i="2"/>
  <c r="H174" i="2"/>
  <c r="I174" i="2"/>
  <c r="J161" i="2"/>
  <c r="J158" i="2"/>
  <c r="H141" i="2"/>
  <c r="I141" i="2"/>
  <c r="H74" i="2"/>
  <c r="I74" i="2"/>
  <c r="H91" i="2"/>
  <c r="I91" i="2"/>
  <c r="H178" i="2"/>
  <c r="J148" i="2"/>
  <c r="I163" i="2"/>
  <c r="H158" i="2"/>
  <c r="I158" i="2"/>
  <c r="H128" i="2"/>
  <c r="H122" i="2"/>
  <c r="I122" i="2"/>
  <c r="J165" i="2"/>
  <c r="H165" i="2"/>
  <c r="I165" i="2"/>
  <c r="J163" i="2"/>
  <c r="H148" i="2"/>
  <c r="I148" i="2"/>
  <c r="H87" i="2"/>
  <c r="I87" i="2"/>
  <c r="J170" i="2"/>
  <c r="H166" i="2"/>
  <c r="J119" i="2"/>
  <c r="H145" i="2"/>
  <c r="H120" i="2"/>
  <c r="H84" i="2"/>
  <c r="J84" i="2"/>
  <c r="H59" i="2"/>
  <c r="I59" i="2"/>
  <c r="J95" i="2"/>
  <c r="H133" i="2"/>
  <c r="H119" i="2"/>
  <c r="I119" i="2"/>
  <c r="J117" i="2"/>
  <c r="J115" i="2"/>
  <c r="J103" i="2"/>
  <c r="H102" i="2"/>
  <c r="J96" i="2"/>
  <c r="H88" i="2"/>
  <c r="I88" i="2"/>
  <c r="H140" i="2"/>
  <c r="I140" i="2"/>
  <c r="J106" i="2"/>
  <c r="H95" i="2"/>
  <c r="I95" i="2"/>
  <c r="I176" i="2"/>
  <c r="I160" i="2"/>
  <c r="I134" i="2"/>
  <c r="J90" i="2"/>
  <c r="I66" i="2"/>
  <c r="H66" i="2"/>
  <c r="H131" i="2"/>
  <c r="J125" i="2"/>
  <c r="H117" i="2"/>
  <c r="H116" i="2"/>
  <c r="H96" i="2"/>
  <c r="I96" i="2"/>
  <c r="I62" i="2"/>
  <c r="H62" i="2"/>
  <c r="H149" i="2"/>
  <c r="H86" i="2"/>
  <c r="J86" i="2"/>
  <c r="H64" i="2"/>
  <c r="I64" i="2"/>
  <c r="J150" i="2"/>
  <c r="I136" i="2"/>
  <c r="J131" i="2"/>
  <c r="H111" i="2"/>
  <c r="J128" i="2"/>
  <c r="I121" i="2"/>
  <c r="H90" i="2"/>
  <c r="H92" i="2"/>
  <c r="J76" i="2"/>
  <c r="I73" i="2"/>
  <c r="J55" i="2"/>
  <c r="D21" i="2"/>
  <c r="J110" i="2"/>
  <c r="J87" i="2"/>
  <c r="J68" i="2"/>
  <c r="J71" i="2"/>
  <c r="B6" i="2"/>
  <c r="J69" i="2"/>
  <c r="I60" i="2"/>
  <c r="J62" i="2"/>
  <c r="J78" i="2"/>
  <c r="I117" i="2"/>
  <c r="I90" i="2"/>
  <c r="J85" i="2"/>
  <c r="H80" i="2"/>
  <c r="I80" i="2"/>
  <c r="J60" i="2"/>
  <c r="I56" i="2"/>
  <c r="H103" i="2"/>
  <c r="I103" i="2"/>
  <c r="J63" i="2"/>
  <c r="B11" i="2"/>
  <c r="C21" i="2"/>
  <c r="B21" i="2"/>
  <c r="I71" i="2"/>
  <c r="I55" i="2"/>
  <c r="J109" i="1"/>
  <c r="K115" i="1"/>
  <c r="J115" i="1"/>
  <c r="K75" i="1"/>
  <c r="J75" i="1"/>
  <c r="D189" i="5"/>
  <c r="D119" i="5"/>
  <c r="E90" i="3"/>
  <c r="J6" i="1"/>
  <c r="K6" i="1"/>
  <c r="D155" i="5"/>
  <c r="E126" i="3"/>
  <c r="J46" i="1"/>
  <c r="E141" i="3"/>
  <c r="K62" i="1"/>
  <c r="K135" i="1"/>
  <c r="J135" i="1"/>
  <c r="D151" i="5"/>
  <c r="E122" i="3"/>
  <c r="K41" i="1"/>
  <c r="J41" i="1"/>
  <c r="E136" i="3"/>
  <c r="J25" i="1"/>
  <c r="D209" i="5"/>
  <c r="E180" i="3"/>
  <c r="K106" i="1"/>
  <c r="J106" i="1"/>
  <c r="D195" i="5"/>
  <c r="E166" i="3"/>
  <c r="K90" i="1"/>
  <c r="J90" i="1"/>
  <c r="K85" i="1"/>
  <c r="J85" i="1"/>
  <c r="K125" i="1"/>
  <c r="J125" i="1"/>
  <c r="A121" i="5"/>
  <c r="A92" i="3"/>
  <c r="A130" i="5"/>
  <c r="A101" i="3"/>
  <c r="I28" i="1"/>
  <c r="D73" i="2" s="1"/>
  <c r="F143" i="5"/>
  <c r="T114" i="3"/>
  <c r="A145" i="5"/>
  <c r="A116" i="3"/>
  <c r="E147" i="5"/>
  <c r="F118" i="3"/>
  <c r="C151" i="5"/>
  <c r="C122" i="3"/>
  <c r="I44" i="1"/>
  <c r="D88" i="2" s="1"/>
  <c r="F157" i="5"/>
  <c r="T128" i="3"/>
  <c r="A159" i="5"/>
  <c r="A130" i="3"/>
  <c r="E162" i="5"/>
  <c r="F133" i="3"/>
  <c r="C165" i="5"/>
  <c r="C136" i="3"/>
  <c r="I60" i="1"/>
  <c r="D102" i="2" s="1"/>
  <c r="F172" i="5"/>
  <c r="T143" i="3"/>
  <c r="F173" i="5"/>
  <c r="T144" i="3"/>
  <c r="F175" i="5"/>
  <c r="T146" i="3"/>
  <c r="F177" i="5"/>
  <c r="T148" i="3"/>
  <c r="F179" i="5"/>
  <c r="T150" i="3"/>
  <c r="F181" i="5"/>
  <c r="T152" i="3"/>
  <c r="A182" i="5"/>
  <c r="Q113" i="5"/>
  <c r="A153" i="3"/>
  <c r="N88" i="3"/>
  <c r="E185" i="5"/>
  <c r="F156" i="3"/>
  <c r="C189" i="5"/>
  <c r="C160" i="3"/>
  <c r="I86" i="1"/>
  <c r="D125" i="2" s="1"/>
  <c r="F195" i="5"/>
  <c r="T166" i="3"/>
  <c r="A197" i="5"/>
  <c r="A168" i="3"/>
  <c r="C203" i="5"/>
  <c r="C174" i="3"/>
  <c r="I102" i="1"/>
  <c r="D140" i="2" s="1"/>
  <c r="F209" i="5"/>
  <c r="T180" i="3"/>
  <c r="A211" i="5"/>
  <c r="A182" i="3"/>
  <c r="E214" i="5"/>
  <c r="F185" i="3"/>
  <c r="I118" i="1"/>
  <c r="D154" i="2" s="1"/>
  <c r="F224" i="5"/>
  <c r="T195" i="3"/>
  <c r="A226" i="5"/>
  <c r="A197" i="3"/>
  <c r="E228" i="5"/>
  <c r="F199" i="3"/>
  <c r="C232" i="5"/>
  <c r="C203" i="3"/>
  <c r="I134" i="1"/>
  <c r="D169" i="2" s="1"/>
  <c r="E9" i="6"/>
  <c r="B32" i="7" s="1"/>
  <c r="F238" i="5"/>
  <c r="T209" i="3"/>
  <c r="A240" i="5"/>
  <c r="A211" i="3"/>
  <c r="D14" i="6"/>
  <c r="E243" i="5"/>
  <c r="F214" i="3"/>
  <c r="I21" i="1"/>
  <c r="D67" i="2" s="1"/>
  <c r="I37" i="1"/>
  <c r="D81" i="2" s="1"/>
  <c r="F151" i="5"/>
  <c r="T122" i="3"/>
  <c r="A153" i="5"/>
  <c r="A124" i="3"/>
  <c r="N112" i="5"/>
  <c r="E155" i="5"/>
  <c r="F126" i="3"/>
  <c r="C159" i="5"/>
  <c r="C130" i="3"/>
  <c r="I53" i="1"/>
  <c r="D96" i="2" s="1"/>
  <c r="F165" i="5"/>
  <c r="T136" i="3"/>
  <c r="A167" i="5"/>
  <c r="A138" i="3"/>
  <c r="E170" i="5"/>
  <c r="F141" i="3"/>
  <c r="C182" i="5"/>
  <c r="C153" i="3"/>
  <c r="I79" i="1"/>
  <c r="D119" i="2" s="1"/>
  <c r="F189" i="5"/>
  <c r="T160" i="3"/>
  <c r="E193" i="5"/>
  <c r="F164" i="3"/>
  <c r="C197" i="5"/>
  <c r="C168" i="3"/>
  <c r="I95" i="1"/>
  <c r="F203" i="5"/>
  <c r="T174" i="3"/>
  <c r="A205" i="5"/>
  <c r="A176" i="3"/>
  <c r="E208" i="5"/>
  <c r="F179" i="3"/>
  <c r="C211" i="5"/>
  <c r="C182" i="3"/>
  <c r="I111" i="1"/>
  <c r="D148" i="2" s="1"/>
  <c r="A219" i="5"/>
  <c r="A190" i="3"/>
  <c r="E222" i="5"/>
  <c r="F193" i="3"/>
  <c r="C226" i="5"/>
  <c r="C197" i="3"/>
  <c r="I127" i="1"/>
  <c r="D162" i="2" s="1"/>
  <c r="F232" i="5"/>
  <c r="T203" i="3"/>
  <c r="A234" i="5"/>
  <c r="A205" i="3"/>
  <c r="D7" i="6"/>
  <c r="E236" i="5"/>
  <c r="F207" i="3"/>
  <c r="C240" i="5"/>
  <c r="B11" i="6"/>
  <c r="C211" i="3"/>
  <c r="I143" i="1"/>
  <c r="D177" i="2" s="1"/>
  <c r="E133" i="5"/>
  <c r="F104" i="3"/>
  <c r="C121" i="5"/>
  <c r="C92" i="3"/>
  <c r="C130" i="5"/>
  <c r="C101" i="3"/>
  <c r="A138" i="5"/>
  <c r="A109" i="3"/>
  <c r="E141" i="5"/>
  <c r="F112" i="3"/>
  <c r="C145" i="5"/>
  <c r="C116" i="3"/>
  <c r="F121" i="5"/>
  <c r="T92" i="3"/>
  <c r="A126" i="5"/>
  <c r="A97" i="3"/>
  <c r="F130" i="5"/>
  <c r="T101" i="3"/>
  <c r="A132" i="5"/>
  <c r="A103" i="3"/>
  <c r="E135" i="5"/>
  <c r="F106" i="3"/>
  <c r="C138" i="5"/>
  <c r="C109" i="3"/>
  <c r="F145" i="5"/>
  <c r="T116" i="3"/>
  <c r="M113" i="5"/>
  <c r="A146" i="5"/>
  <c r="A117" i="3"/>
  <c r="J88" i="3"/>
  <c r="E149" i="5"/>
  <c r="F120" i="3"/>
  <c r="C153" i="5"/>
  <c r="C124" i="3"/>
  <c r="F159" i="5"/>
  <c r="T130" i="3"/>
  <c r="A161" i="5"/>
  <c r="A132" i="3"/>
  <c r="C167" i="5"/>
  <c r="C138" i="3"/>
  <c r="F182" i="5"/>
  <c r="T153" i="3"/>
  <c r="A184" i="5"/>
  <c r="A155" i="3"/>
  <c r="E187" i="5"/>
  <c r="F158" i="3"/>
  <c r="I88" i="1"/>
  <c r="D127" i="2" s="1"/>
  <c r="F197" i="5"/>
  <c r="T168" i="3"/>
  <c r="A199" i="5"/>
  <c r="A170" i="3"/>
  <c r="E201" i="5"/>
  <c r="F172" i="3"/>
  <c r="C205" i="5"/>
  <c r="C176" i="3"/>
  <c r="I104" i="1"/>
  <c r="D142" i="2" s="1"/>
  <c r="F211" i="5"/>
  <c r="T182" i="3"/>
  <c r="A213" i="5"/>
  <c r="A184" i="3"/>
  <c r="E216" i="5"/>
  <c r="F187" i="3"/>
  <c r="C219" i="5"/>
  <c r="C190" i="3"/>
  <c r="I120" i="1"/>
  <c r="D156" i="2" s="1"/>
  <c r="F226" i="5"/>
  <c r="T197" i="3"/>
  <c r="A227" i="5"/>
  <c r="V113" i="5"/>
  <c r="V175" i="5" s="1"/>
  <c r="A198" i="3"/>
  <c r="S88" i="3"/>
  <c r="S144" i="3" s="1"/>
  <c r="E230" i="5"/>
  <c r="F201" i="3"/>
  <c r="C234" i="5"/>
  <c r="C205" i="3"/>
  <c r="I136" i="1"/>
  <c r="D170" i="2" s="1"/>
  <c r="E11" i="6"/>
  <c r="B34" i="7" s="1"/>
  <c r="F240" i="5"/>
  <c r="T211" i="3"/>
  <c r="A242" i="5"/>
  <c r="A213" i="3"/>
  <c r="A123" i="5"/>
  <c r="A94" i="3"/>
  <c r="I11" i="1"/>
  <c r="D58" i="2" s="1"/>
  <c r="F126" i="5"/>
  <c r="T97" i="3"/>
  <c r="I16" i="1"/>
  <c r="D62" i="2" s="1"/>
  <c r="F132" i="5"/>
  <c r="T103" i="3"/>
  <c r="A134" i="5"/>
  <c r="A105" i="3"/>
  <c r="C140" i="5"/>
  <c r="C111" i="3"/>
  <c r="I32" i="1"/>
  <c r="D77" i="2" s="1"/>
  <c r="F146" i="5"/>
  <c r="T117" i="3"/>
  <c r="A148" i="5"/>
  <c r="A119" i="3"/>
  <c r="E151" i="5"/>
  <c r="F122" i="3"/>
  <c r="I48" i="1"/>
  <c r="D91" i="2" s="1"/>
  <c r="F161" i="5"/>
  <c r="T132" i="3"/>
  <c r="A163" i="5"/>
  <c r="A134" i="3"/>
  <c r="E165" i="5"/>
  <c r="F136" i="3"/>
  <c r="C169" i="5"/>
  <c r="C140" i="3"/>
  <c r="I64" i="1"/>
  <c r="D106" i="2" s="1"/>
  <c r="A119" i="5"/>
  <c r="G88" i="3"/>
  <c r="A90" i="3"/>
  <c r="I7" i="1"/>
  <c r="D54" i="2" s="1"/>
  <c r="F122" i="5"/>
  <c r="T93" i="3"/>
  <c r="A127" i="5"/>
  <c r="A98" i="3"/>
  <c r="E129" i="5"/>
  <c r="F100" i="3"/>
  <c r="C133" i="5"/>
  <c r="C104" i="3"/>
  <c r="I24" i="1"/>
  <c r="D70" i="2" s="1"/>
  <c r="F139" i="5"/>
  <c r="T110" i="3"/>
  <c r="A141" i="5"/>
  <c r="A112" i="3"/>
  <c r="E144" i="5"/>
  <c r="F115" i="3"/>
  <c r="C147" i="5"/>
  <c r="C118" i="3"/>
  <c r="I40" i="1"/>
  <c r="D84" i="2" s="1"/>
  <c r="F154" i="5"/>
  <c r="T125" i="3"/>
  <c r="N113" i="5"/>
  <c r="N173" i="5" s="1"/>
  <c r="A155" i="5"/>
  <c r="A126" i="3"/>
  <c r="K88" i="3"/>
  <c r="E158" i="5"/>
  <c r="F129" i="3"/>
  <c r="C162" i="5"/>
  <c r="C133" i="3"/>
  <c r="I56" i="1"/>
  <c r="D98" i="2" s="1"/>
  <c r="F168" i="5"/>
  <c r="T139" i="3"/>
  <c r="A170" i="5"/>
  <c r="A141" i="3"/>
  <c r="I9" i="1"/>
  <c r="D56" i="2" s="1"/>
  <c r="F124" i="5"/>
  <c r="T95" i="3"/>
  <c r="F128" i="5"/>
  <c r="T99" i="3"/>
  <c r="B114" i="5"/>
  <c r="E119" i="5"/>
  <c r="F90" i="3"/>
  <c r="E127" i="5"/>
  <c r="F98" i="3"/>
  <c r="E124" i="5"/>
  <c r="F95" i="3"/>
  <c r="C126" i="5"/>
  <c r="C97" i="3"/>
  <c r="E128" i="5"/>
  <c r="K112" i="5"/>
  <c r="F99" i="3"/>
  <c r="C132" i="5"/>
  <c r="C103" i="3"/>
  <c r="I23" i="1"/>
  <c r="D69" i="2" s="1"/>
  <c r="F138" i="5"/>
  <c r="T109" i="3"/>
  <c r="A140" i="5"/>
  <c r="A111" i="3"/>
  <c r="E143" i="5"/>
  <c r="F114" i="3"/>
  <c r="C146" i="5"/>
  <c r="C117" i="3"/>
  <c r="I39" i="1"/>
  <c r="D83" i="2" s="1"/>
  <c r="F153" i="5"/>
  <c r="T124" i="3"/>
  <c r="E157" i="5"/>
  <c r="F128" i="3"/>
  <c r="C161" i="5"/>
  <c r="C132" i="3"/>
  <c r="I55" i="1"/>
  <c r="F167" i="5"/>
  <c r="T138" i="3"/>
  <c r="A169" i="5"/>
  <c r="A140" i="3"/>
  <c r="E172" i="5"/>
  <c r="F143" i="3"/>
  <c r="E173" i="5"/>
  <c r="P112" i="5"/>
  <c r="F144" i="3"/>
  <c r="E175" i="5"/>
  <c r="F146" i="3"/>
  <c r="E177" i="5"/>
  <c r="F148" i="3"/>
  <c r="E179" i="5"/>
  <c r="F150" i="3"/>
  <c r="E181" i="5"/>
  <c r="F152" i="3"/>
  <c r="C184" i="5"/>
  <c r="C155" i="3"/>
  <c r="I81" i="1"/>
  <c r="D121" i="2" s="1"/>
  <c r="A192" i="5"/>
  <c r="A163" i="3"/>
  <c r="E195" i="5"/>
  <c r="F166" i="3"/>
  <c r="C199" i="5"/>
  <c r="C170" i="3"/>
  <c r="I97" i="1"/>
  <c r="D135" i="2" s="1"/>
  <c r="F205" i="5"/>
  <c r="T176" i="3"/>
  <c r="A207" i="5"/>
  <c r="A178" i="3"/>
  <c r="E209" i="5"/>
  <c r="T112" i="5"/>
  <c r="F180" i="3"/>
  <c r="C213" i="5"/>
  <c r="C184" i="3"/>
  <c r="I113" i="1"/>
  <c r="D150" i="2" s="1"/>
  <c r="F219" i="5"/>
  <c r="T190" i="3"/>
  <c r="A221" i="5"/>
  <c r="A192" i="3"/>
  <c r="E224" i="5"/>
  <c r="F195" i="3"/>
  <c r="C227" i="5"/>
  <c r="C198" i="3"/>
  <c r="I129" i="1"/>
  <c r="D164" i="2" s="1"/>
  <c r="F234" i="5"/>
  <c r="T205" i="3"/>
  <c r="D9" i="6"/>
  <c r="E238" i="5"/>
  <c r="F209" i="3"/>
  <c r="C242" i="5"/>
  <c r="B13" i="6"/>
  <c r="C213" i="3"/>
  <c r="D179" i="5"/>
  <c r="E150" i="3"/>
  <c r="I138" i="1"/>
  <c r="D172" i="2" s="1"/>
  <c r="F242" i="5"/>
  <c r="E13" i="6"/>
  <c r="B36" i="7" s="1"/>
  <c r="T213" i="3"/>
  <c r="A244" i="5"/>
  <c r="A215" i="3"/>
  <c r="E146" i="3"/>
  <c r="I131" i="1"/>
  <c r="D166" i="2" s="1"/>
  <c r="A237" i="5"/>
  <c r="A208" i="3"/>
  <c r="D11" i="6"/>
  <c r="E240" i="5"/>
  <c r="F211" i="3"/>
  <c r="B43" i="3" s="1"/>
  <c r="C244" i="5"/>
  <c r="B15" i="6"/>
  <c r="C215" i="3"/>
  <c r="E148" i="3"/>
  <c r="I122" i="1"/>
  <c r="D158" i="2" s="1"/>
  <c r="A229" i="5"/>
  <c r="A200" i="3"/>
  <c r="E232" i="5"/>
  <c r="F203" i="3"/>
  <c r="C123" i="5"/>
  <c r="C94" i="3"/>
  <c r="C134" i="5"/>
  <c r="C105" i="3"/>
  <c r="F140" i="5"/>
  <c r="T111" i="3"/>
  <c r="C148" i="5"/>
  <c r="C119" i="3"/>
  <c r="C163" i="5"/>
  <c r="C134" i="3"/>
  <c r="A171" i="5"/>
  <c r="A142" i="3"/>
  <c r="J66" i="1"/>
  <c r="J70" i="1"/>
  <c r="E182" i="5"/>
  <c r="Q112" i="5"/>
  <c r="F153" i="3"/>
  <c r="C186" i="5"/>
  <c r="C157" i="3"/>
  <c r="F192" i="5"/>
  <c r="T163" i="3"/>
  <c r="A194" i="5"/>
  <c r="A165" i="3"/>
  <c r="C200" i="5"/>
  <c r="C171" i="3"/>
  <c r="F207" i="5"/>
  <c r="T178" i="3"/>
  <c r="E211" i="5"/>
  <c r="F182" i="3"/>
  <c r="C215" i="5"/>
  <c r="C186" i="3"/>
  <c r="F221" i="5"/>
  <c r="T192" i="3"/>
  <c r="A223" i="5"/>
  <c r="A194" i="3"/>
  <c r="E226" i="5"/>
  <c r="F197" i="3"/>
  <c r="C229" i="5"/>
  <c r="C200" i="3"/>
  <c r="A120" i="5"/>
  <c r="A91" i="3"/>
  <c r="I8" i="1"/>
  <c r="D55" i="2" s="1"/>
  <c r="F123" i="5"/>
  <c r="T94" i="3"/>
  <c r="I18" i="1"/>
  <c r="D64" i="2" s="1"/>
  <c r="F134" i="5"/>
  <c r="T105" i="3"/>
  <c r="A136" i="5"/>
  <c r="A107" i="3"/>
  <c r="E138" i="5"/>
  <c r="F109" i="3"/>
  <c r="C142" i="5"/>
  <c r="C113" i="3"/>
  <c r="I34" i="1"/>
  <c r="D79" i="2" s="1"/>
  <c r="F148" i="5"/>
  <c r="T119" i="3"/>
  <c r="A150" i="5"/>
  <c r="A121" i="3"/>
  <c r="E153" i="5"/>
  <c r="F124" i="3"/>
  <c r="C156" i="5"/>
  <c r="C127" i="3"/>
  <c r="I50" i="1"/>
  <c r="D93" i="2" s="1"/>
  <c r="F163" i="5"/>
  <c r="T134" i="3"/>
  <c r="A164" i="5"/>
  <c r="O113" i="5"/>
  <c r="O173" i="5" s="1"/>
  <c r="A135" i="3"/>
  <c r="L88" i="3"/>
  <c r="E167" i="5"/>
  <c r="F138" i="3"/>
  <c r="C171" i="5"/>
  <c r="C142" i="3"/>
  <c r="K70" i="1"/>
  <c r="K72" i="1"/>
  <c r="I76" i="1"/>
  <c r="D116" i="2" s="1"/>
  <c r="F186" i="5"/>
  <c r="T157" i="3"/>
  <c r="A188" i="5"/>
  <c r="A159" i="3"/>
  <c r="C194" i="5"/>
  <c r="C165" i="3"/>
  <c r="I92" i="1"/>
  <c r="D131" i="2" s="1"/>
  <c r="F200" i="5"/>
  <c r="T171" i="3"/>
  <c r="A202" i="5"/>
  <c r="A173" i="3"/>
  <c r="E205" i="5"/>
  <c r="F176" i="3"/>
  <c r="I108" i="1"/>
  <c r="D145" i="2" s="1"/>
  <c r="F215" i="5"/>
  <c r="T186" i="3"/>
  <c r="A217" i="5"/>
  <c r="A188" i="3"/>
  <c r="E219" i="5"/>
  <c r="F190" i="3"/>
  <c r="C223" i="5"/>
  <c r="C194" i="3"/>
  <c r="I124" i="1"/>
  <c r="D160" i="2" s="1"/>
  <c r="F229" i="5"/>
  <c r="T200" i="3"/>
  <c r="A231" i="5"/>
  <c r="A202" i="3"/>
  <c r="E234" i="5"/>
  <c r="F205" i="3"/>
  <c r="C237" i="5"/>
  <c r="B8" i="6"/>
  <c r="C208" i="3"/>
  <c r="I140" i="1"/>
  <c r="D174" i="2" s="1"/>
  <c r="F244" i="5"/>
  <c r="E15" i="6"/>
  <c r="B38" i="7" s="1"/>
  <c r="T215" i="3"/>
  <c r="N6" i="1"/>
  <c r="B10" i="5" s="1"/>
  <c r="E130" i="5"/>
  <c r="F101" i="3"/>
  <c r="A142" i="5"/>
  <c r="A113" i="3"/>
  <c r="E159" i="5"/>
  <c r="F130" i="3"/>
  <c r="F169" i="5"/>
  <c r="T140" i="3"/>
  <c r="J72" i="1"/>
  <c r="C120" i="5"/>
  <c r="C91" i="3"/>
  <c r="E126" i="5"/>
  <c r="F97" i="3"/>
  <c r="E132" i="5"/>
  <c r="F103" i="3"/>
  <c r="A144" i="5"/>
  <c r="A115" i="3"/>
  <c r="I43" i="1"/>
  <c r="D87" i="2" s="1"/>
  <c r="F156" i="5"/>
  <c r="T127" i="3"/>
  <c r="E161" i="5"/>
  <c r="F132" i="3"/>
  <c r="C164" i="5"/>
  <c r="C135" i="3"/>
  <c r="I59" i="1"/>
  <c r="D101" i="2" s="1"/>
  <c r="C174" i="5"/>
  <c r="C145" i="3"/>
  <c r="C176" i="5"/>
  <c r="C147" i="3"/>
  <c r="C178" i="5"/>
  <c r="C149" i="3"/>
  <c r="C180" i="5"/>
  <c r="C151" i="3"/>
  <c r="E184" i="5"/>
  <c r="F155" i="3"/>
  <c r="C188" i="5"/>
  <c r="C159" i="3"/>
  <c r="F194" i="5"/>
  <c r="T165" i="3"/>
  <c r="A196" i="5"/>
  <c r="A167" i="3"/>
  <c r="E199" i="5"/>
  <c r="F170" i="3"/>
  <c r="C202" i="5"/>
  <c r="C173" i="3"/>
  <c r="I101" i="1"/>
  <c r="D139" i="2" s="1"/>
  <c r="A210" i="5"/>
  <c r="A181" i="3"/>
  <c r="E213" i="5"/>
  <c r="F184" i="3"/>
  <c r="C217" i="5"/>
  <c r="C188" i="3"/>
  <c r="I117" i="1"/>
  <c r="D153" i="2" s="1"/>
  <c r="F223" i="5"/>
  <c r="T194" i="3"/>
  <c r="A225" i="5"/>
  <c r="A196" i="3"/>
  <c r="E227" i="5"/>
  <c r="V112" i="5"/>
  <c r="F198" i="3"/>
  <c r="C231" i="5"/>
  <c r="C202" i="3"/>
  <c r="I133" i="1"/>
  <c r="D168" i="2" s="1"/>
  <c r="F237" i="5"/>
  <c r="E8" i="6"/>
  <c r="B31" i="7" s="1"/>
  <c r="T208" i="3"/>
  <c r="A239" i="5"/>
  <c r="A210" i="3"/>
  <c r="D13" i="6"/>
  <c r="E242" i="5"/>
  <c r="F213" i="3"/>
  <c r="D181" i="5"/>
  <c r="E152" i="3"/>
  <c r="F184" i="5"/>
  <c r="T155" i="3"/>
  <c r="A186" i="5"/>
  <c r="A157" i="3"/>
  <c r="E189" i="5"/>
  <c r="F160" i="3"/>
  <c r="C192" i="5"/>
  <c r="C163" i="3"/>
  <c r="F199" i="5"/>
  <c r="T170" i="3"/>
  <c r="A200" i="5"/>
  <c r="S113" i="5"/>
  <c r="S179" i="5" s="1"/>
  <c r="A171" i="3"/>
  <c r="P88" i="3"/>
  <c r="P148" i="3" s="1"/>
  <c r="E203" i="5"/>
  <c r="F174" i="3"/>
  <c r="C207" i="5"/>
  <c r="C178" i="3"/>
  <c r="F213" i="5"/>
  <c r="T184" i="3"/>
  <c r="A215" i="5"/>
  <c r="A186" i="3"/>
  <c r="C221" i="5"/>
  <c r="C192" i="3"/>
  <c r="F227" i="5"/>
  <c r="T198" i="3"/>
  <c r="E121" i="5"/>
  <c r="F92" i="3"/>
  <c r="E145" i="5"/>
  <c r="F116" i="3"/>
  <c r="A156" i="5"/>
  <c r="A127" i="3"/>
  <c r="J74" i="1"/>
  <c r="E197" i="5"/>
  <c r="F168" i="3"/>
  <c r="A129" i="5"/>
  <c r="A100" i="3"/>
  <c r="I27" i="1"/>
  <c r="D72" i="2" s="1"/>
  <c r="F142" i="5"/>
  <c r="T113" i="3"/>
  <c r="E146" i="5"/>
  <c r="M112" i="5"/>
  <c r="F117" i="3"/>
  <c r="F120" i="5"/>
  <c r="T91" i="3"/>
  <c r="A125" i="5"/>
  <c r="A96" i="3"/>
  <c r="I13" i="1"/>
  <c r="D60" i="2" s="1"/>
  <c r="C129" i="5"/>
  <c r="C100" i="3"/>
  <c r="I20" i="1"/>
  <c r="D66" i="2" s="1"/>
  <c r="F136" i="5"/>
  <c r="T107" i="3"/>
  <c r="A137" i="5"/>
  <c r="L113" i="5"/>
  <c r="L175" i="5" s="1"/>
  <c r="I88" i="3"/>
  <c r="I148" i="3" s="1"/>
  <c r="A108" i="3"/>
  <c r="E140" i="5"/>
  <c r="F111" i="3"/>
  <c r="C144" i="5"/>
  <c r="C115" i="3"/>
  <c r="I36" i="1"/>
  <c r="D80" i="2" s="1"/>
  <c r="F150" i="5"/>
  <c r="T121" i="3"/>
  <c r="A152" i="5"/>
  <c r="A123" i="3"/>
  <c r="C158" i="5"/>
  <c r="C129" i="3"/>
  <c r="I52" i="1"/>
  <c r="D95" i="2" s="1"/>
  <c r="F164" i="5"/>
  <c r="T135" i="3"/>
  <c r="A166" i="5"/>
  <c r="A137" i="3"/>
  <c r="E169" i="5"/>
  <c r="F140" i="3"/>
  <c r="F174" i="5"/>
  <c r="T145" i="3"/>
  <c r="F176" i="5"/>
  <c r="T147" i="3"/>
  <c r="F178" i="5"/>
  <c r="T149" i="3"/>
  <c r="F180" i="5"/>
  <c r="T151" i="3"/>
  <c r="I78" i="1"/>
  <c r="D118" i="2" s="1"/>
  <c r="F188" i="5"/>
  <c r="T159" i="3"/>
  <c r="A190" i="5"/>
  <c r="A161" i="3"/>
  <c r="E192" i="5"/>
  <c r="F163" i="3"/>
  <c r="C196" i="5"/>
  <c r="C167" i="3"/>
  <c r="I94" i="1"/>
  <c r="D133" i="2" s="1"/>
  <c r="F202" i="5"/>
  <c r="T173" i="3"/>
  <c r="A204" i="5"/>
  <c r="A175" i="3"/>
  <c r="E207" i="5"/>
  <c r="F178" i="3"/>
  <c r="C210" i="5"/>
  <c r="C181" i="3"/>
  <c r="I110" i="1"/>
  <c r="D147" i="2" s="1"/>
  <c r="F217" i="5"/>
  <c r="T188" i="3"/>
  <c r="A218" i="5"/>
  <c r="U113" i="5"/>
  <c r="A189" i="3"/>
  <c r="R88" i="3"/>
  <c r="R150" i="3" s="1"/>
  <c r="E221" i="5"/>
  <c r="F192" i="3"/>
  <c r="C225" i="5"/>
  <c r="C196" i="3"/>
  <c r="I126" i="1"/>
  <c r="D161" i="2" s="1"/>
  <c r="F231" i="5"/>
  <c r="T202" i="3"/>
  <c r="A233" i="5"/>
  <c r="A204" i="3"/>
  <c r="C239" i="5"/>
  <c r="B10" i="6"/>
  <c r="B37" i="6" s="1"/>
  <c r="C210" i="3"/>
  <c r="I142" i="1"/>
  <c r="D176" i="2" s="1"/>
  <c r="E123" i="5"/>
  <c r="F94" i="3"/>
  <c r="C125" i="5"/>
  <c r="C96" i="3"/>
  <c r="F129" i="5"/>
  <c r="T100" i="3"/>
  <c r="A131" i="5"/>
  <c r="A102" i="3"/>
  <c r="E134" i="5"/>
  <c r="F105" i="3"/>
  <c r="C137" i="5"/>
  <c r="C108" i="3"/>
  <c r="I29" i="1"/>
  <c r="D74" i="2" s="1"/>
  <c r="F144" i="5"/>
  <c r="T115" i="3"/>
  <c r="E148" i="5"/>
  <c r="F119" i="3"/>
  <c r="C152" i="5"/>
  <c r="C123" i="3"/>
  <c r="F158" i="5"/>
  <c r="T129" i="3"/>
  <c r="A160" i="5"/>
  <c r="A131" i="3"/>
  <c r="E163" i="5"/>
  <c r="F134" i="3"/>
  <c r="C166" i="5"/>
  <c r="C137" i="3"/>
  <c r="I61" i="1"/>
  <c r="D103" i="2" s="1"/>
  <c r="A183" i="5"/>
  <c r="A154" i="3"/>
  <c r="E186" i="5"/>
  <c r="F157" i="3"/>
  <c r="C190" i="5"/>
  <c r="C161" i="3"/>
  <c r="I87" i="1"/>
  <c r="D126" i="2" s="1"/>
  <c r="F196" i="5"/>
  <c r="T167" i="3"/>
  <c r="A198" i="5"/>
  <c r="A169" i="3"/>
  <c r="E200" i="5"/>
  <c r="S112" i="5"/>
  <c r="F171" i="3"/>
  <c r="C204" i="5"/>
  <c r="C175" i="3"/>
  <c r="I103" i="1"/>
  <c r="D141" i="2" s="1"/>
  <c r="F210" i="5"/>
  <c r="T181" i="3"/>
  <c r="A212" i="5"/>
  <c r="A183" i="3"/>
  <c r="E215" i="5"/>
  <c r="F186" i="3"/>
  <c r="C218" i="5"/>
  <c r="C189" i="3"/>
  <c r="I119" i="1"/>
  <c r="D155" i="2" s="1"/>
  <c r="F225" i="5"/>
  <c r="T196" i="3"/>
  <c r="E229" i="5"/>
  <c r="F200" i="3"/>
  <c r="C233" i="5"/>
  <c r="C204" i="3"/>
  <c r="F239" i="5"/>
  <c r="E10" i="6"/>
  <c r="B33" i="7" s="1"/>
  <c r="T210" i="3"/>
  <c r="A241" i="5"/>
  <c r="A212" i="3"/>
  <c r="D15" i="6"/>
  <c r="E244" i="5"/>
  <c r="F215" i="3"/>
  <c r="D173" i="5"/>
  <c r="E144" i="3"/>
  <c r="C136" i="5"/>
  <c r="C107" i="3"/>
  <c r="C150" i="5"/>
  <c r="C121" i="3"/>
  <c r="A158" i="5"/>
  <c r="A129" i="3"/>
  <c r="F171" i="5"/>
  <c r="T142" i="3"/>
  <c r="A122" i="5"/>
  <c r="A93" i="3"/>
  <c r="I10" i="1"/>
  <c r="D57" i="2" s="1"/>
  <c r="F125" i="5"/>
  <c r="T96" i="3"/>
  <c r="C131" i="5"/>
  <c r="C102" i="3"/>
  <c r="I22" i="1"/>
  <c r="D68" i="2" s="1"/>
  <c r="F137" i="5"/>
  <c r="T108" i="3"/>
  <c r="A139" i="5"/>
  <c r="A110" i="3"/>
  <c r="E142" i="5"/>
  <c r="F113" i="3"/>
  <c r="I38" i="1"/>
  <c r="D82" i="2" s="1"/>
  <c r="F152" i="5"/>
  <c r="T123" i="3"/>
  <c r="A154" i="5"/>
  <c r="A125" i="3"/>
  <c r="E156" i="5"/>
  <c r="F127" i="3"/>
  <c r="C160" i="5"/>
  <c r="C131" i="3"/>
  <c r="I54" i="1"/>
  <c r="D97" i="2" s="1"/>
  <c r="F166" i="5"/>
  <c r="T137" i="3"/>
  <c r="A168" i="5"/>
  <c r="A139" i="3"/>
  <c r="E171" i="5"/>
  <c r="F142" i="3"/>
  <c r="C183" i="5"/>
  <c r="C154" i="3"/>
  <c r="I80" i="1"/>
  <c r="D120" i="2" s="1"/>
  <c r="F190" i="5"/>
  <c r="T161" i="3"/>
  <c r="A191" i="5"/>
  <c r="R113" i="5"/>
  <c r="R173" i="5" s="1"/>
  <c r="A162" i="3"/>
  <c r="O88" i="3"/>
  <c r="E194" i="5"/>
  <c r="F165" i="3"/>
  <c r="C198" i="5"/>
  <c r="C169" i="3"/>
  <c r="I96" i="1"/>
  <c r="D134" i="2" s="1"/>
  <c r="F204" i="5"/>
  <c r="T175" i="3"/>
  <c r="A206" i="5"/>
  <c r="A177" i="3"/>
  <c r="C212" i="5"/>
  <c r="C183" i="3"/>
  <c r="I112" i="1"/>
  <c r="D149" i="2" s="1"/>
  <c r="F218" i="5"/>
  <c r="T189" i="3"/>
  <c r="A220" i="5"/>
  <c r="A191" i="3"/>
  <c r="E223" i="5"/>
  <c r="F194" i="3"/>
  <c r="I128" i="1"/>
  <c r="D163" i="2" s="1"/>
  <c r="F233" i="5"/>
  <c r="T204" i="3"/>
  <c r="A235" i="5"/>
  <c r="A206" i="3"/>
  <c r="D8" i="6"/>
  <c r="E237" i="5"/>
  <c r="F208" i="3"/>
  <c r="C241" i="5"/>
  <c r="B12" i="6"/>
  <c r="C212" i="3"/>
  <c r="I144" i="1"/>
  <c r="D178" i="2" s="1"/>
  <c r="N5" i="1"/>
  <c r="E120" i="5"/>
  <c r="F91" i="3"/>
  <c r="C122" i="5"/>
  <c r="C93" i="3"/>
  <c r="F131" i="5"/>
  <c r="T102" i="3"/>
  <c r="A133" i="5"/>
  <c r="A104" i="3"/>
  <c r="E136" i="5"/>
  <c r="F107" i="3"/>
  <c r="C139" i="5"/>
  <c r="C110" i="3"/>
  <c r="I31" i="1"/>
  <c r="D76" i="2" s="1"/>
  <c r="A147" i="5"/>
  <c r="A118" i="3"/>
  <c r="E150" i="5"/>
  <c r="F121" i="3"/>
  <c r="C154" i="5"/>
  <c r="C125" i="3"/>
  <c r="I47" i="1"/>
  <c r="D90" i="2" s="1"/>
  <c r="F160" i="5"/>
  <c r="T131" i="3"/>
  <c r="A162" i="5"/>
  <c r="A133" i="3"/>
  <c r="E164" i="5"/>
  <c r="O112" i="5"/>
  <c r="F135" i="3"/>
  <c r="C168" i="5"/>
  <c r="C139" i="3"/>
  <c r="I63" i="1"/>
  <c r="D105" i="2" s="1"/>
  <c r="E174" i="5"/>
  <c r="F145" i="3"/>
  <c r="E176" i="5"/>
  <c r="F147" i="3"/>
  <c r="E178" i="5"/>
  <c r="F149" i="3"/>
  <c r="E180" i="5"/>
  <c r="F151" i="3"/>
  <c r="F183" i="5"/>
  <c r="T154" i="3"/>
  <c r="A185" i="5"/>
  <c r="A156" i="3"/>
  <c r="E188" i="5"/>
  <c r="F159" i="3"/>
  <c r="C191" i="5"/>
  <c r="C162" i="3"/>
  <c r="I89" i="1"/>
  <c r="D128" i="2" s="1"/>
  <c r="F198" i="5"/>
  <c r="T169" i="3"/>
  <c r="E202" i="5"/>
  <c r="F173" i="3"/>
  <c r="C206" i="5"/>
  <c r="C177" i="3"/>
  <c r="F212" i="5"/>
  <c r="T183" i="3"/>
  <c r="A214" i="5"/>
  <c r="A185" i="3"/>
  <c r="E217" i="5"/>
  <c r="F188" i="3"/>
  <c r="C220" i="5"/>
  <c r="C191" i="3"/>
  <c r="I121" i="1"/>
  <c r="D157" i="2" s="1"/>
  <c r="A228" i="5"/>
  <c r="A199" i="3"/>
  <c r="E231" i="5"/>
  <c r="F202" i="3"/>
  <c r="C235" i="5"/>
  <c r="C206" i="3"/>
  <c r="I137" i="1"/>
  <c r="D171" i="2" s="1"/>
  <c r="F241" i="5"/>
  <c r="E12" i="6"/>
  <c r="B35" i="7" s="1"/>
  <c r="T212" i="3"/>
  <c r="A243" i="5"/>
  <c r="A214" i="3"/>
  <c r="D178" i="5"/>
  <c r="E149" i="3"/>
  <c r="I82" i="1"/>
  <c r="D122" i="2" s="1"/>
  <c r="F191" i="5"/>
  <c r="T162" i="3"/>
  <c r="A193" i="5"/>
  <c r="A164" i="3"/>
  <c r="E196" i="5"/>
  <c r="F167" i="3"/>
  <c r="I98" i="1"/>
  <c r="D136" i="2" s="1"/>
  <c r="F206" i="5"/>
  <c r="T177" i="3"/>
  <c r="A208" i="5"/>
  <c r="A179" i="3"/>
  <c r="E210" i="5"/>
  <c r="F181" i="3"/>
  <c r="C214" i="5"/>
  <c r="C185" i="3"/>
  <c r="I114" i="1"/>
  <c r="D151" i="2" s="1"/>
  <c r="F220" i="5"/>
  <c r="T191" i="3"/>
  <c r="A222" i="5"/>
  <c r="A193" i="3"/>
  <c r="E225" i="5"/>
  <c r="F196" i="3"/>
  <c r="C228" i="5"/>
  <c r="C199" i="3"/>
  <c r="I130" i="1"/>
  <c r="D165" i="2" s="1"/>
  <c r="F235" i="5"/>
  <c r="T206" i="3"/>
  <c r="A236" i="5"/>
  <c r="A207" i="3"/>
  <c r="D10" i="6"/>
  <c r="B40" i="6" s="1"/>
  <c r="C55" i="6" s="1"/>
  <c r="E239" i="5"/>
  <c r="F210" i="3"/>
  <c r="C243" i="5"/>
  <c r="B14" i="6"/>
  <c r="C214" i="3"/>
  <c r="D180" i="5"/>
  <c r="E151" i="3"/>
  <c r="C185" i="5"/>
  <c r="C156" i="3"/>
  <c r="C119" i="5"/>
  <c r="C90" i="3"/>
  <c r="E125" i="5"/>
  <c r="F96" i="3"/>
  <c r="C127" i="5"/>
  <c r="C98" i="3"/>
  <c r="I17" i="1"/>
  <c r="D63" i="2" s="1"/>
  <c r="F133" i="5"/>
  <c r="T104" i="3"/>
  <c r="A135" i="5"/>
  <c r="A106" i="3"/>
  <c r="E137" i="5"/>
  <c r="L112" i="5"/>
  <c r="F108" i="3"/>
  <c r="C141" i="5"/>
  <c r="C112" i="3"/>
  <c r="I33" i="1"/>
  <c r="D78" i="2" s="1"/>
  <c r="F147" i="5"/>
  <c r="T118" i="3"/>
  <c r="A149" i="5"/>
  <c r="A120" i="3"/>
  <c r="E152" i="5"/>
  <c r="F123" i="3"/>
  <c r="C155" i="5"/>
  <c r="C126" i="3"/>
  <c r="I49" i="1"/>
  <c r="D92" i="2" s="1"/>
  <c r="F162" i="5"/>
  <c r="T133" i="3"/>
  <c r="E166" i="5"/>
  <c r="F137" i="3"/>
  <c r="C170" i="5"/>
  <c r="C141" i="3"/>
  <c r="J65" i="1"/>
  <c r="J67" i="1"/>
  <c r="J71" i="1"/>
  <c r="J73" i="1"/>
  <c r="F185" i="5"/>
  <c r="T156" i="3"/>
  <c r="A187" i="5"/>
  <c r="A158" i="3"/>
  <c r="E190" i="5"/>
  <c r="F161" i="3"/>
  <c r="C193" i="5"/>
  <c r="C164" i="3"/>
  <c r="I91" i="1"/>
  <c r="D130" i="2" s="1"/>
  <c r="A201" i="5"/>
  <c r="A172" i="3"/>
  <c r="E204" i="5"/>
  <c r="F175" i="3"/>
  <c r="C208" i="5"/>
  <c r="C179" i="3"/>
  <c r="I107" i="1"/>
  <c r="D144" i="2" s="1"/>
  <c r="F214" i="5"/>
  <c r="T185" i="3"/>
  <c r="A216" i="5"/>
  <c r="A187" i="3"/>
  <c r="E218" i="5"/>
  <c r="U112" i="5"/>
  <c r="F189" i="3"/>
  <c r="C222" i="5"/>
  <c r="C193" i="3"/>
  <c r="I123" i="1"/>
  <c r="D159" i="2" s="1"/>
  <c r="F228" i="5"/>
  <c r="T199" i="3"/>
  <c r="A230" i="5"/>
  <c r="A201" i="3"/>
  <c r="E233" i="5"/>
  <c r="F204" i="3"/>
  <c r="C236" i="5"/>
  <c r="B7" i="6"/>
  <c r="C207" i="3"/>
  <c r="I139" i="1"/>
  <c r="D173" i="2" s="1"/>
  <c r="E14" i="6"/>
  <c r="B37" i="7" s="1"/>
  <c r="F243" i="5"/>
  <c r="T214" i="3"/>
  <c r="D176" i="5"/>
  <c r="E147" i="3"/>
  <c r="F119" i="5"/>
  <c r="T90" i="3"/>
  <c r="A124" i="5"/>
  <c r="A95" i="3"/>
  <c r="I12" i="1"/>
  <c r="D59" i="2" s="1"/>
  <c r="F127" i="5"/>
  <c r="T98" i="3"/>
  <c r="K113" i="5"/>
  <c r="K175" i="5" s="1"/>
  <c r="A128" i="5"/>
  <c r="A99" i="3"/>
  <c r="H88" i="3"/>
  <c r="H152" i="3" s="1"/>
  <c r="E131" i="5"/>
  <c r="F102" i="3"/>
  <c r="C135" i="5"/>
  <c r="C106" i="3"/>
  <c r="I26" i="1"/>
  <c r="D71" i="2" s="1"/>
  <c r="F141" i="5"/>
  <c r="T112" i="3"/>
  <c r="A143" i="5"/>
  <c r="A114" i="3"/>
  <c r="C149" i="5"/>
  <c r="C120" i="3"/>
  <c r="I42" i="1"/>
  <c r="D86" i="2" s="1"/>
  <c r="F155" i="5"/>
  <c r="T126" i="3"/>
  <c r="A157" i="5"/>
  <c r="A128" i="3"/>
  <c r="E160" i="5"/>
  <c r="F131" i="3"/>
  <c r="I58" i="1"/>
  <c r="D100" i="2" s="1"/>
  <c r="F170" i="5"/>
  <c r="T141" i="3"/>
  <c r="A172" i="5"/>
  <c r="A143" i="3"/>
  <c r="K67" i="1"/>
  <c r="K69" i="1"/>
  <c r="K71" i="1"/>
  <c r="K73" i="1"/>
  <c r="E183" i="5"/>
  <c r="F154" i="3"/>
  <c r="C187" i="5"/>
  <c r="C158" i="3"/>
  <c r="I84" i="1"/>
  <c r="D124" i="2" s="1"/>
  <c r="F193" i="5"/>
  <c r="T164" i="3"/>
  <c r="A195" i="5"/>
  <c r="A166" i="3"/>
  <c r="E198" i="5"/>
  <c r="F169" i="3"/>
  <c r="C201" i="5"/>
  <c r="C172" i="3"/>
  <c r="I100" i="1"/>
  <c r="D138" i="2" s="1"/>
  <c r="F208" i="5"/>
  <c r="T179" i="3"/>
  <c r="A209" i="5"/>
  <c r="T113" i="5"/>
  <c r="T173" i="5" s="1"/>
  <c r="A180" i="3"/>
  <c r="Q88" i="3"/>
  <c r="Q150" i="3" s="1"/>
  <c r="E212" i="5"/>
  <c r="F183" i="3"/>
  <c r="C216" i="5"/>
  <c r="C187" i="3"/>
  <c r="I116" i="1"/>
  <c r="D152" i="2" s="1"/>
  <c r="F222" i="5"/>
  <c r="T193" i="3"/>
  <c r="A224" i="5"/>
  <c r="A195" i="3"/>
  <c r="C230" i="5"/>
  <c r="C201" i="3"/>
  <c r="I132" i="1"/>
  <c r="D167" i="2" s="1"/>
  <c r="F236" i="5"/>
  <c r="E7" i="6"/>
  <c r="T207" i="3"/>
  <c r="A238" i="5"/>
  <c r="A209" i="3"/>
  <c r="D12" i="6"/>
  <c r="E241" i="5"/>
  <c r="F212" i="3"/>
  <c r="E122" i="5"/>
  <c r="F93" i="3"/>
  <c r="C124" i="5"/>
  <c r="C95" i="3"/>
  <c r="C128" i="5"/>
  <c r="C99" i="3"/>
  <c r="I19" i="1"/>
  <c r="D65" i="2" s="1"/>
  <c r="F135" i="5"/>
  <c r="T106" i="3"/>
  <c r="E139" i="5"/>
  <c r="F110" i="3"/>
  <c r="C143" i="5"/>
  <c r="C114" i="3"/>
  <c r="I35" i="1"/>
  <c r="F149" i="5"/>
  <c r="T120" i="3"/>
  <c r="A151" i="5"/>
  <c r="A122" i="3"/>
  <c r="E154" i="5"/>
  <c r="F125" i="3"/>
  <c r="C157" i="5"/>
  <c r="C128" i="3"/>
  <c r="I51" i="1"/>
  <c r="D94" i="2" s="1"/>
  <c r="A165" i="5"/>
  <c r="A136" i="3"/>
  <c r="E168" i="5"/>
  <c r="F139" i="3"/>
  <c r="C172" i="5"/>
  <c r="C143" i="3"/>
  <c r="C173" i="5"/>
  <c r="C144" i="3"/>
  <c r="C175" i="5"/>
  <c r="C146" i="3"/>
  <c r="C177" i="5"/>
  <c r="C148" i="3"/>
  <c r="C179" i="5"/>
  <c r="C150" i="3"/>
  <c r="C181" i="5"/>
  <c r="C152" i="3"/>
  <c r="I77" i="1"/>
  <c r="D117" i="2" s="1"/>
  <c r="F187" i="5"/>
  <c r="T158" i="3"/>
  <c r="A189" i="5"/>
  <c r="A160" i="3"/>
  <c r="E191" i="5"/>
  <c r="R112" i="5"/>
  <c r="F162" i="3"/>
  <c r="C195" i="5"/>
  <c r="C166" i="3"/>
  <c r="I93" i="1"/>
  <c r="D132" i="2" s="1"/>
  <c r="F201" i="5"/>
  <c r="T172" i="3"/>
  <c r="A203" i="5"/>
  <c r="A174" i="3"/>
  <c r="E206" i="5"/>
  <c r="F177" i="3"/>
  <c r="C209" i="5"/>
  <c r="C180" i="3"/>
  <c r="F216" i="5"/>
  <c r="T187" i="3"/>
  <c r="E220" i="5"/>
  <c r="F191" i="3"/>
  <c r="C224" i="5"/>
  <c r="C195" i="3"/>
  <c r="F230" i="5"/>
  <c r="T201" i="3"/>
  <c r="A232" i="5"/>
  <c r="A203" i="3"/>
  <c r="E235" i="5"/>
  <c r="F206" i="3"/>
  <c r="B9" i="6"/>
  <c r="C238" i="5"/>
  <c r="C209" i="3"/>
  <c r="I141" i="1"/>
  <c r="D175" i="2" s="1"/>
  <c r="L146" i="3"/>
  <c r="S147" i="3"/>
  <c r="J149" i="3"/>
  <c r="M145" i="3"/>
  <c r="M147" i="3"/>
  <c r="M144" i="3"/>
  <c r="M150" i="3"/>
  <c r="M149" i="3"/>
  <c r="M146" i="3"/>
  <c r="H144" i="3"/>
  <c r="S146" i="3"/>
  <c r="G148" i="3"/>
  <c r="H148" i="3"/>
  <c r="G151" i="3"/>
  <c r="J148" i="3"/>
  <c r="S150" i="3"/>
  <c r="G146" i="3"/>
  <c r="K148" i="3"/>
  <c r="L148" i="3"/>
  <c r="O145" i="3"/>
  <c r="I146" i="3"/>
  <c r="M148" i="3"/>
  <c r="G149" i="3"/>
  <c r="J146" i="3"/>
  <c r="N148" i="3"/>
  <c r="H149" i="3"/>
  <c r="G150" i="3"/>
  <c r="G144" i="3"/>
  <c r="K146" i="3"/>
  <c r="O148" i="3"/>
  <c r="I149" i="3"/>
  <c r="M151" i="3"/>
  <c r="G152" i="3"/>
  <c r="N151" i="3"/>
  <c r="P151" i="3"/>
  <c r="J152" i="3"/>
  <c r="K152" i="3"/>
  <c r="L152" i="3"/>
  <c r="M152" i="3"/>
  <c r="N152" i="3"/>
  <c r="O152" i="3"/>
  <c r="P152" i="3"/>
  <c r="B7" i="5"/>
  <c r="I134" i="5" s="1"/>
  <c r="I153" i="5"/>
  <c r="V174" i="5"/>
  <c r="U174" i="5"/>
  <c r="S174" i="5"/>
  <c r="Q174" i="5"/>
  <c r="P174" i="5"/>
  <c r="O174" i="5"/>
  <c r="M174" i="5"/>
  <c r="V180" i="5"/>
  <c r="V181" i="5"/>
  <c r="V176" i="5"/>
  <c r="U176" i="5"/>
  <c r="S176" i="5"/>
  <c r="Q176" i="5"/>
  <c r="P176" i="5"/>
  <c r="O176" i="5"/>
  <c r="M176" i="5"/>
  <c r="N176" i="5"/>
  <c r="U175" i="5"/>
  <c r="S175" i="5"/>
  <c r="Q175" i="5"/>
  <c r="P175" i="5"/>
  <c r="O175" i="5"/>
  <c r="M175" i="5"/>
  <c r="N175" i="5"/>
  <c r="V179" i="5"/>
  <c r="V178" i="5"/>
  <c r="U178" i="5"/>
  <c r="S178" i="5"/>
  <c r="Q178" i="5"/>
  <c r="P178" i="5"/>
  <c r="O178" i="5"/>
  <c r="M178" i="5"/>
  <c r="U177" i="5"/>
  <c r="S177" i="5"/>
  <c r="Q177" i="5"/>
  <c r="P177" i="5"/>
  <c r="O177" i="5"/>
  <c r="M177" i="5"/>
  <c r="I192" i="5"/>
  <c r="V173" i="5"/>
  <c r="U173" i="5"/>
  <c r="S173" i="5"/>
  <c r="Q173" i="5"/>
  <c r="P173" i="5"/>
  <c r="M173" i="5"/>
  <c r="I216" i="5"/>
  <c r="M179" i="5"/>
  <c r="M180" i="5"/>
  <c r="M181" i="5"/>
  <c r="N179" i="5"/>
  <c r="N180" i="5"/>
  <c r="N181" i="5"/>
  <c r="O179" i="5"/>
  <c r="O180" i="5"/>
  <c r="O181" i="5"/>
  <c r="P179" i="5"/>
  <c r="P180" i="5"/>
  <c r="P181" i="5"/>
  <c r="Q179" i="5"/>
  <c r="Q180" i="5"/>
  <c r="Q181" i="5"/>
  <c r="S180" i="5"/>
  <c r="S181" i="5"/>
  <c r="U179" i="5"/>
  <c r="U180" i="5"/>
  <c r="U181" i="5"/>
  <c r="I236" i="5"/>
  <c r="B38" i="6"/>
  <c r="B28" i="2" l="1"/>
  <c r="W64" i="2" s="1"/>
  <c r="J99" i="1"/>
  <c r="L178" i="5"/>
  <c r="Q149" i="3"/>
  <c r="D165" i="5"/>
  <c r="K99" i="1"/>
  <c r="K15" i="1"/>
  <c r="J105" i="1"/>
  <c r="B27" i="2"/>
  <c r="V89" i="2" s="1"/>
  <c r="Q151" i="3"/>
  <c r="L177" i="5"/>
  <c r="V177" i="5"/>
  <c r="J83" i="1"/>
  <c r="L174" i="5"/>
  <c r="K176" i="5"/>
  <c r="J30" i="1"/>
  <c r="K83" i="1"/>
  <c r="L176" i="5"/>
  <c r="E112" i="3"/>
  <c r="E160" i="3"/>
  <c r="K46" i="1"/>
  <c r="B26" i="2"/>
  <c r="U98" i="2" s="1"/>
  <c r="K178" i="5"/>
  <c r="J57" i="1"/>
  <c r="E98" i="3"/>
  <c r="S149" i="3"/>
  <c r="N178" i="5"/>
  <c r="T175" i="5"/>
  <c r="K174" i="5"/>
  <c r="S151" i="3"/>
  <c r="Q144" i="3"/>
  <c r="T181" i="5"/>
  <c r="K177" i="5"/>
  <c r="N174" i="5"/>
  <c r="D115" i="2"/>
  <c r="D107" i="2"/>
  <c r="T178" i="5"/>
  <c r="T180" i="5"/>
  <c r="T179" i="5"/>
  <c r="S148" i="3"/>
  <c r="D175" i="5"/>
  <c r="E174" i="3"/>
  <c r="N177" i="5"/>
  <c r="Q148" i="3"/>
  <c r="D203" i="5"/>
  <c r="K30" i="1"/>
  <c r="K14" i="1"/>
  <c r="Q147" i="3"/>
  <c r="J68" i="1"/>
  <c r="J14" i="1"/>
  <c r="T177" i="5"/>
  <c r="T176" i="5"/>
  <c r="K68" i="1"/>
  <c r="D177" i="5"/>
  <c r="D141" i="5"/>
  <c r="D127" i="5"/>
  <c r="C11" i="2"/>
  <c r="D11" i="2" s="1"/>
  <c r="C9" i="2"/>
  <c r="D9" i="2" s="1"/>
  <c r="J62" i="1"/>
  <c r="K109" i="1"/>
  <c r="E145" i="3"/>
  <c r="J45" i="1"/>
  <c r="E183" i="3"/>
  <c r="Q145" i="3"/>
  <c r="D174" i="5"/>
  <c r="K57" i="1"/>
  <c r="D170" i="5"/>
  <c r="D212" i="5"/>
  <c r="B29" i="2"/>
  <c r="X55" i="2" s="1"/>
  <c r="B25" i="2"/>
  <c r="Y94" i="2" s="1"/>
  <c r="R151" i="3"/>
  <c r="R145" i="3"/>
  <c r="B37" i="2"/>
  <c r="R148" i="3"/>
  <c r="B13" i="2"/>
  <c r="C10" i="2"/>
  <c r="D10" i="2" s="1"/>
  <c r="B12" i="2"/>
  <c r="B30" i="7"/>
  <c r="B41" i="6"/>
  <c r="I121" i="5"/>
  <c r="I235" i="5"/>
  <c r="I230" i="5"/>
  <c r="I240" i="5"/>
  <c r="I161" i="5"/>
  <c r="I193" i="5"/>
  <c r="I165" i="5"/>
  <c r="I139" i="5"/>
  <c r="I195" i="5"/>
  <c r="I197" i="5"/>
  <c r="I237" i="5"/>
  <c r="I208" i="5"/>
  <c r="I188" i="5"/>
  <c r="I220" i="5"/>
  <c r="R177" i="5"/>
  <c r="I190" i="5"/>
  <c r="I158" i="5"/>
  <c r="I140" i="5"/>
  <c r="I169" i="5"/>
  <c r="I163" i="5"/>
  <c r="I226" i="5"/>
  <c r="I234" i="5"/>
  <c r="I155" i="5"/>
  <c r="I223" i="5"/>
  <c r="I152" i="5"/>
  <c r="I205" i="5"/>
  <c r="I133" i="5"/>
  <c r="I124" i="5"/>
  <c r="I228" i="5"/>
  <c r="I123" i="5"/>
  <c r="I200" i="5"/>
  <c r="I120" i="5"/>
  <c r="I207" i="5"/>
  <c r="I135" i="5"/>
  <c r="I239" i="5"/>
  <c r="I231" i="5"/>
  <c r="I238" i="5"/>
  <c r="I199" i="5"/>
  <c r="R181" i="5"/>
  <c r="X110" i="2"/>
  <c r="X154" i="2"/>
  <c r="W112" i="2"/>
  <c r="W57" i="2"/>
  <c r="W105" i="2"/>
  <c r="W54" i="2"/>
  <c r="W56" i="2"/>
  <c r="W58" i="2"/>
  <c r="W74" i="2"/>
  <c r="W87" i="2"/>
  <c r="W124" i="2"/>
  <c r="W81" i="2"/>
  <c r="W53" i="2"/>
  <c r="W110" i="2"/>
  <c r="W116" i="2"/>
  <c r="W59" i="2"/>
  <c r="W65" i="2"/>
  <c r="W79" i="2"/>
  <c r="W98" i="2"/>
  <c r="W141" i="2"/>
  <c r="W134" i="2"/>
  <c r="W97" i="2"/>
  <c r="W174" i="2"/>
  <c r="W117" i="2"/>
  <c r="W75" i="2"/>
  <c r="W78" i="2"/>
  <c r="W169" i="2"/>
  <c r="W162" i="2"/>
  <c r="W178" i="2"/>
  <c r="W151" i="2"/>
  <c r="W149" i="2"/>
  <c r="W69" i="2"/>
  <c r="W147" i="2"/>
  <c r="W121" i="2"/>
  <c r="W175" i="2"/>
  <c r="W152" i="2"/>
  <c r="W163" i="2"/>
  <c r="W85" i="2"/>
  <c r="W177" i="2"/>
  <c r="W173" i="2"/>
  <c r="W161" i="2"/>
  <c r="V73" i="2"/>
  <c r="V66" i="2"/>
  <c r="V82" i="2"/>
  <c r="V59" i="2"/>
  <c r="V54" i="2"/>
  <c r="V65" i="2"/>
  <c r="V67" i="2"/>
  <c r="V53" i="2"/>
  <c r="V96" i="2"/>
  <c r="V74" i="2"/>
  <c r="V76" i="2"/>
  <c r="V132" i="2"/>
  <c r="V94" i="2"/>
  <c r="V58" i="2"/>
  <c r="V72" i="2"/>
  <c r="V107" i="2"/>
  <c r="V131" i="2"/>
  <c r="V134" i="2"/>
  <c r="V100" i="2"/>
  <c r="V146" i="2"/>
  <c r="V71" i="2"/>
  <c r="V160" i="2"/>
  <c r="V176" i="2"/>
  <c r="V169" i="2"/>
  <c r="V153" i="2"/>
  <c r="V171" i="2"/>
  <c r="V157" i="2"/>
  <c r="V173" i="2"/>
  <c r="V127" i="2"/>
  <c r="V145" i="2"/>
  <c r="V85" i="2"/>
  <c r="V79" i="2"/>
  <c r="V108" i="2"/>
  <c r="V141" i="2"/>
  <c r="V175" i="2"/>
  <c r="V159" i="2"/>
  <c r="V150" i="2"/>
  <c r="V170" i="2"/>
  <c r="V165" i="2"/>
  <c r="P175" i="2"/>
  <c r="Q175" i="2" s="1"/>
  <c r="P177" i="2"/>
  <c r="Q177" i="2" s="1"/>
  <c r="B14" i="2"/>
  <c r="U82" i="2"/>
  <c r="U75" i="2"/>
  <c r="U91" i="2"/>
  <c r="U84" i="2"/>
  <c r="U58" i="2"/>
  <c r="U90" i="2"/>
  <c r="U73" i="2"/>
  <c r="U89" i="2"/>
  <c r="U135" i="2"/>
  <c r="U88" i="2"/>
  <c r="U94" i="2"/>
  <c r="U77" i="2"/>
  <c r="U62" i="2"/>
  <c r="U67" i="2"/>
  <c r="U85" i="2"/>
  <c r="U110" i="2"/>
  <c r="U113" i="2"/>
  <c r="U115" i="2"/>
  <c r="U116" i="2"/>
  <c r="U137" i="2"/>
  <c r="U178" i="2"/>
  <c r="U155" i="2"/>
  <c r="U171" i="2"/>
  <c r="U149" i="2"/>
  <c r="U173" i="2"/>
  <c r="U92" i="2"/>
  <c r="U166" i="2"/>
  <c r="U124" i="2"/>
  <c r="U130" i="2"/>
  <c r="U143" i="2"/>
  <c r="U76" i="2"/>
  <c r="U131" i="2"/>
  <c r="U134" i="2"/>
  <c r="U158" i="2"/>
  <c r="U150" i="2"/>
  <c r="U172" i="2"/>
  <c r="U163" i="2"/>
  <c r="U148" i="2"/>
  <c r="U136" i="2"/>
  <c r="I243" i="5"/>
  <c r="I218" i="5"/>
  <c r="I221" i="5"/>
  <c r="I146" i="5"/>
  <c r="M174" i="3"/>
  <c r="L174" i="3"/>
  <c r="K174" i="3"/>
  <c r="J174" i="3"/>
  <c r="I174" i="3"/>
  <c r="H174" i="3"/>
  <c r="G174" i="3"/>
  <c r="S174" i="3"/>
  <c r="R174" i="3"/>
  <c r="Q174" i="3"/>
  <c r="P174" i="3"/>
  <c r="O174" i="3"/>
  <c r="N174" i="3"/>
  <c r="D218" i="5"/>
  <c r="E189" i="3"/>
  <c r="J116" i="1"/>
  <c r="K116" i="1"/>
  <c r="V195" i="5"/>
  <c r="U195" i="5"/>
  <c r="T195" i="5"/>
  <c r="R195" i="5"/>
  <c r="Q195" i="5"/>
  <c r="P195" i="5"/>
  <c r="S195" i="5"/>
  <c r="O195" i="5"/>
  <c r="N195" i="5"/>
  <c r="M195" i="5"/>
  <c r="L195" i="5"/>
  <c r="K195" i="5"/>
  <c r="H128" i="3"/>
  <c r="G128" i="3"/>
  <c r="S128" i="3"/>
  <c r="R128" i="3"/>
  <c r="Q128" i="3"/>
  <c r="P128" i="3"/>
  <c r="O128" i="3"/>
  <c r="N128" i="3"/>
  <c r="M128" i="3"/>
  <c r="L128" i="3"/>
  <c r="K128" i="3"/>
  <c r="J128" i="3"/>
  <c r="I128" i="3"/>
  <c r="CM191" i="3"/>
  <c r="BC191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S199" i="3"/>
  <c r="D194" i="5"/>
  <c r="E165" i="3"/>
  <c r="K89" i="1"/>
  <c r="J89" i="1"/>
  <c r="CM131" i="3"/>
  <c r="BC131" i="3"/>
  <c r="O151" i="3"/>
  <c r="O147" i="3"/>
  <c r="O144" i="3"/>
  <c r="O150" i="3"/>
  <c r="O149" i="3"/>
  <c r="O146" i="3"/>
  <c r="BC210" i="3"/>
  <c r="CM210" i="3"/>
  <c r="D221" i="5"/>
  <c r="E192" i="3"/>
  <c r="K119" i="1"/>
  <c r="J119" i="1"/>
  <c r="CM167" i="3"/>
  <c r="BC167" i="3"/>
  <c r="D169" i="5"/>
  <c r="E140" i="3"/>
  <c r="K61" i="1"/>
  <c r="J61" i="1"/>
  <c r="BC202" i="3"/>
  <c r="CM202" i="3"/>
  <c r="N127" i="3"/>
  <c r="M127" i="3"/>
  <c r="L127" i="3"/>
  <c r="K127" i="3"/>
  <c r="J127" i="3"/>
  <c r="I127" i="3"/>
  <c r="H127" i="3"/>
  <c r="G127" i="3"/>
  <c r="S127" i="3"/>
  <c r="R127" i="3"/>
  <c r="Q127" i="3"/>
  <c r="P127" i="3"/>
  <c r="O127" i="3"/>
  <c r="U225" i="5"/>
  <c r="Q225" i="5"/>
  <c r="M225" i="5"/>
  <c r="V225" i="5"/>
  <c r="T225" i="5"/>
  <c r="S225" i="5"/>
  <c r="R225" i="5"/>
  <c r="P225" i="5"/>
  <c r="AF225" i="5" s="1"/>
  <c r="AG225" i="5" s="1"/>
  <c r="O225" i="5"/>
  <c r="N225" i="5"/>
  <c r="L225" i="5"/>
  <c r="K225" i="5"/>
  <c r="BC165" i="3"/>
  <c r="CM165" i="3"/>
  <c r="AJ149" i="3"/>
  <c r="AI149" i="3"/>
  <c r="AH149" i="3"/>
  <c r="AG149" i="3"/>
  <c r="AF149" i="3"/>
  <c r="AE149" i="3"/>
  <c r="AN149" i="3"/>
  <c r="AM149" i="3"/>
  <c r="AL149" i="3"/>
  <c r="AK149" i="3"/>
  <c r="Q142" i="5"/>
  <c r="P142" i="5"/>
  <c r="L142" i="5"/>
  <c r="K142" i="5"/>
  <c r="R142" i="5"/>
  <c r="O142" i="5"/>
  <c r="N142" i="5"/>
  <c r="M142" i="5"/>
  <c r="V142" i="5"/>
  <c r="U142" i="5"/>
  <c r="T142" i="5"/>
  <c r="S142" i="5"/>
  <c r="BC134" i="3"/>
  <c r="CM134" i="3"/>
  <c r="BC119" i="3"/>
  <c r="CM119" i="3"/>
  <c r="D130" i="5"/>
  <c r="E101" i="3"/>
  <c r="J18" i="1"/>
  <c r="K18" i="1"/>
  <c r="AN134" i="3"/>
  <c r="AM134" i="3"/>
  <c r="AL134" i="3"/>
  <c r="AK134" i="3"/>
  <c r="AJ134" i="3"/>
  <c r="AI134" i="3"/>
  <c r="AH134" i="3"/>
  <c r="AG134" i="3"/>
  <c r="AF134" i="3"/>
  <c r="AE134" i="3"/>
  <c r="CM109" i="3"/>
  <c r="BC109" i="3"/>
  <c r="J141" i="3"/>
  <c r="I141" i="3"/>
  <c r="H141" i="3"/>
  <c r="G141" i="3"/>
  <c r="S141" i="3"/>
  <c r="R141" i="3"/>
  <c r="Q141" i="3"/>
  <c r="P141" i="3"/>
  <c r="O141" i="3"/>
  <c r="N141" i="3"/>
  <c r="M141" i="3"/>
  <c r="L141" i="3"/>
  <c r="K141" i="3"/>
  <c r="K151" i="3"/>
  <c r="K145" i="3"/>
  <c r="K147" i="3"/>
  <c r="K144" i="3"/>
  <c r="K150" i="3"/>
  <c r="K149" i="3"/>
  <c r="BC116" i="3"/>
  <c r="CM116" i="3"/>
  <c r="L138" i="3"/>
  <c r="K138" i="3"/>
  <c r="J138" i="3"/>
  <c r="I138" i="3"/>
  <c r="H138" i="3"/>
  <c r="G138" i="3"/>
  <c r="S138" i="3"/>
  <c r="R138" i="3"/>
  <c r="Q138" i="3"/>
  <c r="P138" i="3"/>
  <c r="O138" i="3"/>
  <c r="N138" i="3"/>
  <c r="M138" i="3"/>
  <c r="M182" i="3"/>
  <c r="L182" i="3"/>
  <c r="K182" i="3"/>
  <c r="J182" i="3"/>
  <c r="I182" i="3"/>
  <c r="H182" i="3"/>
  <c r="G182" i="3"/>
  <c r="S182" i="3"/>
  <c r="R182" i="3"/>
  <c r="Q182" i="3"/>
  <c r="P182" i="3"/>
  <c r="O182" i="3"/>
  <c r="N182" i="3"/>
  <c r="Q121" i="5"/>
  <c r="P121" i="5"/>
  <c r="L121" i="5"/>
  <c r="K121" i="5"/>
  <c r="V121" i="5"/>
  <c r="U121" i="5"/>
  <c r="T121" i="5"/>
  <c r="S121" i="5"/>
  <c r="R121" i="5"/>
  <c r="O121" i="5"/>
  <c r="N121" i="5"/>
  <c r="M121" i="5"/>
  <c r="U206" i="5"/>
  <c r="Q206" i="5"/>
  <c r="M206" i="5"/>
  <c r="V206" i="5"/>
  <c r="T206" i="5"/>
  <c r="S206" i="5"/>
  <c r="R206" i="5"/>
  <c r="P206" i="5"/>
  <c r="O206" i="5"/>
  <c r="L206" i="5"/>
  <c r="N206" i="5"/>
  <c r="K206" i="5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P139" i="5"/>
  <c r="L139" i="5"/>
  <c r="V139" i="5"/>
  <c r="U139" i="5"/>
  <c r="T139" i="5"/>
  <c r="R139" i="5"/>
  <c r="Q139" i="5"/>
  <c r="O139" i="5"/>
  <c r="N139" i="5"/>
  <c r="M139" i="5"/>
  <c r="K139" i="5"/>
  <c r="S139" i="5"/>
  <c r="BC142" i="3"/>
  <c r="CM142" i="3"/>
  <c r="D207" i="5"/>
  <c r="E178" i="3"/>
  <c r="K103" i="1"/>
  <c r="J103" i="1"/>
  <c r="G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U166" i="5"/>
  <c r="Q166" i="5"/>
  <c r="P166" i="5"/>
  <c r="M166" i="5"/>
  <c r="V166" i="5"/>
  <c r="T166" i="5"/>
  <c r="S166" i="5"/>
  <c r="R166" i="5"/>
  <c r="O166" i="5"/>
  <c r="N166" i="5"/>
  <c r="L166" i="5"/>
  <c r="K166" i="5"/>
  <c r="P145" i="3"/>
  <c r="P147" i="3"/>
  <c r="P144" i="3"/>
  <c r="P150" i="3"/>
  <c r="P149" i="3"/>
  <c r="P146" i="3"/>
  <c r="U210" i="5"/>
  <c r="Q210" i="5"/>
  <c r="M210" i="5"/>
  <c r="N210" i="5"/>
  <c r="L210" i="5"/>
  <c r="K210" i="5"/>
  <c r="V210" i="5"/>
  <c r="T210" i="5"/>
  <c r="S210" i="5"/>
  <c r="R210" i="5"/>
  <c r="P210" i="5"/>
  <c r="O210" i="5"/>
  <c r="AL208" i="3"/>
  <c r="AK208" i="3"/>
  <c r="AJ208" i="3"/>
  <c r="AI208" i="3"/>
  <c r="AH208" i="3"/>
  <c r="AG208" i="3"/>
  <c r="AF208" i="3"/>
  <c r="AE208" i="3"/>
  <c r="AN208" i="3"/>
  <c r="AM208" i="3"/>
  <c r="D226" i="5"/>
  <c r="E197" i="3"/>
  <c r="K124" i="1"/>
  <c r="J124" i="1"/>
  <c r="AN165" i="3"/>
  <c r="AM165" i="3"/>
  <c r="AL165" i="3"/>
  <c r="AK165" i="3"/>
  <c r="AJ165" i="3"/>
  <c r="AI165" i="3"/>
  <c r="AH165" i="3"/>
  <c r="AG165" i="3"/>
  <c r="AF165" i="3"/>
  <c r="AE165" i="3"/>
  <c r="AN142" i="3"/>
  <c r="AM142" i="3"/>
  <c r="AL142" i="3"/>
  <c r="AK142" i="3"/>
  <c r="AJ142" i="3"/>
  <c r="AI142" i="3"/>
  <c r="AH142" i="3"/>
  <c r="AG142" i="3"/>
  <c r="AF142" i="3"/>
  <c r="AE142" i="3"/>
  <c r="BC94" i="3"/>
  <c r="CM94" i="3"/>
  <c r="P194" i="3"/>
  <c r="O194" i="3"/>
  <c r="N194" i="3"/>
  <c r="M194" i="3"/>
  <c r="L194" i="3"/>
  <c r="K194" i="3"/>
  <c r="J194" i="3"/>
  <c r="I194" i="3"/>
  <c r="H194" i="3"/>
  <c r="G194" i="3"/>
  <c r="S194" i="3"/>
  <c r="R194" i="3"/>
  <c r="Q194" i="3"/>
  <c r="BC178" i="3"/>
  <c r="CM178" i="3"/>
  <c r="AN157" i="3"/>
  <c r="AM157" i="3"/>
  <c r="AL157" i="3"/>
  <c r="AK157" i="3"/>
  <c r="AJ157" i="3"/>
  <c r="AI157" i="3"/>
  <c r="AH157" i="3"/>
  <c r="AG157" i="3"/>
  <c r="AF157" i="3"/>
  <c r="AE157" i="3"/>
  <c r="BW150" i="3"/>
  <c r="BU150" i="3"/>
  <c r="BT150" i="3"/>
  <c r="BV150" i="3"/>
  <c r="BS150" i="3"/>
  <c r="BR150" i="3"/>
  <c r="BQ150" i="3"/>
  <c r="BP150" i="3"/>
  <c r="BO150" i="3"/>
  <c r="BX150" i="3"/>
  <c r="U221" i="5"/>
  <c r="Q221" i="5"/>
  <c r="M221" i="5"/>
  <c r="P221" i="5"/>
  <c r="O221" i="5"/>
  <c r="N221" i="5"/>
  <c r="L221" i="5"/>
  <c r="K221" i="5"/>
  <c r="T221" i="5"/>
  <c r="V221" i="5"/>
  <c r="S221" i="5"/>
  <c r="R221" i="5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Q127" i="5"/>
  <c r="P127" i="5"/>
  <c r="L127" i="5"/>
  <c r="K127" i="5"/>
  <c r="V127" i="5"/>
  <c r="U127" i="5"/>
  <c r="T127" i="5"/>
  <c r="S127" i="5"/>
  <c r="R127" i="5"/>
  <c r="O127" i="5"/>
  <c r="N127" i="5"/>
  <c r="M127" i="5"/>
  <c r="Q184" i="3"/>
  <c r="P184" i="3"/>
  <c r="O184" i="3"/>
  <c r="N184" i="3"/>
  <c r="M184" i="3"/>
  <c r="L184" i="3"/>
  <c r="K184" i="3"/>
  <c r="J184" i="3"/>
  <c r="I184" i="3"/>
  <c r="H184" i="3"/>
  <c r="G184" i="3"/>
  <c r="S184" i="3"/>
  <c r="R184" i="3"/>
  <c r="V184" i="5"/>
  <c r="U184" i="5"/>
  <c r="T184" i="5"/>
  <c r="S184" i="5"/>
  <c r="R184" i="5"/>
  <c r="Q184" i="5"/>
  <c r="P184" i="5"/>
  <c r="O184" i="5"/>
  <c r="N184" i="5"/>
  <c r="M184" i="5"/>
  <c r="L184" i="5"/>
  <c r="K184" i="5"/>
  <c r="Q126" i="5"/>
  <c r="P126" i="5"/>
  <c r="L126" i="5"/>
  <c r="K126" i="5"/>
  <c r="V126" i="5"/>
  <c r="U126" i="5"/>
  <c r="T126" i="5"/>
  <c r="S126" i="5"/>
  <c r="R126" i="5"/>
  <c r="O126" i="5"/>
  <c r="N126" i="5"/>
  <c r="M126" i="5"/>
  <c r="AM92" i="3"/>
  <c r="AL92" i="3"/>
  <c r="AK92" i="3"/>
  <c r="AI92" i="3"/>
  <c r="AE92" i="3"/>
  <c r="AN92" i="3"/>
  <c r="AJ92" i="3"/>
  <c r="AH92" i="3"/>
  <c r="AG92" i="3"/>
  <c r="AF92" i="3"/>
  <c r="J211" i="3"/>
  <c r="I211" i="3"/>
  <c r="H211" i="3"/>
  <c r="G211" i="3"/>
  <c r="S211" i="3"/>
  <c r="R211" i="3"/>
  <c r="Q211" i="3"/>
  <c r="P211" i="3"/>
  <c r="O211" i="3"/>
  <c r="N211" i="3"/>
  <c r="M211" i="3"/>
  <c r="L211" i="3"/>
  <c r="K211" i="3"/>
  <c r="B38" i="3"/>
  <c r="BC166" i="3"/>
  <c r="CM166" i="3"/>
  <c r="CM146" i="3"/>
  <c r="BC146" i="3"/>
  <c r="BC179" i="3"/>
  <c r="CM179" i="3"/>
  <c r="D188" i="5"/>
  <c r="E159" i="3"/>
  <c r="K82" i="1"/>
  <c r="J82" i="1"/>
  <c r="CM183" i="3"/>
  <c r="BC183" i="3"/>
  <c r="D171" i="5"/>
  <c r="E142" i="3"/>
  <c r="K63" i="1"/>
  <c r="J63" i="1"/>
  <c r="C62" i="6"/>
  <c r="C52" i="6"/>
  <c r="I119" i="5"/>
  <c r="I122" i="5"/>
  <c r="V203" i="5"/>
  <c r="U203" i="5"/>
  <c r="T203" i="5"/>
  <c r="S203" i="5"/>
  <c r="R203" i="5"/>
  <c r="Q203" i="5"/>
  <c r="P203" i="5"/>
  <c r="N203" i="5"/>
  <c r="O203" i="5"/>
  <c r="M203" i="5"/>
  <c r="L203" i="5"/>
  <c r="K203" i="5"/>
  <c r="Q160" i="3"/>
  <c r="P160" i="3"/>
  <c r="O160" i="3"/>
  <c r="N160" i="3"/>
  <c r="M160" i="3"/>
  <c r="L160" i="3"/>
  <c r="K160" i="3"/>
  <c r="J160" i="3"/>
  <c r="I160" i="3"/>
  <c r="H160" i="3"/>
  <c r="G160" i="3"/>
  <c r="S160" i="3"/>
  <c r="R160" i="3"/>
  <c r="AN187" i="3"/>
  <c r="AM187" i="3"/>
  <c r="AL187" i="3"/>
  <c r="AK187" i="3"/>
  <c r="AJ187" i="3"/>
  <c r="AI187" i="3"/>
  <c r="AH187" i="3"/>
  <c r="AG187" i="3"/>
  <c r="AF187" i="3"/>
  <c r="AE187" i="3"/>
  <c r="CM164" i="3"/>
  <c r="BC164" i="3"/>
  <c r="Q157" i="5"/>
  <c r="P157" i="5"/>
  <c r="O157" i="5"/>
  <c r="N157" i="5"/>
  <c r="L157" i="5"/>
  <c r="K157" i="5"/>
  <c r="V157" i="5"/>
  <c r="U157" i="5"/>
  <c r="T157" i="5"/>
  <c r="S157" i="5"/>
  <c r="R157" i="5"/>
  <c r="M157" i="5"/>
  <c r="D137" i="5"/>
  <c r="E108" i="3"/>
  <c r="J26" i="1"/>
  <c r="K26" i="1"/>
  <c r="D125" i="5"/>
  <c r="E96" i="3"/>
  <c r="J12" i="1"/>
  <c r="K12" i="1"/>
  <c r="L106" i="3"/>
  <c r="K106" i="3"/>
  <c r="J106" i="3"/>
  <c r="I106" i="3"/>
  <c r="H106" i="3"/>
  <c r="G106" i="3"/>
  <c r="S106" i="3"/>
  <c r="R106" i="3"/>
  <c r="Q106" i="3"/>
  <c r="P106" i="3"/>
  <c r="O106" i="3"/>
  <c r="N106" i="3"/>
  <c r="M106" i="3"/>
  <c r="D231" i="5"/>
  <c r="E202" i="3"/>
  <c r="K130" i="1"/>
  <c r="J130" i="1"/>
  <c r="BC212" i="3"/>
  <c r="CM212" i="3"/>
  <c r="U228" i="5"/>
  <c r="Q228" i="5"/>
  <c r="M228" i="5"/>
  <c r="K228" i="5"/>
  <c r="V228" i="5"/>
  <c r="T228" i="5"/>
  <c r="S228" i="5"/>
  <c r="R228" i="5"/>
  <c r="P228" i="5"/>
  <c r="O228" i="5"/>
  <c r="N228" i="5"/>
  <c r="L228" i="5"/>
  <c r="AE162" i="3"/>
  <c r="AN162" i="3"/>
  <c r="AM162" i="3"/>
  <c r="AL162" i="3"/>
  <c r="AK162" i="3"/>
  <c r="AJ162" i="3"/>
  <c r="AI162" i="3"/>
  <c r="AH162" i="3"/>
  <c r="AG162" i="3"/>
  <c r="AF162" i="3"/>
  <c r="G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BC108" i="3"/>
  <c r="CM108" i="3"/>
  <c r="AN189" i="3"/>
  <c r="AM189" i="3"/>
  <c r="AL189" i="3"/>
  <c r="AK189" i="3"/>
  <c r="AJ189" i="3"/>
  <c r="AI189" i="3"/>
  <c r="AH189" i="3"/>
  <c r="AG189" i="3"/>
  <c r="AF189" i="3"/>
  <c r="AE189" i="3"/>
  <c r="AN137" i="3"/>
  <c r="AM137" i="3"/>
  <c r="AL137" i="3"/>
  <c r="AK137" i="3"/>
  <c r="AJ137" i="3"/>
  <c r="AI137" i="3"/>
  <c r="AH137" i="3"/>
  <c r="AG137" i="3"/>
  <c r="AF137" i="3"/>
  <c r="AE137" i="3"/>
  <c r="AF123" i="3"/>
  <c r="AE123" i="3"/>
  <c r="AN123" i="3"/>
  <c r="AM123" i="3"/>
  <c r="AL123" i="3"/>
  <c r="AK123" i="3"/>
  <c r="AJ123" i="3"/>
  <c r="AI123" i="3"/>
  <c r="AH123" i="3"/>
  <c r="AG123" i="3"/>
  <c r="S102" i="3"/>
  <c r="R102" i="3"/>
  <c r="Q102" i="3"/>
  <c r="P102" i="3"/>
  <c r="O102" i="3"/>
  <c r="N102" i="3"/>
  <c r="M102" i="3"/>
  <c r="K102" i="3"/>
  <c r="J102" i="3"/>
  <c r="I102" i="3"/>
  <c r="H102" i="3"/>
  <c r="L102" i="3"/>
  <c r="G102" i="3"/>
  <c r="U218" i="5"/>
  <c r="Q218" i="5"/>
  <c r="M218" i="5"/>
  <c r="N218" i="5"/>
  <c r="L218" i="5"/>
  <c r="K218" i="5"/>
  <c r="R218" i="5"/>
  <c r="V218" i="5"/>
  <c r="T218" i="5"/>
  <c r="S218" i="5"/>
  <c r="P218" i="5"/>
  <c r="O218" i="5"/>
  <c r="K161" i="3"/>
  <c r="J161" i="3"/>
  <c r="I161" i="3"/>
  <c r="H161" i="3"/>
  <c r="G161" i="3"/>
  <c r="S161" i="3"/>
  <c r="R161" i="3"/>
  <c r="Q161" i="3"/>
  <c r="P161" i="3"/>
  <c r="O161" i="3"/>
  <c r="N161" i="3"/>
  <c r="M161" i="3"/>
  <c r="L161" i="3"/>
  <c r="D146" i="5"/>
  <c r="E117" i="3"/>
  <c r="K36" i="1"/>
  <c r="J36" i="1"/>
  <c r="D132" i="5"/>
  <c r="E103" i="3"/>
  <c r="K20" i="1"/>
  <c r="J20" i="1"/>
  <c r="BC113" i="3"/>
  <c r="CM113" i="3"/>
  <c r="Q156" i="5"/>
  <c r="P156" i="5"/>
  <c r="N156" i="5"/>
  <c r="L156" i="5"/>
  <c r="K156" i="5"/>
  <c r="V156" i="5"/>
  <c r="U156" i="5"/>
  <c r="T156" i="5"/>
  <c r="S156" i="5"/>
  <c r="R156" i="5"/>
  <c r="M156" i="5"/>
  <c r="O156" i="5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BC194" i="3"/>
  <c r="CM194" i="3"/>
  <c r="D205" i="5"/>
  <c r="E176" i="3"/>
  <c r="K101" i="1"/>
  <c r="J101" i="1"/>
  <c r="AF91" i="3"/>
  <c r="AE91" i="3"/>
  <c r="AN91" i="3"/>
  <c r="AM91" i="3"/>
  <c r="AL91" i="3"/>
  <c r="AK91" i="3"/>
  <c r="AJ91" i="3"/>
  <c r="AI91" i="3"/>
  <c r="AH91" i="3"/>
  <c r="AG91" i="3"/>
  <c r="D211" i="5"/>
  <c r="E182" i="3"/>
  <c r="K108" i="1"/>
  <c r="J108" i="1"/>
  <c r="BC205" i="3"/>
  <c r="CM205" i="3"/>
  <c r="O163" i="3"/>
  <c r="N163" i="3"/>
  <c r="M163" i="3"/>
  <c r="L163" i="3"/>
  <c r="K163" i="3"/>
  <c r="J163" i="3"/>
  <c r="I163" i="3"/>
  <c r="H163" i="3"/>
  <c r="G163" i="3"/>
  <c r="S163" i="3"/>
  <c r="R163" i="3"/>
  <c r="Q163" i="3"/>
  <c r="P163" i="3"/>
  <c r="U170" i="5"/>
  <c r="Q170" i="5"/>
  <c r="P170" i="5"/>
  <c r="M170" i="5"/>
  <c r="V170" i="5"/>
  <c r="T170" i="5"/>
  <c r="S170" i="5"/>
  <c r="R170" i="5"/>
  <c r="O170" i="5"/>
  <c r="N170" i="5"/>
  <c r="L170" i="5"/>
  <c r="K170" i="5"/>
  <c r="S126" i="3"/>
  <c r="R126" i="3"/>
  <c r="Q126" i="3"/>
  <c r="P126" i="3"/>
  <c r="O126" i="3"/>
  <c r="N126" i="3"/>
  <c r="M126" i="3"/>
  <c r="L126" i="3"/>
  <c r="K126" i="3"/>
  <c r="J126" i="3"/>
  <c r="I126" i="3"/>
  <c r="H126" i="3"/>
  <c r="BR126" i="3" s="1"/>
  <c r="G126" i="3"/>
  <c r="H112" i="3"/>
  <c r="G112" i="3"/>
  <c r="S112" i="3"/>
  <c r="R112" i="3"/>
  <c r="Q112" i="3"/>
  <c r="P112" i="3"/>
  <c r="O112" i="3"/>
  <c r="N112" i="3"/>
  <c r="M112" i="3"/>
  <c r="L112" i="3"/>
  <c r="K112" i="3"/>
  <c r="J112" i="3"/>
  <c r="I112" i="3"/>
  <c r="CM93" i="3"/>
  <c r="BC93" i="3"/>
  <c r="N119" i="3"/>
  <c r="M119" i="3"/>
  <c r="L119" i="3"/>
  <c r="K119" i="3"/>
  <c r="J119" i="3"/>
  <c r="I119" i="3"/>
  <c r="H119" i="3"/>
  <c r="G119" i="3"/>
  <c r="S119" i="3"/>
  <c r="R119" i="3"/>
  <c r="Q119" i="3"/>
  <c r="P119" i="3"/>
  <c r="O119" i="3"/>
  <c r="D128" i="5"/>
  <c r="E99" i="3"/>
  <c r="K16" i="1"/>
  <c r="J16" i="1"/>
  <c r="U227" i="5"/>
  <c r="Q227" i="5"/>
  <c r="M227" i="5"/>
  <c r="K227" i="5"/>
  <c r="V227" i="5"/>
  <c r="T227" i="5"/>
  <c r="S227" i="5"/>
  <c r="R227" i="5"/>
  <c r="P227" i="5"/>
  <c r="O227" i="5"/>
  <c r="L227" i="5"/>
  <c r="N227" i="5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BC92" i="3"/>
  <c r="CM92" i="3"/>
  <c r="Q176" i="3"/>
  <c r="P176" i="3"/>
  <c r="O176" i="3"/>
  <c r="N176" i="3"/>
  <c r="M176" i="3"/>
  <c r="L176" i="3"/>
  <c r="K176" i="3"/>
  <c r="J176" i="3"/>
  <c r="I176" i="3"/>
  <c r="H176" i="3"/>
  <c r="G176" i="3"/>
  <c r="S176" i="3"/>
  <c r="R176" i="3"/>
  <c r="U167" i="5"/>
  <c r="Q167" i="5"/>
  <c r="P167" i="5"/>
  <c r="M167" i="5"/>
  <c r="O167" i="5"/>
  <c r="N167" i="5"/>
  <c r="L167" i="5"/>
  <c r="K167" i="5"/>
  <c r="V167" i="5"/>
  <c r="T167" i="5"/>
  <c r="S167" i="5"/>
  <c r="R167" i="5"/>
  <c r="P124" i="3"/>
  <c r="O124" i="3"/>
  <c r="N124" i="3"/>
  <c r="M124" i="3"/>
  <c r="L124" i="3"/>
  <c r="K124" i="3"/>
  <c r="J124" i="3"/>
  <c r="I124" i="3"/>
  <c r="H124" i="3"/>
  <c r="G124" i="3"/>
  <c r="S124" i="3"/>
  <c r="R124" i="3"/>
  <c r="Q124" i="3"/>
  <c r="U211" i="5"/>
  <c r="Q211" i="5"/>
  <c r="M211" i="5"/>
  <c r="V211" i="5"/>
  <c r="T211" i="5"/>
  <c r="S211" i="5"/>
  <c r="R211" i="5"/>
  <c r="P211" i="5"/>
  <c r="O211" i="5"/>
  <c r="N211" i="5"/>
  <c r="L211" i="5"/>
  <c r="K211" i="5"/>
  <c r="BS145" i="3"/>
  <c r="BR145" i="3"/>
  <c r="BQ145" i="3"/>
  <c r="BP145" i="3"/>
  <c r="BO145" i="3"/>
  <c r="BX145" i="3"/>
  <c r="BW145" i="3"/>
  <c r="BV145" i="3"/>
  <c r="BU145" i="3"/>
  <c r="BT145" i="3"/>
  <c r="BU126" i="3"/>
  <c r="BT126" i="3"/>
  <c r="BS126" i="3"/>
  <c r="BQ126" i="3"/>
  <c r="BP126" i="3"/>
  <c r="BO126" i="3"/>
  <c r="BX126" i="3"/>
  <c r="BW126" i="3"/>
  <c r="BV126" i="3"/>
  <c r="CM106" i="3"/>
  <c r="BC106" i="3"/>
  <c r="B24" i="6"/>
  <c r="F24" i="6"/>
  <c r="E24" i="6"/>
  <c r="D24" i="6"/>
  <c r="C24" i="6"/>
  <c r="E16" i="6"/>
  <c r="C6" i="5"/>
  <c r="H167" i="5" s="1"/>
  <c r="B6" i="5"/>
  <c r="AH214" i="3"/>
  <c r="AG214" i="3"/>
  <c r="AF214" i="3"/>
  <c r="AE214" i="3"/>
  <c r="AN214" i="3"/>
  <c r="AM214" i="3"/>
  <c r="AL214" i="3"/>
  <c r="AK214" i="3"/>
  <c r="AJ214" i="3"/>
  <c r="AI214" i="3"/>
  <c r="CM177" i="3"/>
  <c r="BC177" i="3"/>
  <c r="C63" i="6"/>
  <c r="C53" i="6"/>
  <c r="AN148" i="3"/>
  <c r="AM148" i="3"/>
  <c r="AL148" i="3"/>
  <c r="AK148" i="3"/>
  <c r="AJ148" i="3"/>
  <c r="AI148" i="3"/>
  <c r="AH148" i="3"/>
  <c r="AG148" i="3"/>
  <c r="AF148" i="3"/>
  <c r="AE148" i="3"/>
  <c r="L122" i="3"/>
  <c r="K122" i="3"/>
  <c r="J122" i="3"/>
  <c r="I122" i="3"/>
  <c r="H122" i="3"/>
  <c r="G122" i="3"/>
  <c r="S122" i="3"/>
  <c r="R122" i="3"/>
  <c r="Q122" i="3"/>
  <c r="P122" i="3"/>
  <c r="O122" i="3"/>
  <c r="N122" i="3"/>
  <c r="M122" i="3"/>
  <c r="D233" i="5"/>
  <c r="E204" i="3"/>
  <c r="J132" i="1"/>
  <c r="K132" i="1"/>
  <c r="N143" i="3"/>
  <c r="M143" i="3"/>
  <c r="L143" i="3"/>
  <c r="K143" i="3"/>
  <c r="J143" i="3"/>
  <c r="I143" i="3"/>
  <c r="H143" i="3"/>
  <c r="G143" i="3"/>
  <c r="S143" i="3"/>
  <c r="R143" i="3"/>
  <c r="Q143" i="3"/>
  <c r="P143" i="3"/>
  <c r="O143" i="3"/>
  <c r="AL106" i="3"/>
  <c r="AK106" i="3"/>
  <c r="AJ106" i="3"/>
  <c r="AI106" i="3"/>
  <c r="AH106" i="3"/>
  <c r="AG106" i="3"/>
  <c r="AF106" i="3"/>
  <c r="AE106" i="3"/>
  <c r="AN106" i="3"/>
  <c r="AM106" i="3"/>
  <c r="N95" i="3"/>
  <c r="M95" i="3"/>
  <c r="L95" i="3"/>
  <c r="K95" i="3"/>
  <c r="J95" i="3"/>
  <c r="I95" i="3"/>
  <c r="H95" i="3"/>
  <c r="G95" i="3"/>
  <c r="S95" i="3"/>
  <c r="R95" i="3"/>
  <c r="Q95" i="3"/>
  <c r="P95" i="3"/>
  <c r="O95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M158" i="3"/>
  <c r="L158" i="3"/>
  <c r="K158" i="3"/>
  <c r="J158" i="3"/>
  <c r="I158" i="3"/>
  <c r="H158" i="3"/>
  <c r="G158" i="3"/>
  <c r="S158" i="3"/>
  <c r="R158" i="3"/>
  <c r="Q158" i="3"/>
  <c r="P158" i="3"/>
  <c r="O158" i="3"/>
  <c r="N158" i="3"/>
  <c r="AI156" i="3"/>
  <c r="AH156" i="3"/>
  <c r="AG156" i="3"/>
  <c r="AF156" i="3"/>
  <c r="AE156" i="3"/>
  <c r="AN156" i="3"/>
  <c r="AM156" i="3"/>
  <c r="AL156" i="3"/>
  <c r="AK156" i="3"/>
  <c r="AJ156" i="3"/>
  <c r="D217" i="5"/>
  <c r="E188" i="3"/>
  <c r="K114" i="1"/>
  <c r="J114" i="1"/>
  <c r="BX149" i="3"/>
  <c r="BW149" i="3"/>
  <c r="BV149" i="3"/>
  <c r="BU149" i="3"/>
  <c r="BT149" i="3"/>
  <c r="BS149" i="3"/>
  <c r="BR149" i="3"/>
  <c r="BQ149" i="3"/>
  <c r="BP149" i="3"/>
  <c r="BO149" i="3"/>
  <c r="D223" i="5"/>
  <c r="E194" i="3"/>
  <c r="K121" i="1"/>
  <c r="J121" i="1"/>
  <c r="AF139" i="3"/>
  <c r="AE139" i="3"/>
  <c r="AN139" i="3"/>
  <c r="AM139" i="3"/>
  <c r="AL139" i="3"/>
  <c r="AK139" i="3"/>
  <c r="AJ139" i="3"/>
  <c r="AI139" i="3"/>
  <c r="AH139" i="3"/>
  <c r="AG139" i="3"/>
  <c r="D156" i="5"/>
  <c r="E127" i="3"/>
  <c r="K47" i="1"/>
  <c r="J47" i="1"/>
  <c r="CM175" i="3"/>
  <c r="BC175" i="3"/>
  <c r="AG175" i="3"/>
  <c r="AF175" i="3"/>
  <c r="AE175" i="3"/>
  <c r="AN175" i="3"/>
  <c r="AM175" i="3"/>
  <c r="AL175" i="3"/>
  <c r="AK175" i="3"/>
  <c r="AJ175" i="3"/>
  <c r="AI175" i="3"/>
  <c r="AH175" i="3"/>
  <c r="D192" i="5"/>
  <c r="E163" i="3"/>
  <c r="K87" i="1"/>
  <c r="J87" i="1"/>
  <c r="D227" i="5"/>
  <c r="E198" i="3"/>
  <c r="K126" i="1"/>
  <c r="J126" i="1"/>
  <c r="U204" i="5"/>
  <c r="Q204" i="5"/>
  <c r="M204" i="5"/>
  <c r="V204" i="5"/>
  <c r="T204" i="5"/>
  <c r="R204" i="5"/>
  <c r="L204" i="5"/>
  <c r="K204" i="5"/>
  <c r="S204" i="5"/>
  <c r="P204" i="5"/>
  <c r="O204" i="5"/>
  <c r="N204" i="5"/>
  <c r="CM147" i="3"/>
  <c r="BC147" i="3"/>
  <c r="BC135" i="3"/>
  <c r="CM135" i="3"/>
  <c r="AF115" i="3"/>
  <c r="AE115" i="3"/>
  <c r="AN115" i="3"/>
  <c r="AM115" i="3"/>
  <c r="AL115" i="3"/>
  <c r="AK115" i="3"/>
  <c r="AJ115" i="3"/>
  <c r="AI115" i="3"/>
  <c r="AH115" i="3"/>
  <c r="AG115" i="3"/>
  <c r="AN100" i="3"/>
  <c r="AM100" i="3"/>
  <c r="AL100" i="3"/>
  <c r="AK100" i="3"/>
  <c r="AJ100" i="3"/>
  <c r="AI100" i="3"/>
  <c r="AG100" i="3"/>
  <c r="AF100" i="3"/>
  <c r="AE100" i="3"/>
  <c r="AH100" i="3"/>
  <c r="O171" i="3"/>
  <c r="N171" i="3"/>
  <c r="M171" i="3"/>
  <c r="L171" i="3"/>
  <c r="K171" i="3"/>
  <c r="J171" i="3"/>
  <c r="I171" i="3"/>
  <c r="H171" i="3"/>
  <c r="G171" i="3"/>
  <c r="S171" i="3"/>
  <c r="R171" i="3"/>
  <c r="Q171" i="3"/>
  <c r="P171" i="3"/>
  <c r="D234" i="5"/>
  <c r="E205" i="3"/>
  <c r="K133" i="1"/>
  <c r="J133" i="1"/>
  <c r="AN194" i="3"/>
  <c r="AM194" i="3"/>
  <c r="AL194" i="3"/>
  <c r="AK194" i="3"/>
  <c r="AJ194" i="3"/>
  <c r="AI194" i="3"/>
  <c r="AH194" i="3"/>
  <c r="AG194" i="3"/>
  <c r="AF194" i="3"/>
  <c r="AE194" i="3"/>
  <c r="D159" i="5"/>
  <c r="E130" i="3"/>
  <c r="K50" i="1"/>
  <c r="J50" i="1"/>
  <c r="D145" i="5"/>
  <c r="E116" i="3"/>
  <c r="K34" i="1"/>
  <c r="J34" i="1"/>
  <c r="U223" i="5"/>
  <c r="Q223" i="5"/>
  <c r="M223" i="5"/>
  <c r="K223" i="5"/>
  <c r="V223" i="5"/>
  <c r="T223" i="5"/>
  <c r="R223" i="5"/>
  <c r="O223" i="5"/>
  <c r="S223" i="5"/>
  <c r="P223" i="5"/>
  <c r="N223" i="5"/>
  <c r="L223" i="5"/>
  <c r="BC190" i="3"/>
  <c r="CM190" i="3"/>
  <c r="U207" i="5"/>
  <c r="Q207" i="5"/>
  <c r="M207" i="5"/>
  <c r="K207" i="5"/>
  <c r="T207" i="5"/>
  <c r="V207" i="5"/>
  <c r="S207" i="5"/>
  <c r="R207" i="5"/>
  <c r="P207" i="5"/>
  <c r="O207" i="5"/>
  <c r="N207" i="5"/>
  <c r="L207" i="5"/>
  <c r="BC124" i="3"/>
  <c r="CM124" i="3"/>
  <c r="D135" i="5"/>
  <c r="E106" i="3"/>
  <c r="K23" i="1"/>
  <c r="J23" i="1"/>
  <c r="BC97" i="3"/>
  <c r="CM97" i="3"/>
  <c r="D236" i="5"/>
  <c r="F7" i="6"/>
  <c r="C30" i="7" s="1"/>
  <c r="E207" i="3"/>
  <c r="K136" i="1"/>
  <c r="J136" i="1"/>
  <c r="U213" i="5"/>
  <c r="Q213" i="5"/>
  <c r="M213" i="5"/>
  <c r="P213" i="5"/>
  <c r="O213" i="5"/>
  <c r="N213" i="5"/>
  <c r="L213" i="5"/>
  <c r="K213" i="5"/>
  <c r="V213" i="5"/>
  <c r="T213" i="5"/>
  <c r="S213" i="5"/>
  <c r="R213" i="5"/>
  <c r="CM153" i="3"/>
  <c r="BC153" i="3"/>
  <c r="AN124" i="3"/>
  <c r="AM124" i="3"/>
  <c r="AL124" i="3"/>
  <c r="AK124" i="3"/>
  <c r="AJ124" i="3"/>
  <c r="AI124" i="3"/>
  <c r="AH124" i="3"/>
  <c r="AG124" i="3"/>
  <c r="AF124" i="3"/>
  <c r="AE124" i="3"/>
  <c r="AJ109" i="3"/>
  <c r="AI109" i="3"/>
  <c r="AH109" i="3"/>
  <c r="AG109" i="3"/>
  <c r="AF109" i="3"/>
  <c r="AE109" i="3"/>
  <c r="AN109" i="3"/>
  <c r="AM109" i="3"/>
  <c r="AL109" i="3"/>
  <c r="AK109" i="3"/>
  <c r="BC160" i="3"/>
  <c r="CM160" i="3"/>
  <c r="N197" i="3"/>
  <c r="M197" i="3"/>
  <c r="L197" i="3"/>
  <c r="K197" i="3"/>
  <c r="J197" i="3"/>
  <c r="I197" i="3"/>
  <c r="H197" i="3"/>
  <c r="G197" i="3"/>
  <c r="S197" i="3"/>
  <c r="R197" i="3"/>
  <c r="Q197" i="3"/>
  <c r="P197" i="3"/>
  <c r="O197" i="3"/>
  <c r="V182" i="5"/>
  <c r="U182" i="5"/>
  <c r="T182" i="5"/>
  <c r="S182" i="5"/>
  <c r="R182" i="5"/>
  <c r="Q182" i="5"/>
  <c r="P182" i="5"/>
  <c r="O182" i="5"/>
  <c r="N182" i="5"/>
  <c r="M182" i="5"/>
  <c r="L182" i="5"/>
  <c r="K182" i="5"/>
  <c r="U244" i="5"/>
  <c r="U243" i="5"/>
  <c r="U242" i="5"/>
  <c r="U241" i="5"/>
  <c r="U240" i="5"/>
  <c r="U239" i="5"/>
  <c r="U238" i="5"/>
  <c r="U237" i="5"/>
  <c r="U236" i="5"/>
  <c r="T244" i="5"/>
  <c r="T243" i="5"/>
  <c r="T242" i="5"/>
  <c r="T241" i="5"/>
  <c r="T240" i="5"/>
  <c r="T239" i="5"/>
  <c r="T238" i="5"/>
  <c r="T237" i="5"/>
  <c r="T236" i="5"/>
  <c r="K244" i="5"/>
  <c r="K243" i="5"/>
  <c r="K242" i="5"/>
  <c r="K241" i="5"/>
  <c r="K240" i="5"/>
  <c r="K239" i="5"/>
  <c r="K238" i="5"/>
  <c r="K237" i="5"/>
  <c r="K236" i="5"/>
  <c r="S244" i="5"/>
  <c r="M239" i="5"/>
  <c r="O238" i="5"/>
  <c r="Q237" i="5"/>
  <c r="S236" i="5"/>
  <c r="R244" i="5"/>
  <c r="V243" i="5"/>
  <c r="Q244" i="5"/>
  <c r="S243" i="5"/>
  <c r="M238" i="5"/>
  <c r="O237" i="5"/>
  <c r="Q236" i="5"/>
  <c r="P244" i="5"/>
  <c r="R243" i="5"/>
  <c r="V242" i="5"/>
  <c r="O244" i="5"/>
  <c r="Q243" i="5"/>
  <c r="S242" i="5"/>
  <c r="M237" i="5"/>
  <c r="O236" i="5"/>
  <c r="N244" i="5"/>
  <c r="P243" i="5"/>
  <c r="R242" i="5"/>
  <c r="V241" i="5"/>
  <c r="M244" i="5"/>
  <c r="O243" i="5"/>
  <c r="Q242" i="5"/>
  <c r="S241" i="5"/>
  <c r="M236" i="5"/>
  <c r="L244" i="5"/>
  <c r="N243" i="5"/>
  <c r="P242" i="5"/>
  <c r="R241" i="5"/>
  <c r="V240" i="5"/>
  <c r="M243" i="5"/>
  <c r="O242" i="5"/>
  <c r="Q241" i="5"/>
  <c r="S240" i="5"/>
  <c r="L243" i="5"/>
  <c r="N242" i="5"/>
  <c r="P241" i="5"/>
  <c r="R240" i="5"/>
  <c r="V239" i="5"/>
  <c r="M242" i="5"/>
  <c r="O241" i="5"/>
  <c r="Q240" i="5"/>
  <c r="S239" i="5"/>
  <c r="M240" i="5"/>
  <c r="O239" i="5"/>
  <c r="Q238" i="5"/>
  <c r="S237" i="5"/>
  <c r="P240" i="5"/>
  <c r="P238" i="5"/>
  <c r="O240" i="5"/>
  <c r="N238" i="5"/>
  <c r="V236" i="5"/>
  <c r="N240" i="5"/>
  <c r="L238" i="5"/>
  <c r="R236" i="5"/>
  <c r="L240" i="5"/>
  <c r="P236" i="5"/>
  <c r="N236" i="5"/>
  <c r="L236" i="5"/>
  <c r="R239" i="5"/>
  <c r="L242" i="5"/>
  <c r="Q239" i="5"/>
  <c r="V237" i="5"/>
  <c r="P239" i="5"/>
  <c r="R237" i="5"/>
  <c r="N239" i="5"/>
  <c r="P237" i="5"/>
  <c r="L239" i="5"/>
  <c r="N237" i="5"/>
  <c r="N241" i="5"/>
  <c r="L237" i="5"/>
  <c r="M241" i="5"/>
  <c r="L241" i="5"/>
  <c r="V238" i="5"/>
  <c r="V244" i="5"/>
  <c r="S238" i="5"/>
  <c r="R238" i="5"/>
  <c r="AN113" i="3"/>
  <c r="AM113" i="3"/>
  <c r="AL113" i="3"/>
  <c r="AK113" i="3"/>
  <c r="AJ113" i="3"/>
  <c r="AI113" i="3"/>
  <c r="AH113" i="3"/>
  <c r="AG113" i="3"/>
  <c r="AF113" i="3"/>
  <c r="AE113" i="3"/>
  <c r="D121" i="5"/>
  <c r="E92" i="3"/>
  <c r="K8" i="1"/>
  <c r="J8" i="1"/>
  <c r="AN119" i="3"/>
  <c r="AM119" i="3"/>
  <c r="AL119" i="3"/>
  <c r="AK119" i="3"/>
  <c r="AJ119" i="3"/>
  <c r="AI119" i="3"/>
  <c r="AH119" i="3"/>
  <c r="AG119" i="3"/>
  <c r="AF119" i="3"/>
  <c r="AE119" i="3"/>
  <c r="V192" i="5"/>
  <c r="U192" i="5"/>
  <c r="R192" i="5"/>
  <c r="Q192" i="5"/>
  <c r="P192" i="5"/>
  <c r="S192" i="5"/>
  <c r="O192" i="5"/>
  <c r="N192" i="5"/>
  <c r="M192" i="5"/>
  <c r="L192" i="5"/>
  <c r="K192" i="5"/>
  <c r="T192" i="5"/>
  <c r="P140" i="3"/>
  <c r="O140" i="3"/>
  <c r="N140" i="3"/>
  <c r="M140" i="3"/>
  <c r="L140" i="3"/>
  <c r="K140" i="3"/>
  <c r="J140" i="3"/>
  <c r="I140" i="3"/>
  <c r="H140" i="3"/>
  <c r="G140" i="3"/>
  <c r="S140" i="3"/>
  <c r="R140" i="3"/>
  <c r="Q140" i="3"/>
  <c r="AN103" i="3"/>
  <c r="AM103" i="3"/>
  <c r="AL103" i="3"/>
  <c r="AK103" i="3"/>
  <c r="AJ103" i="3"/>
  <c r="AI103" i="3"/>
  <c r="AH103" i="3"/>
  <c r="AG103" i="3"/>
  <c r="AE103" i="3"/>
  <c r="AF103" i="3"/>
  <c r="CM139" i="3"/>
  <c r="BC139" i="3"/>
  <c r="Q141" i="5"/>
  <c r="P141" i="5"/>
  <c r="L141" i="5"/>
  <c r="K141" i="5"/>
  <c r="V141" i="5"/>
  <c r="U141" i="5"/>
  <c r="T141" i="5"/>
  <c r="S141" i="5"/>
  <c r="M141" i="5"/>
  <c r="R141" i="5"/>
  <c r="O141" i="5"/>
  <c r="N141" i="5"/>
  <c r="Q148" i="5"/>
  <c r="P148" i="5"/>
  <c r="L148" i="5"/>
  <c r="K148" i="5"/>
  <c r="R148" i="5"/>
  <c r="O148" i="5"/>
  <c r="N148" i="5"/>
  <c r="M148" i="5"/>
  <c r="U148" i="5"/>
  <c r="S148" i="5"/>
  <c r="V148" i="5"/>
  <c r="T148" i="5"/>
  <c r="BC197" i="3"/>
  <c r="CM197" i="3"/>
  <c r="V199" i="5"/>
  <c r="U199" i="5"/>
  <c r="T199" i="5"/>
  <c r="R199" i="5"/>
  <c r="Q199" i="5"/>
  <c r="P199" i="5"/>
  <c r="L199" i="5"/>
  <c r="K199" i="5"/>
  <c r="S199" i="5"/>
  <c r="O199" i="5"/>
  <c r="N199" i="5"/>
  <c r="M199" i="5"/>
  <c r="N205" i="3"/>
  <c r="M205" i="3"/>
  <c r="L205" i="3"/>
  <c r="K205" i="3"/>
  <c r="J205" i="3"/>
  <c r="I205" i="3"/>
  <c r="H205" i="3"/>
  <c r="G205" i="3"/>
  <c r="S205" i="3"/>
  <c r="R205" i="3"/>
  <c r="Q205" i="3"/>
  <c r="P205" i="3"/>
  <c r="O205" i="3"/>
  <c r="U205" i="5"/>
  <c r="Q205" i="5"/>
  <c r="M205" i="5"/>
  <c r="P205" i="5"/>
  <c r="O205" i="5"/>
  <c r="N205" i="5"/>
  <c r="L205" i="5"/>
  <c r="K205" i="5"/>
  <c r="V205" i="5"/>
  <c r="T205" i="5"/>
  <c r="S205" i="5"/>
  <c r="R205" i="5"/>
  <c r="CM136" i="3"/>
  <c r="BC136" i="3"/>
  <c r="Q153" i="5"/>
  <c r="P153" i="5"/>
  <c r="N153" i="5"/>
  <c r="L153" i="5"/>
  <c r="K153" i="5"/>
  <c r="V153" i="5"/>
  <c r="U153" i="5"/>
  <c r="T153" i="5"/>
  <c r="R153" i="5"/>
  <c r="M153" i="5"/>
  <c r="S153" i="5"/>
  <c r="O153" i="5"/>
  <c r="CM180" i="3"/>
  <c r="BC180" i="3"/>
  <c r="D191" i="5"/>
  <c r="E162" i="3"/>
  <c r="K86" i="1"/>
  <c r="J86" i="1"/>
  <c r="P116" i="3"/>
  <c r="O116" i="3"/>
  <c r="N116" i="3"/>
  <c r="M116" i="3"/>
  <c r="L116" i="3"/>
  <c r="K116" i="3"/>
  <c r="J116" i="3"/>
  <c r="I116" i="3"/>
  <c r="H116" i="3"/>
  <c r="G116" i="3"/>
  <c r="S116" i="3"/>
  <c r="R116" i="3"/>
  <c r="Q116" i="3"/>
  <c r="J203" i="3"/>
  <c r="I203" i="3"/>
  <c r="H203" i="3"/>
  <c r="G203" i="3"/>
  <c r="S203" i="3"/>
  <c r="R203" i="3"/>
  <c r="Q203" i="3"/>
  <c r="P203" i="3"/>
  <c r="O203" i="3"/>
  <c r="N203" i="3"/>
  <c r="M203" i="3"/>
  <c r="L203" i="3"/>
  <c r="K203" i="3"/>
  <c r="BC126" i="3"/>
  <c r="CM126" i="3"/>
  <c r="CM214" i="3"/>
  <c r="BC214" i="3"/>
  <c r="H120" i="3"/>
  <c r="G120" i="3"/>
  <c r="S120" i="3"/>
  <c r="R120" i="3"/>
  <c r="Q120" i="3"/>
  <c r="P120" i="3"/>
  <c r="O120" i="3"/>
  <c r="N120" i="3"/>
  <c r="M120" i="3"/>
  <c r="L120" i="3"/>
  <c r="K120" i="3"/>
  <c r="J120" i="3"/>
  <c r="I120" i="3"/>
  <c r="P135" i="5"/>
  <c r="R135" i="5"/>
  <c r="Q135" i="5"/>
  <c r="O135" i="5"/>
  <c r="N135" i="5"/>
  <c r="M135" i="5"/>
  <c r="L135" i="5"/>
  <c r="K135" i="5"/>
  <c r="U135" i="5"/>
  <c r="T135" i="5"/>
  <c r="S135" i="5"/>
  <c r="V135" i="5"/>
  <c r="AN199" i="3"/>
  <c r="AM199" i="3"/>
  <c r="AL199" i="3"/>
  <c r="AK199" i="3"/>
  <c r="AJ199" i="3"/>
  <c r="AI199" i="3"/>
  <c r="AH199" i="3"/>
  <c r="AG199" i="3"/>
  <c r="AF199" i="3"/>
  <c r="AE199" i="3"/>
  <c r="U220" i="5"/>
  <c r="Q220" i="5"/>
  <c r="M220" i="5"/>
  <c r="V220" i="5"/>
  <c r="T220" i="5"/>
  <c r="S220" i="5"/>
  <c r="R220" i="5"/>
  <c r="L220" i="5"/>
  <c r="P220" i="5"/>
  <c r="O220" i="5"/>
  <c r="N220" i="5"/>
  <c r="K220" i="5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J125" i="3"/>
  <c r="I125" i="3"/>
  <c r="H125" i="3"/>
  <c r="G125" i="3"/>
  <c r="S125" i="3"/>
  <c r="R125" i="3"/>
  <c r="Q125" i="3"/>
  <c r="P125" i="3"/>
  <c r="O125" i="3"/>
  <c r="N125" i="3"/>
  <c r="M125" i="3"/>
  <c r="L125" i="3"/>
  <c r="K125" i="3"/>
  <c r="Q131" i="5"/>
  <c r="P131" i="5"/>
  <c r="N131" i="5"/>
  <c r="M131" i="5"/>
  <c r="L131" i="5"/>
  <c r="K131" i="5"/>
  <c r="V131" i="5"/>
  <c r="U131" i="5"/>
  <c r="T131" i="5"/>
  <c r="S131" i="5"/>
  <c r="R131" i="5"/>
  <c r="O131" i="5"/>
  <c r="CM188" i="3"/>
  <c r="BC188" i="3"/>
  <c r="V190" i="5"/>
  <c r="U190" i="5"/>
  <c r="R190" i="5"/>
  <c r="Q190" i="5"/>
  <c r="P190" i="5"/>
  <c r="L190" i="5"/>
  <c r="K190" i="5"/>
  <c r="T190" i="5"/>
  <c r="N190" i="5"/>
  <c r="S190" i="5"/>
  <c r="O190" i="5"/>
  <c r="M190" i="5"/>
  <c r="U215" i="5"/>
  <c r="Q215" i="5"/>
  <c r="M215" i="5"/>
  <c r="K215" i="5"/>
  <c r="V215" i="5"/>
  <c r="T215" i="5"/>
  <c r="P215" i="5"/>
  <c r="O215" i="5"/>
  <c r="N215" i="5"/>
  <c r="L215" i="5"/>
  <c r="S215" i="5"/>
  <c r="R215" i="5"/>
  <c r="AN173" i="3"/>
  <c r="AM173" i="3"/>
  <c r="AL173" i="3"/>
  <c r="AK173" i="3"/>
  <c r="AJ173" i="3"/>
  <c r="AI173" i="3"/>
  <c r="AH173" i="3"/>
  <c r="AG173" i="3"/>
  <c r="AF173" i="3"/>
  <c r="AE173" i="3"/>
  <c r="AG159" i="3"/>
  <c r="AF159" i="3"/>
  <c r="AE159" i="3"/>
  <c r="AN159" i="3"/>
  <c r="AM159" i="3"/>
  <c r="AL159" i="3"/>
  <c r="AK159" i="3"/>
  <c r="AJ159" i="3"/>
  <c r="AI159" i="3"/>
  <c r="AH159" i="3"/>
  <c r="AF147" i="3"/>
  <c r="AE147" i="3"/>
  <c r="AN147" i="3"/>
  <c r="AM147" i="3"/>
  <c r="AL147" i="3"/>
  <c r="AK147" i="3"/>
  <c r="AJ147" i="3"/>
  <c r="AI147" i="3"/>
  <c r="AH147" i="3"/>
  <c r="AG147" i="3"/>
  <c r="I242" i="5"/>
  <c r="I215" i="5"/>
  <c r="I224" i="5"/>
  <c r="R178" i="5"/>
  <c r="AF178" i="5" s="1"/>
  <c r="AG178" i="5" s="1"/>
  <c r="I186" i="5"/>
  <c r="I167" i="5"/>
  <c r="I144" i="5"/>
  <c r="Q151" i="5"/>
  <c r="P151" i="5"/>
  <c r="N151" i="5"/>
  <c r="L151" i="5"/>
  <c r="K151" i="5"/>
  <c r="V151" i="5"/>
  <c r="U151" i="5"/>
  <c r="T151" i="5"/>
  <c r="S151" i="5"/>
  <c r="R151" i="5"/>
  <c r="O151" i="5"/>
  <c r="M151" i="5"/>
  <c r="AF99" i="3"/>
  <c r="AE99" i="3"/>
  <c r="AM99" i="3"/>
  <c r="AL99" i="3"/>
  <c r="AK99" i="3"/>
  <c r="AJ99" i="3"/>
  <c r="AN99" i="3"/>
  <c r="AI99" i="3"/>
  <c r="AH99" i="3"/>
  <c r="AG99" i="3"/>
  <c r="AF201" i="3"/>
  <c r="AE201" i="3"/>
  <c r="AN201" i="3"/>
  <c r="AM201" i="3"/>
  <c r="AL201" i="3"/>
  <c r="AK201" i="3"/>
  <c r="AJ201" i="3"/>
  <c r="AI201" i="3"/>
  <c r="AH201" i="3"/>
  <c r="AG201" i="3"/>
  <c r="D190" i="5"/>
  <c r="E161" i="3"/>
  <c r="J84" i="1"/>
  <c r="K84" i="1"/>
  <c r="V172" i="5"/>
  <c r="U172" i="5"/>
  <c r="S172" i="5"/>
  <c r="Q172" i="5"/>
  <c r="P172" i="5"/>
  <c r="M172" i="5"/>
  <c r="T172" i="5"/>
  <c r="R172" i="5"/>
  <c r="O172" i="5"/>
  <c r="N172" i="5"/>
  <c r="L172" i="5"/>
  <c r="K172" i="5"/>
  <c r="Q124" i="5"/>
  <c r="P124" i="5"/>
  <c r="L124" i="5"/>
  <c r="K124" i="5"/>
  <c r="V124" i="5"/>
  <c r="U124" i="5"/>
  <c r="T124" i="5"/>
  <c r="S124" i="5"/>
  <c r="R124" i="5"/>
  <c r="O124" i="5"/>
  <c r="N124" i="5"/>
  <c r="M124" i="5"/>
  <c r="K230" i="5"/>
  <c r="L230" i="5"/>
  <c r="T230" i="5"/>
  <c r="R230" i="5"/>
  <c r="N230" i="5"/>
  <c r="V230" i="5"/>
  <c r="U230" i="5"/>
  <c r="S230" i="5"/>
  <c r="Q230" i="5"/>
  <c r="P230" i="5"/>
  <c r="O230" i="5"/>
  <c r="M230" i="5"/>
  <c r="O187" i="3"/>
  <c r="N187" i="3"/>
  <c r="M187" i="3"/>
  <c r="L187" i="3"/>
  <c r="K187" i="3"/>
  <c r="J187" i="3"/>
  <c r="I187" i="3"/>
  <c r="H187" i="3"/>
  <c r="G187" i="3"/>
  <c r="S187" i="3"/>
  <c r="R187" i="3"/>
  <c r="Q187" i="3"/>
  <c r="P187" i="3"/>
  <c r="V187" i="5"/>
  <c r="R187" i="5"/>
  <c r="Q187" i="5"/>
  <c r="P187" i="5"/>
  <c r="U187" i="5"/>
  <c r="T187" i="5"/>
  <c r="S187" i="5"/>
  <c r="O187" i="5"/>
  <c r="N187" i="5"/>
  <c r="M187" i="5"/>
  <c r="L187" i="5"/>
  <c r="K187" i="5"/>
  <c r="CM104" i="3"/>
  <c r="BC104" i="3"/>
  <c r="AK185" i="3"/>
  <c r="AJ185" i="3"/>
  <c r="AI185" i="3"/>
  <c r="AH185" i="3"/>
  <c r="AG185" i="3"/>
  <c r="AF185" i="3"/>
  <c r="AE185" i="3"/>
  <c r="AN185" i="3"/>
  <c r="AM185" i="3"/>
  <c r="AL185" i="3"/>
  <c r="AG191" i="3"/>
  <c r="AF191" i="3"/>
  <c r="AE191" i="3"/>
  <c r="AN191" i="3"/>
  <c r="AM191" i="3"/>
  <c r="AL191" i="3"/>
  <c r="AK191" i="3"/>
  <c r="AJ191" i="3"/>
  <c r="AI191" i="3"/>
  <c r="AH191" i="3"/>
  <c r="AK177" i="3"/>
  <c r="AJ177" i="3"/>
  <c r="AI177" i="3"/>
  <c r="AH177" i="3"/>
  <c r="AG177" i="3"/>
  <c r="AF177" i="3"/>
  <c r="AE177" i="3"/>
  <c r="AN177" i="3"/>
  <c r="AM177" i="3"/>
  <c r="AL177" i="3"/>
  <c r="AJ125" i="3"/>
  <c r="AI125" i="3"/>
  <c r="AH125" i="3"/>
  <c r="AG125" i="3"/>
  <c r="AF125" i="3"/>
  <c r="AE125" i="3"/>
  <c r="AN125" i="3"/>
  <c r="AM125" i="3"/>
  <c r="AL125" i="3"/>
  <c r="AK125" i="3"/>
  <c r="H104" i="3"/>
  <c r="G104" i="3"/>
  <c r="S104" i="3"/>
  <c r="R104" i="3"/>
  <c r="Q104" i="3"/>
  <c r="O104" i="3"/>
  <c r="N104" i="3"/>
  <c r="M104" i="3"/>
  <c r="L104" i="3"/>
  <c r="K104" i="3"/>
  <c r="P104" i="3"/>
  <c r="J104" i="3"/>
  <c r="I104" i="3"/>
  <c r="H206" i="3"/>
  <c r="G206" i="3"/>
  <c r="S206" i="3"/>
  <c r="R206" i="3"/>
  <c r="Q206" i="3"/>
  <c r="P206" i="3"/>
  <c r="O206" i="3"/>
  <c r="N206" i="3"/>
  <c r="M206" i="3"/>
  <c r="L206" i="3"/>
  <c r="K206" i="3"/>
  <c r="J206" i="3"/>
  <c r="I206" i="3"/>
  <c r="V191" i="5"/>
  <c r="U191" i="5"/>
  <c r="R191" i="5"/>
  <c r="Q191" i="5"/>
  <c r="P191" i="5"/>
  <c r="T191" i="5"/>
  <c r="S191" i="5"/>
  <c r="O191" i="5"/>
  <c r="N191" i="5"/>
  <c r="M191" i="5"/>
  <c r="L191" i="5"/>
  <c r="K191" i="5"/>
  <c r="D134" i="5"/>
  <c r="E105" i="3"/>
  <c r="J22" i="1"/>
  <c r="K22" i="1"/>
  <c r="R129" i="3"/>
  <c r="Q129" i="3"/>
  <c r="P129" i="3"/>
  <c r="O129" i="3"/>
  <c r="N129" i="3"/>
  <c r="M129" i="3"/>
  <c r="L129" i="3"/>
  <c r="K129" i="3"/>
  <c r="J129" i="3"/>
  <c r="I129" i="3"/>
  <c r="H129" i="3"/>
  <c r="G129" i="3"/>
  <c r="S129" i="3"/>
  <c r="AN204" i="3"/>
  <c r="AM204" i="3"/>
  <c r="AL204" i="3"/>
  <c r="AK204" i="3"/>
  <c r="AJ204" i="3"/>
  <c r="AI204" i="3"/>
  <c r="AH204" i="3"/>
  <c r="AG204" i="3"/>
  <c r="AF204" i="3"/>
  <c r="AE204" i="3"/>
  <c r="AK161" i="3"/>
  <c r="AJ161" i="3"/>
  <c r="AI161" i="3"/>
  <c r="AH161" i="3"/>
  <c r="AG161" i="3"/>
  <c r="AF161" i="3"/>
  <c r="AE161" i="3"/>
  <c r="AN161" i="3"/>
  <c r="AM161" i="3"/>
  <c r="AL161" i="3"/>
  <c r="BC100" i="3"/>
  <c r="CM100" i="3"/>
  <c r="D242" i="5"/>
  <c r="F13" i="6"/>
  <c r="C36" i="7" s="1"/>
  <c r="E213" i="3"/>
  <c r="K142" i="1"/>
  <c r="J142" i="1"/>
  <c r="AN196" i="3"/>
  <c r="AM196" i="3"/>
  <c r="AL196" i="3"/>
  <c r="AK196" i="3"/>
  <c r="AJ196" i="3"/>
  <c r="AI196" i="3"/>
  <c r="AH196" i="3"/>
  <c r="AG196" i="3"/>
  <c r="AF196" i="3"/>
  <c r="AE196" i="3"/>
  <c r="BC173" i="3"/>
  <c r="CM173" i="3"/>
  <c r="D138" i="5"/>
  <c r="E109" i="3"/>
  <c r="K27" i="1"/>
  <c r="J27" i="1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AN202" i="3"/>
  <c r="AM202" i="3"/>
  <c r="AL202" i="3"/>
  <c r="AK202" i="3"/>
  <c r="AJ202" i="3"/>
  <c r="AI202" i="3"/>
  <c r="AH202" i="3"/>
  <c r="AG202" i="3"/>
  <c r="AF202" i="3"/>
  <c r="AE202" i="3"/>
  <c r="D219" i="5"/>
  <c r="E190" i="3"/>
  <c r="K117" i="1"/>
  <c r="J117" i="1"/>
  <c r="BC127" i="3"/>
  <c r="CM127" i="3"/>
  <c r="G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AN127" i="3"/>
  <c r="AM127" i="3"/>
  <c r="AL127" i="3"/>
  <c r="AK127" i="3"/>
  <c r="AJ127" i="3"/>
  <c r="AI127" i="3"/>
  <c r="AH127" i="3"/>
  <c r="AG127" i="3"/>
  <c r="AF127" i="3"/>
  <c r="AE127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CM192" i="3"/>
  <c r="BC192" i="3"/>
  <c r="AN171" i="3"/>
  <c r="AM171" i="3"/>
  <c r="AL171" i="3"/>
  <c r="AK171" i="3"/>
  <c r="AJ171" i="3"/>
  <c r="AI171" i="3"/>
  <c r="AH171" i="3"/>
  <c r="AG171" i="3"/>
  <c r="AF171" i="3"/>
  <c r="AE171" i="3"/>
  <c r="L200" i="3"/>
  <c r="K200" i="3"/>
  <c r="J200" i="3"/>
  <c r="I200" i="3"/>
  <c r="H200" i="3"/>
  <c r="G200" i="3"/>
  <c r="S200" i="3"/>
  <c r="R200" i="3"/>
  <c r="Q200" i="3"/>
  <c r="P200" i="3"/>
  <c r="O200" i="3"/>
  <c r="N200" i="3"/>
  <c r="M200" i="3"/>
  <c r="D230" i="5"/>
  <c r="E201" i="3"/>
  <c r="J129" i="1"/>
  <c r="K129" i="1"/>
  <c r="BC176" i="3"/>
  <c r="CM176" i="3"/>
  <c r="D187" i="5"/>
  <c r="E158" i="3"/>
  <c r="J81" i="1"/>
  <c r="K81" i="1"/>
  <c r="Q155" i="5"/>
  <c r="P155" i="5"/>
  <c r="N155" i="5"/>
  <c r="L155" i="5"/>
  <c r="K155" i="5"/>
  <c r="S155" i="5"/>
  <c r="R155" i="5"/>
  <c r="O155" i="5"/>
  <c r="M155" i="5"/>
  <c r="V155" i="5"/>
  <c r="U155" i="5"/>
  <c r="T155" i="5"/>
  <c r="BC110" i="3"/>
  <c r="CM110" i="3"/>
  <c r="D120" i="5"/>
  <c r="E91" i="3"/>
  <c r="K7" i="1"/>
  <c r="J7" i="1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CM117" i="3"/>
  <c r="BC117" i="3"/>
  <c r="AN205" i="3"/>
  <c r="AM205" i="3"/>
  <c r="AL205" i="3"/>
  <c r="AK205" i="3"/>
  <c r="AJ205" i="3"/>
  <c r="AI205" i="3"/>
  <c r="AH205" i="3"/>
  <c r="AG205" i="3"/>
  <c r="AF205" i="3"/>
  <c r="AE205" i="3"/>
  <c r="BC182" i="3"/>
  <c r="CM182" i="3"/>
  <c r="AN116" i="3"/>
  <c r="AM116" i="3"/>
  <c r="AL116" i="3"/>
  <c r="AK116" i="3"/>
  <c r="AJ116" i="3"/>
  <c r="AI116" i="3"/>
  <c r="AH116" i="3"/>
  <c r="AG116" i="3"/>
  <c r="AF116" i="3"/>
  <c r="AE116" i="3"/>
  <c r="M190" i="3"/>
  <c r="L190" i="3"/>
  <c r="K190" i="3"/>
  <c r="J190" i="3"/>
  <c r="I190" i="3"/>
  <c r="H190" i="3"/>
  <c r="G190" i="3"/>
  <c r="S190" i="3"/>
  <c r="R190" i="3"/>
  <c r="Q190" i="3"/>
  <c r="P190" i="3"/>
  <c r="O190" i="3"/>
  <c r="N190" i="3"/>
  <c r="CM209" i="3"/>
  <c r="BC209" i="3"/>
  <c r="U226" i="5"/>
  <c r="Q226" i="5"/>
  <c r="M226" i="5"/>
  <c r="K226" i="5"/>
  <c r="P226" i="5"/>
  <c r="O226" i="5"/>
  <c r="N226" i="5"/>
  <c r="L226" i="5"/>
  <c r="T226" i="5"/>
  <c r="V226" i="5"/>
  <c r="S226" i="5"/>
  <c r="R226" i="5"/>
  <c r="BC152" i="3"/>
  <c r="CM152" i="3"/>
  <c r="CM144" i="3"/>
  <c r="BC144" i="3"/>
  <c r="BX90" i="3"/>
  <c r="BW90" i="3"/>
  <c r="BV90" i="3"/>
  <c r="BT90" i="3"/>
  <c r="BS90" i="3"/>
  <c r="BQ90" i="3"/>
  <c r="BP90" i="3"/>
  <c r="BO90" i="3"/>
  <c r="D131" i="5"/>
  <c r="E102" i="3"/>
  <c r="J19" i="1"/>
  <c r="K19" i="1"/>
  <c r="D237" i="5"/>
  <c r="F8" i="6"/>
  <c r="C31" i="7" s="1"/>
  <c r="E208" i="3"/>
  <c r="K137" i="1"/>
  <c r="J137" i="1"/>
  <c r="BC189" i="3"/>
  <c r="CM189" i="3"/>
  <c r="D200" i="5"/>
  <c r="E171" i="3"/>
  <c r="K96" i="1"/>
  <c r="J96" i="1"/>
  <c r="U168" i="5"/>
  <c r="Q168" i="5"/>
  <c r="P168" i="5"/>
  <c r="M168" i="5"/>
  <c r="V168" i="5"/>
  <c r="T168" i="5"/>
  <c r="S168" i="5"/>
  <c r="R168" i="5"/>
  <c r="O168" i="5"/>
  <c r="N168" i="5"/>
  <c r="L168" i="5"/>
  <c r="K168" i="5"/>
  <c r="Q154" i="5"/>
  <c r="P154" i="5"/>
  <c r="N154" i="5"/>
  <c r="L154" i="5"/>
  <c r="K154" i="5"/>
  <c r="V154" i="5"/>
  <c r="U154" i="5"/>
  <c r="T154" i="5"/>
  <c r="S154" i="5"/>
  <c r="R154" i="5"/>
  <c r="O154" i="5"/>
  <c r="M154" i="5"/>
  <c r="AN102" i="3"/>
  <c r="AM102" i="3"/>
  <c r="AK102" i="3"/>
  <c r="AJ102" i="3"/>
  <c r="AI102" i="3"/>
  <c r="AH102" i="3"/>
  <c r="AL102" i="3"/>
  <c r="AG102" i="3"/>
  <c r="AF102" i="3"/>
  <c r="AE102" i="3"/>
  <c r="CM159" i="3"/>
  <c r="BC159" i="3"/>
  <c r="D161" i="5"/>
  <c r="E132" i="3"/>
  <c r="K52" i="1"/>
  <c r="J52" i="1"/>
  <c r="D126" i="5"/>
  <c r="E97" i="3"/>
  <c r="K13" i="1"/>
  <c r="J13" i="1"/>
  <c r="P100" i="3"/>
  <c r="O100" i="3"/>
  <c r="N100" i="3"/>
  <c r="M100" i="3"/>
  <c r="L100" i="3"/>
  <c r="K100" i="3"/>
  <c r="J100" i="3"/>
  <c r="I100" i="3"/>
  <c r="G100" i="3"/>
  <c r="S100" i="3"/>
  <c r="R100" i="3"/>
  <c r="Q100" i="3"/>
  <c r="H100" i="3"/>
  <c r="BC184" i="3"/>
  <c r="CM184" i="3"/>
  <c r="D216" i="5"/>
  <c r="E187" i="3"/>
  <c r="J113" i="1"/>
  <c r="K113" i="1"/>
  <c r="U169" i="5"/>
  <c r="Q169" i="5"/>
  <c r="P169" i="5"/>
  <c r="M169" i="5"/>
  <c r="O169" i="5"/>
  <c r="N169" i="5"/>
  <c r="L169" i="5"/>
  <c r="K169" i="5"/>
  <c r="S169" i="5"/>
  <c r="R169" i="5"/>
  <c r="V169" i="5"/>
  <c r="T169" i="5"/>
  <c r="D149" i="5"/>
  <c r="E120" i="3"/>
  <c r="K39" i="1"/>
  <c r="J39" i="1"/>
  <c r="H132" i="5"/>
  <c r="L90" i="3"/>
  <c r="K90" i="3"/>
  <c r="J90" i="3"/>
  <c r="I90" i="3"/>
  <c r="H90" i="3"/>
  <c r="BR90" i="3" s="1"/>
  <c r="G90" i="3"/>
  <c r="S90" i="3"/>
  <c r="R90" i="3"/>
  <c r="Q90" i="3"/>
  <c r="P90" i="3"/>
  <c r="O90" i="3"/>
  <c r="N90" i="3"/>
  <c r="M90" i="3"/>
  <c r="BU90" i="3" s="1"/>
  <c r="D124" i="5"/>
  <c r="E95" i="3"/>
  <c r="J11" i="1"/>
  <c r="K11" i="1"/>
  <c r="BC168" i="3"/>
  <c r="CM168" i="3"/>
  <c r="U234" i="5"/>
  <c r="T234" i="5"/>
  <c r="K234" i="5"/>
  <c r="S234" i="5"/>
  <c r="Q234" i="5"/>
  <c r="O234" i="5"/>
  <c r="M234" i="5"/>
  <c r="V234" i="5"/>
  <c r="R234" i="5"/>
  <c r="P234" i="5"/>
  <c r="N234" i="5"/>
  <c r="L234" i="5"/>
  <c r="BC174" i="3"/>
  <c r="CM174" i="3"/>
  <c r="D185" i="5"/>
  <c r="E156" i="3"/>
  <c r="K79" i="1"/>
  <c r="J79" i="1"/>
  <c r="CM122" i="3"/>
  <c r="BC122" i="3"/>
  <c r="AN160" i="3"/>
  <c r="AM160" i="3"/>
  <c r="AL160" i="3"/>
  <c r="AK160" i="3"/>
  <c r="AJ160" i="3"/>
  <c r="AI160" i="3"/>
  <c r="AH160" i="3"/>
  <c r="AG160" i="3"/>
  <c r="AF160" i="3"/>
  <c r="AE160" i="3"/>
  <c r="L130" i="3"/>
  <c r="K130" i="3"/>
  <c r="J130" i="3"/>
  <c r="I130" i="3"/>
  <c r="H130" i="3"/>
  <c r="G130" i="3"/>
  <c r="S130" i="3"/>
  <c r="R130" i="3"/>
  <c r="Q130" i="3"/>
  <c r="P130" i="3"/>
  <c r="O130" i="3"/>
  <c r="N130" i="3"/>
  <c r="M130" i="3"/>
  <c r="Q145" i="5"/>
  <c r="P145" i="5"/>
  <c r="L145" i="5"/>
  <c r="K145" i="5"/>
  <c r="V145" i="5"/>
  <c r="U145" i="5"/>
  <c r="T145" i="5"/>
  <c r="S145" i="5"/>
  <c r="R145" i="5"/>
  <c r="M145" i="5"/>
  <c r="O145" i="5"/>
  <c r="N145" i="5"/>
  <c r="BX166" i="3"/>
  <c r="BW166" i="3"/>
  <c r="BV166" i="3"/>
  <c r="BU166" i="3"/>
  <c r="BT166" i="3"/>
  <c r="BS166" i="3"/>
  <c r="BQ166" i="3"/>
  <c r="BP166" i="3"/>
  <c r="BO166" i="3"/>
  <c r="BX136" i="3"/>
  <c r="BW136" i="3"/>
  <c r="BV136" i="3"/>
  <c r="BU136" i="3"/>
  <c r="BT136" i="3"/>
  <c r="BS136" i="3"/>
  <c r="BR136" i="3"/>
  <c r="BQ136" i="3"/>
  <c r="BP136" i="3"/>
  <c r="BO136" i="3"/>
  <c r="BX112" i="3"/>
  <c r="BW112" i="3"/>
  <c r="BV112" i="3"/>
  <c r="BU112" i="3"/>
  <c r="BT112" i="3"/>
  <c r="BS112" i="3"/>
  <c r="BR112" i="3"/>
  <c r="BQ112" i="3"/>
  <c r="BP112" i="3"/>
  <c r="BO112" i="3"/>
  <c r="BC187" i="3"/>
  <c r="CM187" i="3"/>
  <c r="D198" i="5"/>
  <c r="E169" i="3"/>
  <c r="K93" i="1"/>
  <c r="J93" i="1"/>
  <c r="AL146" i="3"/>
  <c r="AK146" i="3"/>
  <c r="AJ146" i="3"/>
  <c r="AI146" i="3"/>
  <c r="AH146" i="3"/>
  <c r="AG146" i="3"/>
  <c r="AF146" i="3"/>
  <c r="AE146" i="3"/>
  <c r="AN146" i="3"/>
  <c r="AM146" i="3"/>
  <c r="H136" i="3"/>
  <c r="G136" i="3"/>
  <c r="S136" i="3"/>
  <c r="R136" i="3"/>
  <c r="Q136" i="3"/>
  <c r="P136" i="3"/>
  <c r="O136" i="3"/>
  <c r="N136" i="3"/>
  <c r="M136" i="3"/>
  <c r="L136" i="3"/>
  <c r="K136" i="3"/>
  <c r="J136" i="3"/>
  <c r="I136" i="3"/>
  <c r="CM120" i="3"/>
  <c r="BC120" i="3"/>
  <c r="AM158" i="3"/>
  <c r="AL158" i="3"/>
  <c r="AK158" i="3"/>
  <c r="AJ158" i="3"/>
  <c r="AI158" i="3"/>
  <c r="AH158" i="3"/>
  <c r="AG158" i="3"/>
  <c r="AF158" i="3"/>
  <c r="AE158" i="3"/>
  <c r="AN158" i="3"/>
  <c r="CM141" i="3"/>
  <c r="BC141" i="3"/>
  <c r="D152" i="5"/>
  <c r="E123" i="3"/>
  <c r="J42" i="1"/>
  <c r="K42" i="1"/>
  <c r="BC199" i="3"/>
  <c r="CM199" i="3"/>
  <c r="U216" i="5"/>
  <c r="Q216" i="5"/>
  <c r="M216" i="5"/>
  <c r="S216" i="5"/>
  <c r="R216" i="5"/>
  <c r="P216" i="5"/>
  <c r="O216" i="5"/>
  <c r="N216" i="5"/>
  <c r="L216" i="5"/>
  <c r="K216" i="5"/>
  <c r="V216" i="5"/>
  <c r="T216" i="5"/>
  <c r="CM156" i="3"/>
  <c r="BC156" i="3"/>
  <c r="CM133" i="3"/>
  <c r="BC133" i="3"/>
  <c r="BC118" i="3"/>
  <c r="CM118" i="3"/>
  <c r="BX151" i="3"/>
  <c r="BW151" i="3"/>
  <c r="BV151" i="3"/>
  <c r="BU151" i="3"/>
  <c r="BT151" i="3"/>
  <c r="BS151" i="3"/>
  <c r="BR151" i="3"/>
  <c r="BQ151" i="3"/>
  <c r="BO151" i="3"/>
  <c r="BP151" i="3"/>
  <c r="Q133" i="5"/>
  <c r="P133" i="5"/>
  <c r="N133" i="5"/>
  <c r="M133" i="5"/>
  <c r="L133" i="5"/>
  <c r="K133" i="5"/>
  <c r="V133" i="5"/>
  <c r="U133" i="5"/>
  <c r="T133" i="5"/>
  <c r="S133" i="5"/>
  <c r="R133" i="5"/>
  <c r="O133" i="5"/>
  <c r="U235" i="5"/>
  <c r="T235" i="5"/>
  <c r="K235" i="5"/>
  <c r="S235" i="5"/>
  <c r="Q235" i="5"/>
  <c r="O235" i="5"/>
  <c r="M235" i="5"/>
  <c r="V235" i="5"/>
  <c r="R235" i="5"/>
  <c r="P235" i="5"/>
  <c r="N235" i="5"/>
  <c r="L235" i="5"/>
  <c r="CM161" i="3"/>
  <c r="BC161" i="3"/>
  <c r="Q158" i="5"/>
  <c r="P158" i="5"/>
  <c r="O158" i="5"/>
  <c r="N158" i="5"/>
  <c r="L158" i="5"/>
  <c r="K158" i="5"/>
  <c r="V158" i="5"/>
  <c r="U158" i="5"/>
  <c r="T158" i="5"/>
  <c r="S158" i="5"/>
  <c r="R158" i="5"/>
  <c r="M158" i="5"/>
  <c r="AN210" i="3"/>
  <c r="AM210" i="3"/>
  <c r="AL210" i="3"/>
  <c r="AK210" i="3"/>
  <c r="AJ210" i="3"/>
  <c r="AI210" i="3"/>
  <c r="AH210" i="3"/>
  <c r="AG210" i="3"/>
  <c r="AF210" i="3"/>
  <c r="AE210" i="3"/>
  <c r="D213" i="5"/>
  <c r="E184" i="3"/>
  <c r="K110" i="1"/>
  <c r="J110" i="1"/>
  <c r="BC145" i="3"/>
  <c r="CM145" i="3"/>
  <c r="H96" i="3"/>
  <c r="G96" i="3"/>
  <c r="S96" i="3"/>
  <c r="R96" i="3"/>
  <c r="Q96" i="3"/>
  <c r="O96" i="3"/>
  <c r="N96" i="3"/>
  <c r="M96" i="3"/>
  <c r="P96" i="3"/>
  <c r="L96" i="3"/>
  <c r="K96" i="3"/>
  <c r="J96" i="3"/>
  <c r="I96" i="3"/>
  <c r="V200" i="5"/>
  <c r="U200" i="5"/>
  <c r="T200" i="5"/>
  <c r="R200" i="5"/>
  <c r="Q200" i="5"/>
  <c r="P200" i="5"/>
  <c r="S200" i="5"/>
  <c r="O200" i="5"/>
  <c r="N200" i="5"/>
  <c r="M200" i="5"/>
  <c r="L200" i="5"/>
  <c r="K200" i="5"/>
  <c r="V186" i="5"/>
  <c r="R186" i="5"/>
  <c r="Q186" i="5"/>
  <c r="P186" i="5"/>
  <c r="L186" i="5"/>
  <c r="K186" i="5"/>
  <c r="N186" i="5"/>
  <c r="U186" i="5"/>
  <c r="T186" i="5"/>
  <c r="M186" i="5"/>
  <c r="S186" i="5"/>
  <c r="O186" i="5"/>
  <c r="AI188" i="3"/>
  <c r="AH188" i="3"/>
  <c r="AG188" i="3"/>
  <c r="AF188" i="3"/>
  <c r="AE188" i="3"/>
  <c r="AN188" i="3"/>
  <c r="AM188" i="3"/>
  <c r="AL188" i="3"/>
  <c r="AK188" i="3"/>
  <c r="AJ188" i="3"/>
  <c r="BC140" i="3"/>
  <c r="CM140" i="3"/>
  <c r="V188" i="5"/>
  <c r="R188" i="5"/>
  <c r="Q188" i="5"/>
  <c r="P188" i="5"/>
  <c r="L188" i="5"/>
  <c r="K188" i="5"/>
  <c r="N188" i="5"/>
  <c r="U188" i="5"/>
  <c r="T188" i="5"/>
  <c r="S188" i="5"/>
  <c r="O188" i="5"/>
  <c r="M188" i="5"/>
  <c r="Q120" i="5"/>
  <c r="P120" i="5"/>
  <c r="L120" i="5"/>
  <c r="K120" i="5"/>
  <c r="V120" i="5"/>
  <c r="U120" i="5"/>
  <c r="T120" i="5"/>
  <c r="S120" i="5"/>
  <c r="R120" i="5"/>
  <c r="O120" i="5"/>
  <c r="N120" i="5"/>
  <c r="M120" i="5"/>
  <c r="BC111" i="3"/>
  <c r="CM111" i="3"/>
  <c r="U229" i="5"/>
  <c r="Q229" i="5"/>
  <c r="M229" i="5"/>
  <c r="K229" i="5"/>
  <c r="N229" i="5"/>
  <c r="L229" i="5"/>
  <c r="V229" i="5"/>
  <c r="T229" i="5"/>
  <c r="S229" i="5"/>
  <c r="R229" i="5"/>
  <c r="P229" i="5"/>
  <c r="O229" i="5"/>
  <c r="R215" i="3"/>
  <c r="Q215" i="3"/>
  <c r="P215" i="3"/>
  <c r="O215" i="3"/>
  <c r="N215" i="3"/>
  <c r="M215" i="3"/>
  <c r="L215" i="3"/>
  <c r="K215" i="3"/>
  <c r="J215" i="3"/>
  <c r="I215" i="3"/>
  <c r="H215" i="3"/>
  <c r="G215" i="3"/>
  <c r="S215" i="3"/>
  <c r="AH198" i="3"/>
  <c r="AG198" i="3"/>
  <c r="AF198" i="3"/>
  <c r="AE198" i="3"/>
  <c r="AN198" i="3"/>
  <c r="AM198" i="3"/>
  <c r="AL198" i="3"/>
  <c r="AK198" i="3"/>
  <c r="AJ198" i="3"/>
  <c r="AI198" i="3"/>
  <c r="AN155" i="3"/>
  <c r="AM155" i="3"/>
  <c r="AL155" i="3"/>
  <c r="AK155" i="3"/>
  <c r="AJ155" i="3"/>
  <c r="AI155" i="3"/>
  <c r="AH155" i="3"/>
  <c r="AF155" i="3"/>
  <c r="AE155" i="3"/>
  <c r="AG155" i="3"/>
  <c r="AJ117" i="3"/>
  <c r="AI117" i="3"/>
  <c r="AH117" i="3"/>
  <c r="AG117" i="3"/>
  <c r="AF117" i="3"/>
  <c r="AE117" i="3"/>
  <c r="AN117" i="3"/>
  <c r="AM117" i="3"/>
  <c r="AL117" i="3"/>
  <c r="AK117" i="3"/>
  <c r="AF227" i="5"/>
  <c r="AG227" i="5" s="1"/>
  <c r="D164" i="5"/>
  <c r="E135" i="3"/>
  <c r="K56" i="1"/>
  <c r="J56" i="1"/>
  <c r="G145" i="3"/>
  <c r="G147" i="3"/>
  <c r="U163" i="5"/>
  <c r="Q163" i="5"/>
  <c r="P163" i="5"/>
  <c r="M163" i="5"/>
  <c r="O163" i="5"/>
  <c r="N163" i="5"/>
  <c r="L163" i="5"/>
  <c r="K163" i="5"/>
  <c r="V163" i="5"/>
  <c r="T163" i="5"/>
  <c r="S163" i="5"/>
  <c r="R163" i="5"/>
  <c r="S94" i="3"/>
  <c r="R94" i="3"/>
  <c r="Q94" i="3"/>
  <c r="P94" i="3"/>
  <c r="O94" i="3"/>
  <c r="N94" i="3"/>
  <c r="M94" i="3"/>
  <c r="K94" i="3"/>
  <c r="L94" i="3"/>
  <c r="J94" i="3"/>
  <c r="I94" i="3"/>
  <c r="H94" i="3"/>
  <c r="G94" i="3"/>
  <c r="D222" i="5"/>
  <c r="E193" i="3"/>
  <c r="K120" i="1"/>
  <c r="J120" i="1"/>
  <c r="AL138" i="3"/>
  <c r="AK138" i="3"/>
  <c r="AJ138" i="3"/>
  <c r="AI138" i="3"/>
  <c r="AH138" i="3"/>
  <c r="AG138" i="3"/>
  <c r="AF138" i="3"/>
  <c r="AE138" i="3"/>
  <c r="AN138" i="3"/>
  <c r="AM138" i="3"/>
  <c r="U219" i="5"/>
  <c r="Q219" i="5"/>
  <c r="M219" i="5"/>
  <c r="V219" i="5"/>
  <c r="T219" i="5"/>
  <c r="S219" i="5"/>
  <c r="R219" i="5"/>
  <c r="P219" i="5"/>
  <c r="O219" i="5"/>
  <c r="N219" i="5"/>
  <c r="L219" i="5"/>
  <c r="K219" i="5"/>
  <c r="D162" i="5"/>
  <c r="E133" i="3"/>
  <c r="K53" i="1"/>
  <c r="J53" i="1"/>
  <c r="CM195" i="3"/>
  <c r="BC195" i="3"/>
  <c r="D206" i="5"/>
  <c r="E177" i="3"/>
  <c r="K102" i="1"/>
  <c r="J102" i="1"/>
  <c r="CM114" i="3"/>
  <c r="BC114" i="3"/>
  <c r="BX98" i="3"/>
  <c r="BW98" i="3"/>
  <c r="BV98" i="3"/>
  <c r="BT98" i="3"/>
  <c r="BS98" i="3"/>
  <c r="BQ98" i="3"/>
  <c r="BP98" i="3"/>
  <c r="BO98" i="3"/>
  <c r="D202" i="5"/>
  <c r="E173" i="3"/>
  <c r="K98" i="1"/>
  <c r="J98" i="1"/>
  <c r="CM201" i="3"/>
  <c r="BC201" i="3"/>
  <c r="AI180" i="3"/>
  <c r="AH180" i="3"/>
  <c r="AG180" i="3"/>
  <c r="AF180" i="3"/>
  <c r="AE180" i="3"/>
  <c r="AN180" i="3"/>
  <c r="AM180" i="3"/>
  <c r="AL180" i="3"/>
  <c r="AK180" i="3"/>
  <c r="AJ180" i="3"/>
  <c r="AN95" i="3"/>
  <c r="AM95" i="3"/>
  <c r="AL95" i="3"/>
  <c r="AK95" i="3"/>
  <c r="AJ95" i="3"/>
  <c r="AI95" i="3"/>
  <c r="AH95" i="3"/>
  <c r="AG95" i="3"/>
  <c r="AE95" i="3"/>
  <c r="AF95" i="3"/>
  <c r="B106" i="5"/>
  <c r="B11" i="5"/>
  <c r="AA240" i="5" s="1"/>
  <c r="B9" i="5"/>
  <c r="D239" i="5"/>
  <c r="F10" i="6"/>
  <c r="C33" i="7" s="1"/>
  <c r="E210" i="3"/>
  <c r="K139" i="1"/>
  <c r="J139" i="1"/>
  <c r="V201" i="5"/>
  <c r="U201" i="5"/>
  <c r="T201" i="5"/>
  <c r="S201" i="5"/>
  <c r="R201" i="5"/>
  <c r="Q201" i="5"/>
  <c r="P201" i="5"/>
  <c r="O201" i="5"/>
  <c r="N201" i="5"/>
  <c r="M201" i="5"/>
  <c r="L201" i="5"/>
  <c r="K201" i="5"/>
  <c r="D129" i="5"/>
  <c r="E100" i="3"/>
  <c r="K17" i="1"/>
  <c r="J17" i="1"/>
  <c r="AH206" i="3"/>
  <c r="AG206" i="3"/>
  <c r="AF206" i="3"/>
  <c r="AE206" i="3"/>
  <c r="AN206" i="3"/>
  <c r="AM206" i="3"/>
  <c r="AL206" i="3"/>
  <c r="AK206" i="3"/>
  <c r="AJ206" i="3"/>
  <c r="AI206" i="3"/>
  <c r="BC102" i="3"/>
  <c r="CM102" i="3"/>
  <c r="AK169" i="3"/>
  <c r="AJ169" i="3"/>
  <c r="AI169" i="3"/>
  <c r="AH169" i="3"/>
  <c r="AG169" i="3"/>
  <c r="AF169" i="3"/>
  <c r="AE169" i="3"/>
  <c r="AN169" i="3"/>
  <c r="AM169" i="3"/>
  <c r="AL169" i="3"/>
  <c r="BC137" i="3"/>
  <c r="CM137" i="3"/>
  <c r="CM123" i="3"/>
  <c r="BC123" i="3"/>
  <c r="AN121" i="3"/>
  <c r="AM121" i="3"/>
  <c r="AL121" i="3"/>
  <c r="AK121" i="3"/>
  <c r="AJ121" i="3"/>
  <c r="AI121" i="3"/>
  <c r="AH121" i="3"/>
  <c r="AG121" i="3"/>
  <c r="AF121" i="3"/>
  <c r="AE121" i="3"/>
  <c r="CM115" i="3"/>
  <c r="BC115" i="3"/>
  <c r="AH96" i="3"/>
  <c r="AG96" i="3"/>
  <c r="AF96" i="3"/>
  <c r="AE96" i="3"/>
  <c r="AN96" i="3"/>
  <c r="AM96" i="3"/>
  <c r="AL96" i="3"/>
  <c r="AK96" i="3"/>
  <c r="AJ96" i="3"/>
  <c r="AI96" i="3"/>
  <c r="D199" i="5"/>
  <c r="E170" i="3"/>
  <c r="K94" i="1"/>
  <c r="J94" i="1"/>
  <c r="AN129" i="3"/>
  <c r="AM129" i="3"/>
  <c r="AL129" i="3"/>
  <c r="AK129" i="3"/>
  <c r="AJ129" i="3"/>
  <c r="AI129" i="3"/>
  <c r="AH129" i="3"/>
  <c r="AG129" i="3"/>
  <c r="AF129" i="3"/>
  <c r="AE129" i="3"/>
  <c r="Q129" i="5"/>
  <c r="P129" i="5"/>
  <c r="N129" i="5"/>
  <c r="M129" i="5"/>
  <c r="L129" i="5"/>
  <c r="K129" i="5"/>
  <c r="V129" i="5"/>
  <c r="U129" i="5"/>
  <c r="T129" i="5"/>
  <c r="S129" i="5"/>
  <c r="R129" i="5"/>
  <c r="O129" i="5"/>
  <c r="AN145" i="3"/>
  <c r="AM145" i="3"/>
  <c r="AL145" i="3"/>
  <c r="AK145" i="3"/>
  <c r="AJ145" i="3"/>
  <c r="AI145" i="3"/>
  <c r="AH145" i="3"/>
  <c r="AG145" i="3"/>
  <c r="AF145" i="3"/>
  <c r="AE145" i="3"/>
  <c r="D153" i="5"/>
  <c r="E124" i="3"/>
  <c r="K43" i="1"/>
  <c r="J43" i="1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L151" i="3"/>
  <c r="L145" i="3"/>
  <c r="L147" i="3"/>
  <c r="L144" i="3"/>
  <c r="L150" i="3"/>
  <c r="L149" i="3"/>
  <c r="D224" i="5"/>
  <c r="E195" i="3"/>
  <c r="K122" i="1"/>
  <c r="J122" i="1"/>
  <c r="AN213" i="3"/>
  <c r="AM213" i="3"/>
  <c r="AL213" i="3"/>
  <c r="AK213" i="3"/>
  <c r="AJ213" i="3"/>
  <c r="AI213" i="3"/>
  <c r="AH213" i="3"/>
  <c r="AG213" i="3"/>
  <c r="AF213" i="3"/>
  <c r="AE213" i="3"/>
  <c r="AN184" i="3"/>
  <c r="AM184" i="3"/>
  <c r="AL184" i="3"/>
  <c r="AK184" i="3"/>
  <c r="AJ184" i="3"/>
  <c r="AI184" i="3"/>
  <c r="AH184" i="3"/>
  <c r="AG184" i="3"/>
  <c r="AF184" i="3"/>
  <c r="AE184" i="3"/>
  <c r="D201" i="5"/>
  <c r="E172" i="3"/>
  <c r="J97" i="1"/>
  <c r="K97" i="1"/>
  <c r="CM138" i="3"/>
  <c r="BC138" i="3"/>
  <c r="CM99" i="3"/>
  <c r="BC99" i="3"/>
  <c r="CM125" i="3"/>
  <c r="BC125" i="3"/>
  <c r="D136" i="5"/>
  <c r="E107" i="3"/>
  <c r="K24" i="1"/>
  <c r="J24" i="1"/>
  <c r="D143" i="5"/>
  <c r="E114" i="3"/>
  <c r="K32" i="1"/>
  <c r="J32" i="1"/>
  <c r="D208" i="5"/>
  <c r="E179" i="3"/>
  <c r="K104" i="1"/>
  <c r="J104" i="1"/>
  <c r="F14" i="6"/>
  <c r="C37" i="7" s="1"/>
  <c r="D243" i="5"/>
  <c r="E214" i="3"/>
  <c r="K143" i="1"/>
  <c r="J143" i="1"/>
  <c r="CM203" i="3"/>
  <c r="BC203" i="3"/>
  <c r="D214" i="5"/>
  <c r="E185" i="3"/>
  <c r="K111" i="1"/>
  <c r="J111" i="1"/>
  <c r="AK153" i="3"/>
  <c r="AJ153" i="3"/>
  <c r="AI153" i="3"/>
  <c r="AH153" i="3"/>
  <c r="AG153" i="3"/>
  <c r="AF153" i="3"/>
  <c r="AE153" i="3"/>
  <c r="AN153" i="3"/>
  <c r="AM153" i="3"/>
  <c r="AL153" i="3"/>
  <c r="Q159" i="5"/>
  <c r="P159" i="5"/>
  <c r="O159" i="5"/>
  <c r="N159" i="5"/>
  <c r="L159" i="5"/>
  <c r="K159" i="5"/>
  <c r="V159" i="5"/>
  <c r="U159" i="5"/>
  <c r="T159" i="5"/>
  <c r="S159" i="5"/>
  <c r="R159" i="5"/>
  <c r="M159" i="5"/>
  <c r="R180" i="5"/>
  <c r="I212" i="5"/>
  <c r="I204" i="5"/>
  <c r="I217" i="5"/>
  <c r="I203" i="5"/>
  <c r="I225" i="5"/>
  <c r="I222" i="5"/>
  <c r="I198" i="5"/>
  <c r="I209" i="5"/>
  <c r="I227" i="5"/>
  <c r="I206" i="5"/>
  <c r="I211" i="5"/>
  <c r="I219" i="5"/>
  <c r="I214" i="5"/>
  <c r="I183" i="5"/>
  <c r="I172" i="5"/>
  <c r="I202" i="5"/>
  <c r="I184" i="5"/>
  <c r="I201" i="5"/>
  <c r="I189" i="5"/>
  <c r="I177" i="5"/>
  <c r="I187" i="5"/>
  <c r="I178" i="5"/>
  <c r="I176" i="5"/>
  <c r="I179" i="5"/>
  <c r="I175" i="5"/>
  <c r="I171" i="5"/>
  <c r="I185" i="5"/>
  <c r="I180" i="5"/>
  <c r="I191" i="5"/>
  <c r="I194" i="5"/>
  <c r="I181" i="5"/>
  <c r="I182" i="5"/>
  <c r="I164" i="5"/>
  <c r="I173" i="5"/>
  <c r="I174" i="5"/>
  <c r="I170" i="5"/>
  <c r="I166" i="5"/>
  <c r="I162" i="5"/>
  <c r="I157" i="5"/>
  <c r="I154" i="5"/>
  <c r="I151" i="5"/>
  <c r="I149" i="5"/>
  <c r="I156" i="5"/>
  <c r="I143" i="5"/>
  <c r="I136" i="5"/>
  <c r="I137" i="5"/>
  <c r="I138" i="5"/>
  <c r="I147" i="5"/>
  <c r="I131" i="5"/>
  <c r="I141" i="5"/>
  <c r="I130" i="5"/>
  <c r="I145" i="5"/>
  <c r="I129" i="5"/>
  <c r="I168" i="5"/>
  <c r="I132" i="5"/>
  <c r="I241" i="5"/>
  <c r="I213" i="5"/>
  <c r="I150" i="5"/>
  <c r="I128" i="5"/>
  <c r="D241" i="5"/>
  <c r="F12" i="6"/>
  <c r="C35" i="7" s="1"/>
  <c r="E212" i="3"/>
  <c r="K141" i="1"/>
  <c r="J141" i="1"/>
  <c r="AM166" i="3"/>
  <c r="AL166" i="3"/>
  <c r="AK166" i="3"/>
  <c r="AJ166" i="3"/>
  <c r="AI166" i="3"/>
  <c r="AH166" i="3"/>
  <c r="AG166" i="3"/>
  <c r="AF166" i="3"/>
  <c r="AE166" i="3"/>
  <c r="AN166" i="3"/>
  <c r="D183" i="5"/>
  <c r="E154" i="3"/>
  <c r="K77" i="1"/>
  <c r="J77" i="1"/>
  <c r="U165" i="5"/>
  <c r="Q165" i="5"/>
  <c r="P165" i="5"/>
  <c r="M165" i="5"/>
  <c r="O165" i="5"/>
  <c r="N165" i="5"/>
  <c r="L165" i="5"/>
  <c r="K165" i="5"/>
  <c r="V165" i="5"/>
  <c r="T165" i="5"/>
  <c r="S165" i="5"/>
  <c r="R165" i="5"/>
  <c r="J195" i="3"/>
  <c r="I195" i="3"/>
  <c r="H195" i="3"/>
  <c r="G195" i="3"/>
  <c r="S195" i="3"/>
  <c r="R195" i="3"/>
  <c r="Q195" i="3"/>
  <c r="P195" i="3"/>
  <c r="O195" i="3"/>
  <c r="N195" i="3"/>
  <c r="M195" i="3"/>
  <c r="L195" i="3"/>
  <c r="K195" i="3"/>
  <c r="AH120" i="3"/>
  <c r="AG120" i="3"/>
  <c r="AF120" i="3"/>
  <c r="AE120" i="3"/>
  <c r="AN120" i="3"/>
  <c r="AM120" i="3"/>
  <c r="AL120" i="3"/>
  <c r="AK120" i="3"/>
  <c r="AJ120" i="3"/>
  <c r="AI120" i="3"/>
  <c r="H151" i="3"/>
  <c r="H145" i="3"/>
  <c r="H147" i="3"/>
  <c r="CM185" i="3"/>
  <c r="BC185" i="3"/>
  <c r="D196" i="5"/>
  <c r="E167" i="3"/>
  <c r="K91" i="1"/>
  <c r="J91" i="1"/>
  <c r="AL98" i="3"/>
  <c r="AK98" i="3"/>
  <c r="AJ98" i="3"/>
  <c r="AI98" i="3"/>
  <c r="AH98" i="3"/>
  <c r="AG98" i="3"/>
  <c r="AF98" i="3"/>
  <c r="AE98" i="3"/>
  <c r="AN98" i="3"/>
  <c r="AM98" i="3"/>
  <c r="D244" i="5"/>
  <c r="F15" i="6"/>
  <c r="C38" i="7" s="1"/>
  <c r="E215" i="3"/>
  <c r="K144" i="1"/>
  <c r="J144" i="1"/>
  <c r="BC204" i="3"/>
  <c r="CM204" i="3"/>
  <c r="D215" i="5"/>
  <c r="E186" i="3"/>
  <c r="K112" i="1"/>
  <c r="J112" i="1"/>
  <c r="CM96" i="3"/>
  <c r="BC96" i="3"/>
  <c r="AN181" i="3"/>
  <c r="AM181" i="3"/>
  <c r="AL181" i="3"/>
  <c r="AK181" i="3"/>
  <c r="AJ181" i="3"/>
  <c r="AI181" i="3"/>
  <c r="AH181" i="3"/>
  <c r="AG181" i="3"/>
  <c r="AF181" i="3"/>
  <c r="AE181" i="3"/>
  <c r="D184" i="5"/>
  <c r="E155" i="3"/>
  <c r="K78" i="1"/>
  <c r="J78" i="1"/>
  <c r="P108" i="3"/>
  <c r="O108" i="3"/>
  <c r="N108" i="3"/>
  <c r="M108" i="3"/>
  <c r="L108" i="3"/>
  <c r="K108" i="3"/>
  <c r="J108" i="3"/>
  <c r="I108" i="3"/>
  <c r="H108" i="3"/>
  <c r="G108" i="3"/>
  <c r="S108" i="3"/>
  <c r="R108" i="3"/>
  <c r="Q108" i="3"/>
  <c r="Q125" i="5"/>
  <c r="P125" i="5"/>
  <c r="L125" i="5"/>
  <c r="K125" i="5"/>
  <c r="V125" i="5"/>
  <c r="U125" i="5"/>
  <c r="T125" i="5"/>
  <c r="S125" i="5"/>
  <c r="R125" i="5"/>
  <c r="O125" i="5"/>
  <c r="N125" i="5"/>
  <c r="M125" i="5"/>
  <c r="BC170" i="3"/>
  <c r="CM170" i="3"/>
  <c r="BC155" i="3"/>
  <c r="CM15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BC157" i="3"/>
  <c r="CM157" i="3"/>
  <c r="AL200" i="3"/>
  <c r="AK200" i="3"/>
  <c r="AJ200" i="3"/>
  <c r="AI200" i="3"/>
  <c r="AH200" i="3"/>
  <c r="AG200" i="3"/>
  <c r="AF200" i="3"/>
  <c r="AE200" i="3"/>
  <c r="AN200" i="3"/>
  <c r="AM200" i="3"/>
  <c r="AE186" i="3"/>
  <c r="AN186" i="3"/>
  <c r="AM186" i="3"/>
  <c r="AL186" i="3"/>
  <c r="AK186" i="3"/>
  <c r="AJ186" i="3"/>
  <c r="AI186" i="3"/>
  <c r="AH186" i="3"/>
  <c r="AG186" i="3"/>
  <c r="AF186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L208" i="3"/>
  <c r="K208" i="3"/>
  <c r="J208" i="3"/>
  <c r="I208" i="3"/>
  <c r="H208" i="3"/>
  <c r="G208" i="3"/>
  <c r="S208" i="3"/>
  <c r="R208" i="3"/>
  <c r="Q208" i="3"/>
  <c r="P208" i="3"/>
  <c r="O208" i="3"/>
  <c r="N208" i="3"/>
  <c r="M208" i="3"/>
  <c r="AJ133" i="3"/>
  <c r="AI133" i="3"/>
  <c r="AH133" i="3"/>
  <c r="AG133" i="3"/>
  <c r="AF133" i="3"/>
  <c r="AE133" i="3"/>
  <c r="AN133" i="3"/>
  <c r="AM133" i="3"/>
  <c r="AL133" i="3"/>
  <c r="AK133" i="3"/>
  <c r="AH104" i="3"/>
  <c r="AG104" i="3"/>
  <c r="AF104" i="3"/>
  <c r="AE104" i="3"/>
  <c r="AN104" i="3"/>
  <c r="AM104" i="3"/>
  <c r="AL104" i="3"/>
  <c r="AK104" i="3"/>
  <c r="AI104" i="3"/>
  <c r="AJ104" i="3"/>
  <c r="BC132" i="3"/>
  <c r="CM132" i="3"/>
  <c r="AN111" i="3"/>
  <c r="AM111" i="3"/>
  <c r="AL111" i="3"/>
  <c r="AK111" i="3"/>
  <c r="AJ111" i="3"/>
  <c r="AI111" i="3"/>
  <c r="AH111" i="3"/>
  <c r="AG111" i="3"/>
  <c r="AF111" i="3"/>
  <c r="AE111" i="3"/>
  <c r="Q123" i="5"/>
  <c r="P123" i="5"/>
  <c r="L123" i="5"/>
  <c r="K123" i="5"/>
  <c r="V123" i="5"/>
  <c r="U123" i="5"/>
  <c r="T123" i="5"/>
  <c r="S123" i="5"/>
  <c r="R123" i="5"/>
  <c r="O123" i="5"/>
  <c r="N123" i="5"/>
  <c r="M123" i="5"/>
  <c r="AM190" i="3"/>
  <c r="AL190" i="3"/>
  <c r="AK190" i="3"/>
  <c r="AJ190" i="3"/>
  <c r="AI190" i="3"/>
  <c r="AH190" i="3"/>
  <c r="AG190" i="3"/>
  <c r="AF190" i="3"/>
  <c r="AE190" i="3"/>
  <c r="AN190" i="3"/>
  <c r="D193" i="5"/>
  <c r="E164" i="3"/>
  <c r="K88" i="1"/>
  <c r="J88" i="1"/>
  <c r="N103" i="3"/>
  <c r="M103" i="3"/>
  <c r="L103" i="3"/>
  <c r="K103" i="3"/>
  <c r="J103" i="3"/>
  <c r="I103" i="3"/>
  <c r="H103" i="3"/>
  <c r="G103" i="3"/>
  <c r="S103" i="3"/>
  <c r="R103" i="3"/>
  <c r="Q103" i="3"/>
  <c r="P103" i="3"/>
  <c r="O103" i="3"/>
  <c r="K95" i="1"/>
  <c r="J95" i="1"/>
  <c r="AL130" i="3"/>
  <c r="AK130" i="3"/>
  <c r="AJ130" i="3"/>
  <c r="AI130" i="3"/>
  <c r="AH130" i="3"/>
  <c r="AG130" i="3"/>
  <c r="AF130" i="3"/>
  <c r="AE130" i="3"/>
  <c r="AN130" i="3"/>
  <c r="AM130" i="3"/>
  <c r="D147" i="5"/>
  <c r="E118" i="3"/>
  <c r="K37" i="1"/>
  <c r="J37" i="1"/>
  <c r="D235" i="5"/>
  <c r="E206" i="3"/>
  <c r="K134" i="1"/>
  <c r="J134" i="1"/>
  <c r="AM174" i="3"/>
  <c r="AL174" i="3"/>
  <c r="AK174" i="3"/>
  <c r="AJ174" i="3"/>
  <c r="AI174" i="3"/>
  <c r="AH174" i="3"/>
  <c r="AG174" i="3"/>
  <c r="AF174" i="3"/>
  <c r="AE174" i="3"/>
  <c r="AN174" i="3"/>
  <c r="BC150" i="3"/>
  <c r="CM150" i="3"/>
  <c r="BC143" i="3"/>
  <c r="CM143" i="3"/>
  <c r="CM128" i="3"/>
  <c r="BC128" i="3"/>
  <c r="CM172" i="3"/>
  <c r="BC172" i="3"/>
  <c r="K232" i="5"/>
  <c r="P232" i="5"/>
  <c r="N232" i="5"/>
  <c r="L232" i="5"/>
  <c r="V232" i="5"/>
  <c r="R232" i="5"/>
  <c r="O232" i="5"/>
  <c r="M232" i="5"/>
  <c r="U232" i="5"/>
  <c r="T232" i="5"/>
  <c r="S232" i="5"/>
  <c r="Q232" i="5"/>
  <c r="BC158" i="3"/>
  <c r="CM158" i="3"/>
  <c r="D160" i="5"/>
  <c r="E131" i="3"/>
  <c r="K51" i="1"/>
  <c r="J51" i="1"/>
  <c r="K35" i="1"/>
  <c r="J35" i="1"/>
  <c r="D166" i="5"/>
  <c r="E137" i="3"/>
  <c r="J58" i="1"/>
  <c r="K58" i="1"/>
  <c r="S99" i="3"/>
  <c r="R99" i="3"/>
  <c r="Q99" i="3"/>
  <c r="P99" i="3"/>
  <c r="O99" i="3"/>
  <c r="M99" i="3"/>
  <c r="L99" i="3"/>
  <c r="K99" i="3"/>
  <c r="J99" i="3"/>
  <c r="I99" i="3"/>
  <c r="H99" i="3"/>
  <c r="G99" i="3"/>
  <c r="N99" i="3"/>
  <c r="BW147" i="3"/>
  <c r="BV147" i="3"/>
  <c r="BU147" i="3"/>
  <c r="BT147" i="3"/>
  <c r="BS147" i="3"/>
  <c r="BR147" i="3"/>
  <c r="BQ147" i="3"/>
  <c r="BP147" i="3"/>
  <c r="BO147" i="3"/>
  <c r="BX147" i="3"/>
  <c r="AN207" i="3"/>
  <c r="AM207" i="3"/>
  <c r="AL207" i="3"/>
  <c r="AK207" i="3"/>
  <c r="AJ207" i="3"/>
  <c r="AI207" i="3"/>
  <c r="AH207" i="3"/>
  <c r="AG207" i="3"/>
  <c r="AF207" i="3"/>
  <c r="AE207" i="3"/>
  <c r="D225" i="5"/>
  <c r="E196" i="3"/>
  <c r="K123" i="1"/>
  <c r="J123" i="1"/>
  <c r="D158" i="5"/>
  <c r="E129" i="3"/>
  <c r="K49" i="1"/>
  <c r="J49" i="1"/>
  <c r="D144" i="5"/>
  <c r="E115" i="3"/>
  <c r="K33" i="1"/>
  <c r="J33" i="1"/>
  <c r="I164" i="3"/>
  <c r="H164" i="3"/>
  <c r="G164" i="3"/>
  <c r="S164" i="3"/>
  <c r="R164" i="3"/>
  <c r="Q164" i="3"/>
  <c r="P164" i="3"/>
  <c r="O164" i="3"/>
  <c r="N164" i="3"/>
  <c r="M164" i="3"/>
  <c r="L164" i="3"/>
  <c r="K164" i="3"/>
  <c r="J164" i="3"/>
  <c r="I156" i="3"/>
  <c r="H156" i="3"/>
  <c r="G156" i="3"/>
  <c r="S156" i="3"/>
  <c r="R156" i="3"/>
  <c r="Q156" i="3"/>
  <c r="P156" i="3"/>
  <c r="O156" i="3"/>
  <c r="N156" i="3"/>
  <c r="M156" i="3"/>
  <c r="J156" i="3"/>
  <c r="L156" i="3"/>
  <c r="K156" i="3"/>
  <c r="D186" i="5"/>
  <c r="E157" i="3"/>
  <c r="K80" i="1"/>
  <c r="J80" i="1"/>
  <c r="AA166" i="5"/>
  <c r="G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AG167" i="3"/>
  <c r="AF167" i="3"/>
  <c r="AE167" i="3"/>
  <c r="AN167" i="3"/>
  <c r="AM167" i="3"/>
  <c r="AL167" i="3"/>
  <c r="AK167" i="3"/>
  <c r="AJ167" i="3"/>
  <c r="AI167" i="3"/>
  <c r="AH167" i="3"/>
  <c r="I151" i="3"/>
  <c r="I152" i="3"/>
  <c r="I145" i="3"/>
  <c r="I147" i="3"/>
  <c r="I144" i="3"/>
  <c r="CM91" i="3"/>
  <c r="BC91" i="3"/>
  <c r="CM198" i="3"/>
  <c r="BC198" i="3"/>
  <c r="AE178" i="3"/>
  <c r="AN178" i="3"/>
  <c r="AM178" i="3"/>
  <c r="AL178" i="3"/>
  <c r="AK178" i="3"/>
  <c r="AJ178" i="3"/>
  <c r="AI178" i="3"/>
  <c r="AH178" i="3"/>
  <c r="AG178" i="3"/>
  <c r="AF178" i="3"/>
  <c r="P202" i="3"/>
  <c r="O202" i="3"/>
  <c r="N202" i="3"/>
  <c r="M202" i="3"/>
  <c r="L202" i="3"/>
  <c r="K202" i="3"/>
  <c r="J202" i="3"/>
  <c r="I202" i="3"/>
  <c r="H202" i="3"/>
  <c r="G202" i="3"/>
  <c r="S202" i="3"/>
  <c r="R202" i="3"/>
  <c r="Q202" i="3"/>
  <c r="V202" i="5"/>
  <c r="U202" i="5"/>
  <c r="T202" i="5"/>
  <c r="S202" i="5"/>
  <c r="R202" i="5"/>
  <c r="Q202" i="5"/>
  <c r="P202" i="5"/>
  <c r="N202" i="5"/>
  <c r="O202" i="5"/>
  <c r="M202" i="5"/>
  <c r="L202" i="5"/>
  <c r="K202" i="5"/>
  <c r="N135" i="3"/>
  <c r="M135" i="3"/>
  <c r="L135" i="3"/>
  <c r="K135" i="3"/>
  <c r="J135" i="3"/>
  <c r="I135" i="3"/>
  <c r="H135" i="3"/>
  <c r="G135" i="3"/>
  <c r="S135" i="3"/>
  <c r="R135" i="3"/>
  <c r="Q135" i="3"/>
  <c r="P135" i="3"/>
  <c r="O135" i="3"/>
  <c r="S107" i="3"/>
  <c r="R107" i="3"/>
  <c r="Q107" i="3"/>
  <c r="P107" i="3"/>
  <c r="O107" i="3"/>
  <c r="M107" i="3"/>
  <c r="L107" i="3"/>
  <c r="K107" i="3"/>
  <c r="J107" i="3"/>
  <c r="I107" i="3"/>
  <c r="N107" i="3"/>
  <c r="H107" i="3"/>
  <c r="G107" i="3"/>
  <c r="AN105" i="3"/>
  <c r="AM105" i="3"/>
  <c r="AL105" i="3"/>
  <c r="AK105" i="3"/>
  <c r="AI105" i="3"/>
  <c r="AH105" i="3"/>
  <c r="AG105" i="3"/>
  <c r="AF105" i="3"/>
  <c r="AE105" i="3"/>
  <c r="AJ105" i="3"/>
  <c r="BQ148" i="3"/>
  <c r="BP148" i="3"/>
  <c r="BO148" i="3"/>
  <c r="BX148" i="3"/>
  <c r="BW148" i="3"/>
  <c r="BV148" i="3"/>
  <c r="BU148" i="3"/>
  <c r="BT148" i="3"/>
  <c r="BS148" i="3"/>
  <c r="BR148" i="3"/>
  <c r="AE170" i="3"/>
  <c r="AN170" i="3"/>
  <c r="AM170" i="3"/>
  <c r="AL170" i="3"/>
  <c r="AK170" i="3"/>
  <c r="AJ170" i="3"/>
  <c r="AI170" i="3"/>
  <c r="AH170" i="3"/>
  <c r="AG170" i="3"/>
  <c r="AF170" i="3"/>
  <c r="Q119" i="5"/>
  <c r="P119" i="5"/>
  <c r="L119" i="5"/>
  <c r="K119" i="5"/>
  <c r="V119" i="5"/>
  <c r="U119" i="5"/>
  <c r="B104" i="5"/>
  <c r="T119" i="5"/>
  <c r="S119" i="5"/>
  <c r="R119" i="5"/>
  <c r="O119" i="5"/>
  <c r="N119" i="5"/>
  <c r="M119" i="5"/>
  <c r="AN176" i="3"/>
  <c r="AM176" i="3"/>
  <c r="AL176" i="3"/>
  <c r="AK176" i="3"/>
  <c r="AJ176" i="3"/>
  <c r="AI176" i="3"/>
  <c r="AH176" i="3"/>
  <c r="AG176" i="3"/>
  <c r="AF176" i="3"/>
  <c r="AE176" i="3"/>
  <c r="J151" i="3"/>
  <c r="J145" i="3"/>
  <c r="J147" i="3"/>
  <c r="J144" i="3"/>
  <c r="J150" i="3"/>
  <c r="AJ211" i="3"/>
  <c r="AI211" i="3"/>
  <c r="AH211" i="3"/>
  <c r="AG211" i="3"/>
  <c r="AF211" i="3"/>
  <c r="AE211" i="3"/>
  <c r="AN211" i="3"/>
  <c r="AM211" i="3"/>
  <c r="AL211" i="3"/>
  <c r="AK211" i="3"/>
  <c r="B40" i="3"/>
  <c r="AM182" i="3"/>
  <c r="AL182" i="3"/>
  <c r="AK182" i="3"/>
  <c r="AJ182" i="3"/>
  <c r="AI182" i="3"/>
  <c r="AH182" i="3"/>
  <c r="AG182" i="3"/>
  <c r="AF182" i="3"/>
  <c r="AE182" i="3"/>
  <c r="AN182" i="3"/>
  <c r="D133" i="5"/>
  <c r="E104" i="3"/>
  <c r="K21" i="1"/>
  <c r="J21" i="1"/>
  <c r="D220" i="5"/>
  <c r="E191" i="3"/>
  <c r="K118" i="1"/>
  <c r="J118" i="1"/>
  <c r="D139" i="5"/>
  <c r="E110" i="3"/>
  <c r="K28" i="1"/>
  <c r="J28" i="1"/>
  <c r="D204" i="5"/>
  <c r="E175" i="3"/>
  <c r="J100" i="1"/>
  <c r="K100" i="1"/>
  <c r="AI172" i="3"/>
  <c r="AH172" i="3"/>
  <c r="AG172" i="3"/>
  <c r="AF172" i="3"/>
  <c r="AE172" i="3"/>
  <c r="AN172" i="3"/>
  <c r="AM172" i="3"/>
  <c r="AL172" i="3"/>
  <c r="AK172" i="3"/>
  <c r="AJ172" i="3"/>
  <c r="CM90" i="3"/>
  <c r="B13" i="3"/>
  <c r="BC90" i="3"/>
  <c r="I172" i="3"/>
  <c r="H172" i="3"/>
  <c r="G172" i="3"/>
  <c r="S172" i="3"/>
  <c r="R172" i="3"/>
  <c r="Q172" i="3"/>
  <c r="P172" i="3"/>
  <c r="O172" i="3"/>
  <c r="N172" i="3"/>
  <c r="M172" i="3"/>
  <c r="L172" i="3"/>
  <c r="K172" i="3"/>
  <c r="J172" i="3"/>
  <c r="Q149" i="5"/>
  <c r="P149" i="5"/>
  <c r="L149" i="5"/>
  <c r="K149" i="5"/>
  <c r="V149" i="5"/>
  <c r="U149" i="5"/>
  <c r="T149" i="5"/>
  <c r="S149" i="5"/>
  <c r="R149" i="5"/>
  <c r="M149" i="5"/>
  <c r="O149" i="5"/>
  <c r="N149" i="5"/>
  <c r="R179" i="5"/>
  <c r="I232" i="5"/>
  <c r="I229" i="5"/>
  <c r="AF209" i="3"/>
  <c r="AE209" i="3"/>
  <c r="AN209" i="3"/>
  <c r="AM209" i="3"/>
  <c r="AL209" i="3"/>
  <c r="AK209" i="3"/>
  <c r="AJ209" i="3"/>
  <c r="AI209" i="3"/>
  <c r="AH209" i="3"/>
  <c r="AG209" i="3"/>
  <c r="AN152" i="3"/>
  <c r="AM152" i="3"/>
  <c r="AL152" i="3"/>
  <c r="AK152" i="3"/>
  <c r="AJ152" i="3"/>
  <c r="AH152" i="3"/>
  <c r="AG152" i="3"/>
  <c r="AI152" i="3"/>
  <c r="AF152" i="3"/>
  <c r="AE152" i="3"/>
  <c r="AH144" i="3"/>
  <c r="AG144" i="3"/>
  <c r="AF144" i="3"/>
  <c r="AE144" i="3"/>
  <c r="AN144" i="3"/>
  <c r="AM144" i="3"/>
  <c r="AL144" i="3"/>
  <c r="AK144" i="3"/>
  <c r="AJ144" i="3"/>
  <c r="AI144" i="3"/>
  <c r="AH128" i="3"/>
  <c r="AG128" i="3"/>
  <c r="AF128" i="3"/>
  <c r="AE128" i="3"/>
  <c r="AN128" i="3"/>
  <c r="AM128" i="3"/>
  <c r="AL128" i="3"/>
  <c r="AK128" i="3"/>
  <c r="AJ128" i="3"/>
  <c r="AI128" i="3"/>
  <c r="AL114" i="3"/>
  <c r="AK114" i="3"/>
  <c r="AJ114" i="3"/>
  <c r="AI114" i="3"/>
  <c r="AH114" i="3"/>
  <c r="AG114" i="3"/>
  <c r="AF114" i="3"/>
  <c r="AE114" i="3"/>
  <c r="AN114" i="3"/>
  <c r="AM114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U224" i="5"/>
  <c r="Q224" i="5"/>
  <c r="M224" i="5"/>
  <c r="S224" i="5"/>
  <c r="R224" i="5"/>
  <c r="P224" i="5"/>
  <c r="O224" i="5"/>
  <c r="N224" i="5"/>
  <c r="L224" i="5"/>
  <c r="K224" i="5"/>
  <c r="V224" i="5"/>
  <c r="T224" i="5"/>
  <c r="I180" i="3"/>
  <c r="H180" i="3"/>
  <c r="BR180" i="3" s="1"/>
  <c r="G180" i="3"/>
  <c r="S180" i="3"/>
  <c r="R180" i="3"/>
  <c r="Q180" i="3"/>
  <c r="P180" i="3"/>
  <c r="O180" i="3"/>
  <c r="N180" i="3"/>
  <c r="M180" i="3"/>
  <c r="BU180" i="3" s="1"/>
  <c r="L180" i="3"/>
  <c r="K180" i="3"/>
  <c r="J180" i="3"/>
  <c r="AI164" i="3"/>
  <c r="AH164" i="3"/>
  <c r="AG164" i="3"/>
  <c r="AF164" i="3"/>
  <c r="AE164" i="3"/>
  <c r="AN164" i="3"/>
  <c r="AM164" i="3"/>
  <c r="AL164" i="3"/>
  <c r="AK164" i="3"/>
  <c r="AJ164" i="3"/>
  <c r="AH112" i="3"/>
  <c r="AG112" i="3"/>
  <c r="AF112" i="3"/>
  <c r="AE112" i="3"/>
  <c r="AN112" i="3"/>
  <c r="AM112" i="3"/>
  <c r="AL112" i="3"/>
  <c r="AK112" i="3"/>
  <c r="AJ112" i="3"/>
  <c r="AI112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S207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AJ93" i="3"/>
  <c r="AI93" i="3"/>
  <c r="AH93" i="3"/>
  <c r="AG93" i="3"/>
  <c r="AF93" i="3"/>
  <c r="AE93" i="3"/>
  <c r="AN93" i="3"/>
  <c r="AM93" i="3"/>
  <c r="AL93" i="3"/>
  <c r="AK93" i="3"/>
  <c r="AN212" i="3"/>
  <c r="AM212" i="3"/>
  <c r="AL212" i="3"/>
  <c r="AK212" i="3"/>
  <c r="AJ212" i="3"/>
  <c r="AI212" i="3"/>
  <c r="AH212" i="3"/>
  <c r="AG212" i="3"/>
  <c r="AF212" i="3"/>
  <c r="AE212" i="3"/>
  <c r="AG183" i="3"/>
  <c r="AF183" i="3"/>
  <c r="AE183" i="3"/>
  <c r="AN183" i="3"/>
  <c r="AM183" i="3"/>
  <c r="AL183" i="3"/>
  <c r="AK183" i="3"/>
  <c r="AJ183" i="3"/>
  <c r="AI183" i="3"/>
  <c r="AH183" i="3"/>
  <c r="D163" i="5"/>
  <c r="E134" i="3"/>
  <c r="J54" i="1"/>
  <c r="K54" i="1"/>
  <c r="D148" i="5"/>
  <c r="E119" i="3"/>
  <c r="J38" i="1"/>
  <c r="K38" i="1"/>
  <c r="AA125" i="5"/>
  <c r="AF107" i="3"/>
  <c r="AE107" i="3"/>
  <c r="AM107" i="3"/>
  <c r="AL107" i="3"/>
  <c r="AK107" i="3"/>
  <c r="AJ107" i="3"/>
  <c r="AI107" i="3"/>
  <c r="AN107" i="3"/>
  <c r="AH107" i="3"/>
  <c r="AG107" i="3"/>
  <c r="D140" i="5"/>
  <c r="E111" i="3"/>
  <c r="K29" i="1"/>
  <c r="J29" i="1"/>
  <c r="CM151" i="3"/>
  <c r="BC151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AA184" i="5"/>
  <c r="P210" i="3"/>
  <c r="O210" i="3"/>
  <c r="N210" i="3"/>
  <c r="M210" i="3"/>
  <c r="L210" i="3"/>
  <c r="K210" i="3"/>
  <c r="J210" i="3"/>
  <c r="I210" i="3"/>
  <c r="H210" i="3"/>
  <c r="G210" i="3"/>
  <c r="S210" i="3"/>
  <c r="R210" i="3"/>
  <c r="Q210" i="3"/>
  <c r="D167" i="5"/>
  <c r="E138" i="3"/>
  <c r="K59" i="1"/>
  <c r="J59" i="1"/>
  <c r="Q144" i="5"/>
  <c r="P144" i="5"/>
  <c r="L144" i="5"/>
  <c r="K144" i="5"/>
  <c r="R144" i="5"/>
  <c r="O144" i="5"/>
  <c r="N144" i="5"/>
  <c r="M144" i="5"/>
  <c r="V144" i="5"/>
  <c r="U144" i="5"/>
  <c r="T144" i="5"/>
  <c r="S144" i="5"/>
  <c r="BC215" i="3"/>
  <c r="CM215" i="3"/>
  <c r="I188" i="3"/>
  <c r="H188" i="3"/>
  <c r="G188" i="3"/>
  <c r="S188" i="3"/>
  <c r="R188" i="3"/>
  <c r="Q188" i="3"/>
  <c r="P188" i="3"/>
  <c r="O188" i="3"/>
  <c r="N188" i="3"/>
  <c r="M188" i="3"/>
  <c r="L188" i="3"/>
  <c r="K188" i="3"/>
  <c r="J188" i="3"/>
  <c r="V194" i="5"/>
  <c r="U194" i="5"/>
  <c r="T194" i="5"/>
  <c r="R194" i="5"/>
  <c r="Q194" i="5"/>
  <c r="P194" i="5"/>
  <c r="S194" i="5"/>
  <c r="O194" i="5"/>
  <c r="N194" i="5"/>
  <c r="M194" i="5"/>
  <c r="L194" i="5"/>
  <c r="K194" i="5"/>
  <c r="BC213" i="3"/>
  <c r="CM213" i="3"/>
  <c r="K55" i="1"/>
  <c r="J55" i="1"/>
  <c r="AN97" i="3"/>
  <c r="AM97" i="3"/>
  <c r="AL97" i="3"/>
  <c r="AK97" i="3"/>
  <c r="AI97" i="3"/>
  <c r="AH97" i="3"/>
  <c r="AG97" i="3"/>
  <c r="AJ97" i="3"/>
  <c r="AF97" i="3"/>
  <c r="AE97" i="3"/>
  <c r="BC95" i="3"/>
  <c r="CM95" i="3"/>
  <c r="D150" i="5"/>
  <c r="E121" i="3"/>
  <c r="K40" i="1"/>
  <c r="J40" i="1"/>
  <c r="D172" i="5"/>
  <c r="E143" i="3"/>
  <c r="J64" i="1"/>
  <c r="K64" i="1"/>
  <c r="N213" i="3"/>
  <c r="M213" i="3"/>
  <c r="L213" i="3"/>
  <c r="K213" i="3"/>
  <c r="J213" i="3"/>
  <c r="I213" i="3"/>
  <c r="H213" i="3"/>
  <c r="G213" i="3"/>
  <c r="S213" i="3"/>
  <c r="R213" i="3"/>
  <c r="Q213" i="3"/>
  <c r="P213" i="3"/>
  <c r="O213" i="3"/>
  <c r="P132" i="3"/>
  <c r="O132" i="3"/>
  <c r="N132" i="3"/>
  <c r="M132" i="3"/>
  <c r="L132" i="3"/>
  <c r="K132" i="3"/>
  <c r="J132" i="3"/>
  <c r="I132" i="3"/>
  <c r="H132" i="3"/>
  <c r="G132" i="3"/>
  <c r="S132" i="3"/>
  <c r="R132" i="3"/>
  <c r="Q132" i="3"/>
  <c r="J117" i="3"/>
  <c r="I117" i="3"/>
  <c r="H117" i="3"/>
  <c r="G117" i="3"/>
  <c r="S117" i="3"/>
  <c r="R117" i="3"/>
  <c r="Q117" i="3"/>
  <c r="P117" i="3"/>
  <c r="O117" i="3"/>
  <c r="N117" i="3"/>
  <c r="M117" i="3"/>
  <c r="L117" i="3"/>
  <c r="K117" i="3"/>
  <c r="Q132" i="5"/>
  <c r="P132" i="5"/>
  <c r="N132" i="5"/>
  <c r="M132" i="5"/>
  <c r="L132" i="5"/>
  <c r="K132" i="5"/>
  <c r="V132" i="5"/>
  <c r="U132" i="5"/>
  <c r="T132" i="5"/>
  <c r="S132" i="5"/>
  <c r="R132" i="5"/>
  <c r="O132" i="5"/>
  <c r="J109" i="3"/>
  <c r="I109" i="3"/>
  <c r="H109" i="3"/>
  <c r="G109" i="3"/>
  <c r="S109" i="3"/>
  <c r="R109" i="3"/>
  <c r="Q109" i="3"/>
  <c r="P109" i="3"/>
  <c r="O109" i="3"/>
  <c r="N109" i="3"/>
  <c r="M109" i="3"/>
  <c r="L109" i="3"/>
  <c r="K109" i="3"/>
  <c r="D228" i="5"/>
  <c r="E199" i="3"/>
  <c r="K127" i="1"/>
  <c r="J127" i="1"/>
  <c r="AN168" i="3"/>
  <c r="AM168" i="3"/>
  <c r="AL168" i="3"/>
  <c r="AK168" i="3"/>
  <c r="AJ168" i="3"/>
  <c r="AI168" i="3"/>
  <c r="AH168" i="3"/>
  <c r="AG168" i="3"/>
  <c r="AF168" i="3"/>
  <c r="AE168" i="3"/>
  <c r="AJ203" i="3"/>
  <c r="AI203" i="3"/>
  <c r="AH203" i="3"/>
  <c r="AG203" i="3"/>
  <c r="AF203" i="3"/>
  <c r="AE203" i="3"/>
  <c r="AN203" i="3"/>
  <c r="AM203" i="3"/>
  <c r="AL203" i="3"/>
  <c r="AK203" i="3"/>
  <c r="AA179" i="5"/>
  <c r="AA157" i="5"/>
  <c r="J101" i="3"/>
  <c r="I101" i="3"/>
  <c r="H101" i="3"/>
  <c r="G101" i="3"/>
  <c r="S101" i="3"/>
  <c r="Q101" i="3"/>
  <c r="P101" i="3"/>
  <c r="O101" i="3"/>
  <c r="N101" i="3"/>
  <c r="R101" i="3"/>
  <c r="M101" i="3"/>
  <c r="L101" i="3"/>
  <c r="K101" i="3"/>
  <c r="BX174" i="3"/>
  <c r="BW174" i="3"/>
  <c r="BV174" i="3"/>
  <c r="BU174" i="3"/>
  <c r="BT174" i="3"/>
  <c r="BS174" i="3"/>
  <c r="BR174" i="3"/>
  <c r="BQ174" i="3"/>
  <c r="BP174" i="3"/>
  <c r="BO174" i="3"/>
  <c r="BR160" i="3"/>
  <c r="BQ160" i="3"/>
  <c r="BP160" i="3"/>
  <c r="BO160" i="3"/>
  <c r="BX160" i="3"/>
  <c r="BW160" i="3"/>
  <c r="BV160" i="3"/>
  <c r="BU160" i="3"/>
  <c r="BT160" i="3"/>
  <c r="BS160" i="3"/>
  <c r="BX183" i="3"/>
  <c r="BW183" i="3"/>
  <c r="BV183" i="3"/>
  <c r="BU183" i="3"/>
  <c r="BT183" i="3"/>
  <c r="BS183" i="3"/>
  <c r="BR183" i="3"/>
  <c r="BQ183" i="3"/>
  <c r="BP183" i="3"/>
  <c r="BO183" i="3"/>
  <c r="V189" i="5"/>
  <c r="R189" i="5"/>
  <c r="Q189" i="5"/>
  <c r="P189" i="5"/>
  <c r="U189" i="5"/>
  <c r="T189" i="5"/>
  <c r="S189" i="5"/>
  <c r="O189" i="5"/>
  <c r="N189" i="5"/>
  <c r="M189" i="5"/>
  <c r="L189" i="5"/>
  <c r="K189" i="5"/>
  <c r="I142" i="5"/>
  <c r="I127" i="5"/>
  <c r="I233" i="5"/>
  <c r="I244" i="5"/>
  <c r="I160" i="5"/>
  <c r="I126" i="5"/>
  <c r="R175" i="5"/>
  <c r="AF175" i="5" s="1"/>
  <c r="AG175" i="5" s="1"/>
  <c r="R176" i="5"/>
  <c r="AF176" i="5" s="1"/>
  <c r="AG176" i="5" s="1"/>
  <c r="R174" i="5"/>
  <c r="I148" i="5"/>
  <c r="D210" i="5"/>
  <c r="E181" i="3"/>
  <c r="K107" i="1"/>
  <c r="J107" i="1"/>
  <c r="AN126" i="3"/>
  <c r="AM126" i="3"/>
  <c r="AL126" i="3"/>
  <c r="AK126" i="3"/>
  <c r="AJ126" i="3"/>
  <c r="AI126" i="3"/>
  <c r="AH126" i="3"/>
  <c r="AG126" i="3"/>
  <c r="AF126" i="3"/>
  <c r="AE126" i="3"/>
  <c r="J133" i="3"/>
  <c r="I133" i="3"/>
  <c r="H133" i="3"/>
  <c r="G133" i="3"/>
  <c r="S133" i="3"/>
  <c r="R133" i="3"/>
  <c r="Q133" i="3"/>
  <c r="P133" i="3"/>
  <c r="O133" i="3"/>
  <c r="N133" i="3"/>
  <c r="M133" i="3"/>
  <c r="L133" i="3"/>
  <c r="K133" i="3"/>
  <c r="D229" i="5"/>
  <c r="E200" i="3"/>
  <c r="K128" i="1"/>
  <c r="J128" i="1"/>
  <c r="D123" i="5"/>
  <c r="E94" i="3"/>
  <c r="J10" i="1"/>
  <c r="K10" i="1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U212" i="5"/>
  <c r="Q212" i="5"/>
  <c r="M212" i="5"/>
  <c r="V212" i="5"/>
  <c r="T212" i="5"/>
  <c r="S212" i="5"/>
  <c r="R212" i="5"/>
  <c r="N212" i="5"/>
  <c r="L212" i="5"/>
  <c r="K212" i="5"/>
  <c r="P212" i="5"/>
  <c r="O212" i="5"/>
  <c r="K169" i="3"/>
  <c r="J169" i="3"/>
  <c r="I169" i="3"/>
  <c r="H169" i="3"/>
  <c r="G169" i="3"/>
  <c r="S169" i="3"/>
  <c r="R169" i="3"/>
  <c r="Q169" i="3"/>
  <c r="P169" i="3"/>
  <c r="O169" i="3"/>
  <c r="N169" i="3"/>
  <c r="M169" i="3"/>
  <c r="L169" i="3"/>
  <c r="Q160" i="5"/>
  <c r="P160" i="5"/>
  <c r="O160" i="5"/>
  <c r="N160" i="5"/>
  <c r="M160" i="5"/>
  <c r="L160" i="5"/>
  <c r="K160" i="5"/>
  <c r="V160" i="5"/>
  <c r="U160" i="5"/>
  <c r="T160" i="5"/>
  <c r="S160" i="5"/>
  <c r="R160" i="5"/>
  <c r="AN108" i="3"/>
  <c r="AM108" i="3"/>
  <c r="AL108" i="3"/>
  <c r="AK108" i="3"/>
  <c r="AJ108" i="3"/>
  <c r="AI108" i="3"/>
  <c r="AH108" i="3"/>
  <c r="AG108" i="3"/>
  <c r="AF108" i="3"/>
  <c r="AE108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R152" i="3"/>
  <c r="R144" i="3"/>
  <c r="R149" i="3"/>
  <c r="AA120" i="5"/>
  <c r="AA227" i="5"/>
  <c r="G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AG151" i="3"/>
  <c r="AF151" i="3"/>
  <c r="AE151" i="3"/>
  <c r="AN151" i="3"/>
  <c r="AM151" i="3"/>
  <c r="AL151" i="3"/>
  <c r="AK151" i="3"/>
  <c r="AJ151" i="3"/>
  <c r="AI151" i="3"/>
  <c r="AH151" i="3"/>
  <c r="K231" i="5"/>
  <c r="V231" i="5"/>
  <c r="T231" i="5"/>
  <c r="R231" i="5"/>
  <c r="N231" i="5"/>
  <c r="L231" i="5"/>
  <c r="M231" i="5"/>
  <c r="U231" i="5"/>
  <c r="S231" i="5"/>
  <c r="Q231" i="5"/>
  <c r="P231" i="5"/>
  <c r="O231" i="5"/>
  <c r="BC171" i="3"/>
  <c r="CM171" i="3"/>
  <c r="D182" i="5"/>
  <c r="E153" i="3"/>
  <c r="K76" i="1"/>
  <c r="J76" i="1"/>
  <c r="R121" i="3"/>
  <c r="Q121" i="3"/>
  <c r="P121" i="3"/>
  <c r="O121" i="3"/>
  <c r="N121" i="3"/>
  <c r="M121" i="3"/>
  <c r="L121" i="3"/>
  <c r="K121" i="3"/>
  <c r="J121" i="3"/>
  <c r="I121" i="3"/>
  <c r="H121" i="3"/>
  <c r="G121" i="3"/>
  <c r="S121" i="3"/>
  <c r="P136" i="5"/>
  <c r="T136" i="5"/>
  <c r="S136" i="5"/>
  <c r="R136" i="5"/>
  <c r="Q136" i="5"/>
  <c r="O136" i="5"/>
  <c r="N136" i="5"/>
  <c r="M136" i="5"/>
  <c r="L136" i="5"/>
  <c r="V136" i="5"/>
  <c r="U136" i="5"/>
  <c r="K136" i="5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D232" i="5"/>
  <c r="E203" i="3"/>
  <c r="K131" i="1"/>
  <c r="J131" i="1"/>
  <c r="AN132" i="3"/>
  <c r="AM132" i="3"/>
  <c r="AL132" i="3"/>
  <c r="AK132" i="3"/>
  <c r="AJ132" i="3"/>
  <c r="AI132" i="3"/>
  <c r="AH132" i="3"/>
  <c r="AG132" i="3"/>
  <c r="AF132" i="3"/>
  <c r="AE132" i="3"/>
  <c r="AN118" i="3"/>
  <c r="AM118" i="3"/>
  <c r="AL118" i="3"/>
  <c r="AK118" i="3"/>
  <c r="AJ118" i="3"/>
  <c r="AI118" i="3"/>
  <c r="AH118" i="3"/>
  <c r="AG118" i="3"/>
  <c r="AF118" i="3"/>
  <c r="AE118" i="3"/>
  <c r="D157" i="5"/>
  <c r="E128" i="3"/>
  <c r="K48" i="1"/>
  <c r="J48" i="1"/>
  <c r="R105" i="3"/>
  <c r="Q105" i="3"/>
  <c r="P105" i="3"/>
  <c r="O105" i="3"/>
  <c r="N105" i="3"/>
  <c r="M105" i="3"/>
  <c r="L105" i="3"/>
  <c r="K105" i="3"/>
  <c r="I105" i="3"/>
  <c r="H105" i="3"/>
  <c r="G105" i="3"/>
  <c r="S105" i="3"/>
  <c r="J105" i="3"/>
  <c r="S152" i="3"/>
  <c r="S145" i="3"/>
  <c r="CM101" i="3"/>
  <c r="BC101" i="3"/>
  <c r="D168" i="5"/>
  <c r="E139" i="3"/>
  <c r="K60" i="1"/>
  <c r="J60" i="1"/>
  <c r="D154" i="5"/>
  <c r="E125" i="3"/>
  <c r="K44" i="1"/>
  <c r="J44" i="1"/>
  <c r="BX180" i="3"/>
  <c r="BW180" i="3"/>
  <c r="BV180" i="3"/>
  <c r="BT180" i="3"/>
  <c r="BS180" i="3"/>
  <c r="BQ180" i="3"/>
  <c r="BP180" i="3"/>
  <c r="BO180" i="3"/>
  <c r="BX122" i="3"/>
  <c r="BW122" i="3"/>
  <c r="BV122" i="3"/>
  <c r="BU122" i="3"/>
  <c r="BT122" i="3"/>
  <c r="BS122" i="3"/>
  <c r="BR122" i="3"/>
  <c r="BQ122" i="3"/>
  <c r="BP122" i="3"/>
  <c r="BO122" i="3"/>
  <c r="BX141" i="3"/>
  <c r="BW141" i="3"/>
  <c r="BV141" i="3"/>
  <c r="BU141" i="3"/>
  <c r="BT141" i="3"/>
  <c r="BS141" i="3"/>
  <c r="BR141" i="3"/>
  <c r="BQ141" i="3"/>
  <c r="BP141" i="3"/>
  <c r="BO141" i="3"/>
  <c r="AJ195" i="3"/>
  <c r="AI195" i="3"/>
  <c r="AH195" i="3"/>
  <c r="AG195" i="3"/>
  <c r="AF195" i="3"/>
  <c r="AE195" i="3"/>
  <c r="AN195" i="3"/>
  <c r="AM195" i="3"/>
  <c r="AL195" i="3"/>
  <c r="AK195" i="3"/>
  <c r="L114" i="3"/>
  <c r="K114" i="3"/>
  <c r="J114" i="3"/>
  <c r="I114" i="3"/>
  <c r="H114" i="3"/>
  <c r="G114" i="3"/>
  <c r="S114" i="3"/>
  <c r="R114" i="3"/>
  <c r="Q114" i="3"/>
  <c r="P114" i="3"/>
  <c r="O114" i="3"/>
  <c r="N114" i="3"/>
  <c r="M114" i="3"/>
  <c r="AF193" i="3"/>
  <c r="AE193" i="3"/>
  <c r="AN193" i="3"/>
  <c r="AM193" i="3"/>
  <c r="AK193" i="3"/>
  <c r="AJ193" i="3"/>
  <c r="AI193" i="3"/>
  <c r="AG193" i="3"/>
  <c r="AL193" i="3"/>
  <c r="AH193" i="3"/>
  <c r="S193" i="3"/>
  <c r="R193" i="3"/>
  <c r="Q193" i="3"/>
  <c r="P193" i="3"/>
  <c r="O193" i="3"/>
  <c r="M193" i="3"/>
  <c r="K193" i="3"/>
  <c r="I193" i="3"/>
  <c r="N193" i="3"/>
  <c r="L193" i="3"/>
  <c r="J193" i="3"/>
  <c r="H193" i="3"/>
  <c r="G193" i="3"/>
  <c r="V193" i="5"/>
  <c r="U193" i="5"/>
  <c r="T193" i="5"/>
  <c r="R193" i="5"/>
  <c r="Q193" i="5"/>
  <c r="P193" i="5"/>
  <c r="S193" i="5"/>
  <c r="O193" i="5"/>
  <c r="L193" i="5"/>
  <c r="K193" i="5"/>
  <c r="N193" i="5"/>
  <c r="M193" i="5"/>
  <c r="V185" i="5"/>
  <c r="P185" i="5"/>
  <c r="U185" i="5"/>
  <c r="T185" i="5"/>
  <c r="S185" i="5"/>
  <c r="R185" i="5"/>
  <c r="Q185" i="5"/>
  <c r="O185" i="5"/>
  <c r="N185" i="5"/>
  <c r="M185" i="5"/>
  <c r="L185" i="5"/>
  <c r="K185" i="5"/>
  <c r="AE154" i="3"/>
  <c r="AN154" i="3"/>
  <c r="AL154" i="3"/>
  <c r="AK154" i="3"/>
  <c r="AJ154" i="3"/>
  <c r="AI154" i="3"/>
  <c r="AH154" i="3"/>
  <c r="AG154" i="3"/>
  <c r="AF154" i="3"/>
  <c r="AM154" i="3"/>
  <c r="I210" i="5"/>
  <c r="I196" i="5"/>
  <c r="T174" i="5"/>
  <c r="I159" i="5"/>
  <c r="I125" i="5"/>
  <c r="I150" i="3"/>
  <c r="R147" i="3"/>
  <c r="R146" i="3"/>
  <c r="CM193" i="3"/>
  <c r="BC193" i="3"/>
  <c r="Q128" i="5"/>
  <c r="P128" i="5"/>
  <c r="M128" i="5"/>
  <c r="L128" i="5"/>
  <c r="K128" i="5"/>
  <c r="O128" i="5"/>
  <c r="N128" i="5"/>
  <c r="V128" i="5"/>
  <c r="U128" i="5"/>
  <c r="T128" i="5"/>
  <c r="S128" i="5"/>
  <c r="R128" i="5"/>
  <c r="O179" i="3"/>
  <c r="N179" i="3"/>
  <c r="M179" i="3"/>
  <c r="L179" i="3"/>
  <c r="K179" i="3"/>
  <c r="J179" i="3"/>
  <c r="I179" i="3"/>
  <c r="H179" i="3"/>
  <c r="G179" i="3"/>
  <c r="S179" i="3"/>
  <c r="R179" i="3"/>
  <c r="Q179" i="3"/>
  <c r="P179" i="3"/>
  <c r="K185" i="3"/>
  <c r="J185" i="3"/>
  <c r="I185" i="3"/>
  <c r="H185" i="3"/>
  <c r="G185" i="3"/>
  <c r="S185" i="3"/>
  <c r="R185" i="3"/>
  <c r="Q185" i="3"/>
  <c r="P185" i="3"/>
  <c r="O185" i="3"/>
  <c r="N185" i="3"/>
  <c r="M185" i="3"/>
  <c r="L185" i="3"/>
  <c r="CM169" i="3"/>
  <c r="BC169" i="3"/>
  <c r="Q147" i="5"/>
  <c r="P147" i="5"/>
  <c r="L147" i="5"/>
  <c r="K147" i="5"/>
  <c r="V147" i="5"/>
  <c r="U147" i="5"/>
  <c r="T147" i="5"/>
  <c r="S147" i="5"/>
  <c r="R147" i="5"/>
  <c r="M147" i="5"/>
  <c r="O147" i="5"/>
  <c r="N147" i="5"/>
  <c r="AF131" i="3"/>
  <c r="AE131" i="3"/>
  <c r="AN131" i="3"/>
  <c r="AM131" i="3"/>
  <c r="AL131" i="3"/>
  <c r="AK131" i="3"/>
  <c r="AJ131" i="3"/>
  <c r="AI131" i="3"/>
  <c r="AH131" i="3"/>
  <c r="AG131" i="3"/>
  <c r="J93" i="3"/>
  <c r="I93" i="3"/>
  <c r="H93" i="3"/>
  <c r="G93" i="3"/>
  <c r="S93" i="3"/>
  <c r="R93" i="3"/>
  <c r="Q93" i="3"/>
  <c r="P93" i="3"/>
  <c r="O93" i="3"/>
  <c r="N93" i="3"/>
  <c r="M93" i="3"/>
  <c r="L93" i="3"/>
  <c r="K93" i="3"/>
  <c r="BC196" i="3"/>
  <c r="CM196" i="3"/>
  <c r="S154" i="3"/>
  <c r="R154" i="3"/>
  <c r="Q154" i="3"/>
  <c r="P154" i="3"/>
  <c r="O154" i="3"/>
  <c r="N154" i="3"/>
  <c r="L154" i="3"/>
  <c r="K154" i="3"/>
  <c r="J154" i="3"/>
  <c r="M154" i="3"/>
  <c r="I154" i="3"/>
  <c r="H154" i="3"/>
  <c r="G154" i="3"/>
  <c r="AA180" i="5"/>
  <c r="Q152" i="5"/>
  <c r="P152" i="5"/>
  <c r="N152" i="5"/>
  <c r="L152" i="5"/>
  <c r="K152" i="5"/>
  <c r="U152" i="5"/>
  <c r="T152" i="5"/>
  <c r="S152" i="5"/>
  <c r="R152" i="5"/>
  <c r="O152" i="5"/>
  <c r="M152" i="5"/>
  <c r="V152" i="5"/>
  <c r="L179" i="5"/>
  <c r="L180" i="5"/>
  <c r="L181" i="5"/>
  <c r="L173" i="5"/>
  <c r="K5" i="1"/>
  <c r="J5" i="1"/>
  <c r="AN163" i="3"/>
  <c r="AM163" i="3"/>
  <c r="AL163" i="3"/>
  <c r="AK163" i="3"/>
  <c r="AJ163" i="3"/>
  <c r="AI163" i="3"/>
  <c r="AH163" i="3"/>
  <c r="AG163" i="3"/>
  <c r="AF163" i="3"/>
  <c r="AE163" i="3"/>
  <c r="BR152" i="3"/>
  <c r="BQ152" i="3"/>
  <c r="BP152" i="3"/>
  <c r="BO152" i="3"/>
  <c r="BX152" i="3"/>
  <c r="BW152" i="3"/>
  <c r="BV152" i="3"/>
  <c r="BU152" i="3"/>
  <c r="BT152" i="3"/>
  <c r="BS152" i="3"/>
  <c r="AN135" i="3"/>
  <c r="AM135" i="3"/>
  <c r="AL135" i="3"/>
  <c r="AK135" i="3"/>
  <c r="AJ135" i="3"/>
  <c r="AI135" i="3"/>
  <c r="AH135" i="3"/>
  <c r="AG135" i="3"/>
  <c r="AF135" i="3"/>
  <c r="AE135" i="3"/>
  <c r="U217" i="5"/>
  <c r="Q217" i="5"/>
  <c r="M217" i="5"/>
  <c r="V217" i="5"/>
  <c r="T217" i="5"/>
  <c r="S217" i="5"/>
  <c r="R217" i="5"/>
  <c r="P217" i="5"/>
  <c r="O217" i="5"/>
  <c r="N217" i="5"/>
  <c r="L217" i="5"/>
  <c r="K217" i="5"/>
  <c r="BC105" i="3"/>
  <c r="CM105" i="3"/>
  <c r="BC163" i="3"/>
  <c r="CM163" i="3"/>
  <c r="AN94" i="3"/>
  <c r="AM94" i="3"/>
  <c r="AK94" i="3"/>
  <c r="AJ94" i="3"/>
  <c r="AL94" i="3"/>
  <c r="AI94" i="3"/>
  <c r="AH94" i="3"/>
  <c r="AG94" i="3"/>
  <c r="AF94" i="3"/>
  <c r="AE94" i="3"/>
  <c r="N111" i="3"/>
  <c r="M111" i="3"/>
  <c r="L111" i="3"/>
  <c r="K111" i="3"/>
  <c r="J111" i="3"/>
  <c r="I111" i="3"/>
  <c r="H111" i="3"/>
  <c r="G111" i="3"/>
  <c r="S111" i="3"/>
  <c r="R111" i="3"/>
  <c r="Q111" i="3"/>
  <c r="P111" i="3"/>
  <c r="O111" i="3"/>
  <c r="AA124" i="5"/>
  <c r="AN140" i="3"/>
  <c r="AM140" i="3"/>
  <c r="AL140" i="3"/>
  <c r="AK140" i="3"/>
  <c r="AJ140" i="3"/>
  <c r="AI140" i="3"/>
  <c r="AH140" i="3"/>
  <c r="AG140" i="3"/>
  <c r="AF140" i="3"/>
  <c r="AE140" i="3"/>
  <c r="P161" i="5"/>
  <c r="R161" i="5"/>
  <c r="Q161" i="5"/>
  <c r="O161" i="5"/>
  <c r="N161" i="5"/>
  <c r="M161" i="5"/>
  <c r="L161" i="5"/>
  <c r="K161" i="5"/>
  <c r="V161" i="5"/>
  <c r="U161" i="5"/>
  <c r="T161" i="5"/>
  <c r="S161" i="5"/>
  <c r="P138" i="5"/>
  <c r="V138" i="5"/>
  <c r="U138" i="5"/>
  <c r="T138" i="5"/>
  <c r="S138" i="5"/>
  <c r="R138" i="5"/>
  <c r="Q138" i="5"/>
  <c r="O138" i="5"/>
  <c r="N138" i="5"/>
  <c r="M138" i="5"/>
  <c r="L138" i="5"/>
  <c r="K138" i="5"/>
  <c r="AN197" i="3"/>
  <c r="AM197" i="3"/>
  <c r="AL197" i="3"/>
  <c r="AK197" i="3"/>
  <c r="AJ197" i="3"/>
  <c r="AI197" i="3"/>
  <c r="AH197" i="3"/>
  <c r="AG197" i="3"/>
  <c r="AF197" i="3"/>
  <c r="AE197" i="3"/>
  <c r="Q168" i="3"/>
  <c r="P168" i="3"/>
  <c r="O168" i="3"/>
  <c r="N168" i="3"/>
  <c r="M168" i="3"/>
  <c r="L168" i="3"/>
  <c r="K168" i="3"/>
  <c r="J168" i="3"/>
  <c r="I168" i="3"/>
  <c r="H168" i="3"/>
  <c r="G168" i="3"/>
  <c r="S168" i="3"/>
  <c r="R168" i="3"/>
  <c r="BC148" i="3"/>
  <c r="CM148" i="3"/>
  <c r="Q130" i="5"/>
  <c r="P130" i="5"/>
  <c r="N130" i="5"/>
  <c r="M130" i="5"/>
  <c r="L130" i="5"/>
  <c r="K130" i="5"/>
  <c r="V130" i="5"/>
  <c r="U130" i="5"/>
  <c r="T130" i="5"/>
  <c r="S130" i="5"/>
  <c r="R130" i="5"/>
  <c r="O130" i="5"/>
  <c r="H150" i="3"/>
  <c r="H146" i="3"/>
  <c r="Q146" i="3"/>
  <c r="M166" i="3"/>
  <c r="L166" i="3"/>
  <c r="K166" i="3"/>
  <c r="J166" i="3"/>
  <c r="I166" i="3"/>
  <c r="H166" i="3"/>
  <c r="BR166" i="3" s="1"/>
  <c r="G166" i="3"/>
  <c r="S166" i="3"/>
  <c r="R166" i="3"/>
  <c r="Q166" i="3"/>
  <c r="P166" i="3"/>
  <c r="O166" i="3"/>
  <c r="N166" i="3"/>
  <c r="Q143" i="5"/>
  <c r="P143" i="5"/>
  <c r="L143" i="5"/>
  <c r="K143" i="5"/>
  <c r="V143" i="5"/>
  <c r="U143" i="5"/>
  <c r="T143" i="5"/>
  <c r="S143" i="5"/>
  <c r="M143" i="5"/>
  <c r="R143" i="5"/>
  <c r="O143" i="5"/>
  <c r="N143" i="5"/>
  <c r="K179" i="5"/>
  <c r="K180" i="5"/>
  <c r="K181" i="5"/>
  <c r="K173" i="5"/>
  <c r="AN179" i="3"/>
  <c r="AM179" i="3"/>
  <c r="AL179" i="3"/>
  <c r="AK179" i="3"/>
  <c r="AJ179" i="3"/>
  <c r="AI179" i="3"/>
  <c r="AH179" i="3"/>
  <c r="AG179" i="3"/>
  <c r="AF179" i="3"/>
  <c r="AE179" i="3"/>
  <c r="H155" i="5"/>
  <c r="U222" i="5"/>
  <c r="Q222" i="5"/>
  <c r="M222" i="5"/>
  <c r="V222" i="5"/>
  <c r="T222" i="5"/>
  <c r="S222" i="5"/>
  <c r="R222" i="5"/>
  <c r="P222" i="5"/>
  <c r="O222" i="5"/>
  <c r="N222" i="5"/>
  <c r="L222" i="5"/>
  <c r="K222" i="5"/>
  <c r="BC162" i="3"/>
  <c r="CM162" i="3"/>
  <c r="H214" i="3"/>
  <c r="G214" i="3"/>
  <c r="S214" i="3"/>
  <c r="R214" i="3"/>
  <c r="Q214" i="3"/>
  <c r="P214" i="3"/>
  <c r="O214" i="3"/>
  <c r="N214" i="3"/>
  <c r="M214" i="3"/>
  <c r="L214" i="3"/>
  <c r="K214" i="3"/>
  <c r="J214" i="3"/>
  <c r="I214" i="3"/>
  <c r="CM154" i="3"/>
  <c r="BC154" i="3"/>
  <c r="U162" i="5"/>
  <c r="Q162" i="5"/>
  <c r="P162" i="5"/>
  <c r="M162" i="5"/>
  <c r="V162" i="5"/>
  <c r="T162" i="5"/>
  <c r="S162" i="5"/>
  <c r="R162" i="5"/>
  <c r="O162" i="5"/>
  <c r="N162" i="5"/>
  <c r="L162" i="5"/>
  <c r="K162" i="5"/>
  <c r="D142" i="5"/>
  <c r="E113" i="3"/>
  <c r="K31" i="1"/>
  <c r="J31" i="1"/>
  <c r="BC181" i="3"/>
  <c r="CM181" i="3"/>
  <c r="V198" i="5"/>
  <c r="U198" i="5"/>
  <c r="T198" i="5"/>
  <c r="R198" i="5"/>
  <c r="Q198" i="5"/>
  <c r="P198" i="5"/>
  <c r="N198" i="5"/>
  <c r="M198" i="5"/>
  <c r="L198" i="5"/>
  <c r="K198" i="5"/>
  <c r="S198" i="5"/>
  <c r="O198" i="5"/>
  <c r="BC129" i="3"/>
  <c r="CM129" i="3"/>
  <c r="T233" i="5"/>
  <c r="K233" i="5"/>
  <c r="U233" i="5"/>
  <c r="R233" i="5"/>
  <c r="P233" i="5"/>
  <c r="L233" i="5"/>
  <c r="S233" i="5"/>
  <c r="Q233" i="5"/>
  <c r="O233" i="5"/>
  <c r="N233" i="5"/>
  <c r="M233" i="5"/>
  <c r="V233" i="5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P137" i="5"/>
  <c r="V137" i="5"/>
  <c r="U137" i="5"/>
  <c r="T137" i="5"/>
  <c r="S137" i="5"/>
  <c r="R137" i="5"/>
  <c r="Q137" i="5"/>
  <c r="O137" i="5"/>
  <c r="N137" i="5"/>
  <c r="M137" i="5"/>
  <c r="L137" i="5"/>
  <c r="K137" i="5"/>
  <c r="AN192" i="3"/>
  <c r="AM192" i="3"/>
  <c r="AL192" i="3"/>
  <c r="AK192" i="3"/>
  <c r="AJ192" i="3"/>
  <c r="AI192" i="3"/>
  <c r="AH192" i="3"/>
  <c r="AG192" i="3"/>
  <c r="AF192" i="3"/>
  <c r="AE192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V196" i="5"/>
  <c r="U196" i="5"/>
  <c r="T196" i="5"/>
  <c r="R196" i="5"/>
  <c r="Q196" i="5"/>
  <c r="P196" i="5"/>
  <c r="S196" i="5"/>
  <c r="O196" i="5"/>
  <c r="N196" i="5"/>
  <c r="M196" i="5"/>
  <c r="L196" i="5"/>
  <c r="K196" i="5"/>
  <c r="R113" i="3"/>
  <c r="Q113" i="3"/>
  <c r="P113" i="3"/>
  <c r="O113" i="3"/>
  <c r="N113" i="3"/>
  <c r="M113" i="3"/>
  <c r="L113" i="3"/>
  <c r="K113" i="3"/>
  <c r="J113" i="3"/>
  <c r="I113" i="3"/>
  <c r="H113" i="3"/>
  <c r="G113" i="3"/>
  <c r="S113" i="3"/>
  <c r="AA244" i="5"/>
  <c r="CM200" i="3"/>
  <c r="BC200" i="3"/>
  <c r="AA200" i="5"/>
  <c r="U164" i="5"/>
  <c r="Q164" i="5"/>
  <c r="P164" i="5"/>
  <c r="M164" i="5"/>
  <c r="V164" i="5"/>
  <c r="T164" i="5"/>
  <c r="S164" i="5"/>
  <c r="R164" i="5"/>
  <c r="O164" i="5"/>
  <c r="N164" i="5"/>
  <c r="L164" i="5"/>
  <c r="K164" i="5"/>
  <c r="Q150" i="5"/>
  <c r="P150" i="5"/>
  <c r="L150" i="5"/>
  <c r="K150" i="5"/>
  <c r="R150" i="5"/>
  <c r="O150" i="5"/>
  <c r="N150" i="5"/>
  <c r="M150" i="5"/>
  <c r="U150" i="5"/>
  <c r="S150" i="5"/>
  <c r="V150" i="5"/>
  <c r="T150" i="5"/>
  <c r="V171" i="5"/>
  <c r="U171" i="5"/>
  <c r="S171" i="5"/>
  <c r="Q171" i="5"/>
  <c r="P171" i="5"/>
  <c r="M171" i="5"/>
  <c r="R171" i="5"/>
  <c r="O171" i="5"/>
  <c r="N171" i="5"/>
  <c r="L171" i="5"/>
  <c r="K171" i="5"/>
  <c r="T171" i="5"/>
  <c r="BX146" i="3"/>
  <c r="BW146" i="3"/>
  <c r="BV146" i="3"/>
  <c r="BU146" i="3"/>
  <c r="BT146" i="3"/>
  <c r="BS146" i="3"/>
  <c r="BR146" i="3"/>
  <c r="BQ146" i="3"/>
  <c r="BP146" i="3"/>
  <c r="BO146" i="3"/>
  <c r="AA242" i="5"/>
  <c r="D122" i="5"/>
  <c r="E93" i="3"/>
  <c r="J9" i="1"/>
  <c r="K9" i="1"/>
  <c r="Q134" i="5"/>
  <c r="P134" i="5"/>
  <c r="N134" i="5"/>
  <c r="M134" i="5"/>
  <c r="L134" i="5"/>
  <c r="K134" i="5"/>
  <c r="T134" i="5"/>
  <c r="S134" i="5"/>
  <c r="R134" i="5"/>
  <c r="O134" i="5"/>
  <c r="V134" i="5"/>
  <c r="U134" i="5"/>
  <c r="Q146" i="5"/>
  <c r="P146" i="5"/>
  <c r="L146" i="5"/>
  <c r="K146" i="5"/>
  <c r="R146" i="5"/>
  <c r="O146" i="5"/>
  <c r="N146" i="5"/>
  <c r="M146" i="5"/>
  <c r="V146" i="5"/>
  <c r="U146" i="5"/>
  <c r="T146" i="5"/>
  <c r="S146" i="5"/>
  <c r="AA130" i="5"/>
  <c r="AJ101" i="3"/>
  <c r="AI101" i="3"/>
  <c r="AH101" i="3"/>
  <c r="AG101" i="3"/>
  <c r="AF101" i="3"/>
  <c r="AE101" i="3"/>
  <c r="AN101" i="3"/>
  <c r="AM101" i="3"/>
  <c r="AL101" i="3"/>
  <c r="AK101" i="3"/>
  <c r="N145" i="3"/>
  <c r="N147" i="3"/>
  <c r="N144" i="3"/>
  <c r="N150" i="3"/>
  <c r="N149" i="3"/>
  <c r="N146" i="3"/>
  <c r="AH136" i="3"/>
  <c r="AG136" i="3"/>
  <c r="AF136" i="3"/>
  <c r="AE136" i="3"/>
  <c r="AN136" i="3"/>
  <c r="AM136" i="3"/>
  <c r="AL136" i="3"/>
  <c r="AK136" i="3"/>
  <c r="AJ136" i="3"/>
  <c r="AI136" i="3"/>
  <c r="AL122" i="3"/>
  <c r="AK122" i="3"/>
  <c r="AJ122" i="3"/>
  <c r="AI122" i="3"/>
  <c r="AH122" i="3"/>
  <c r="AG122" i="3"/>
  <c r="AF122" i="3"/>
  <c r="AE122" i="3"/>
  <c r="AN122" i="3"/>
  <c r="AM122" i="3"/>
  <c r="P92" i="3"/>
  <c r="M92" i="3"/>
  <c r="L92" i="3"/>
  <c r="K92" i="3"/>
  <c r="I92" i="3"/>
  <c r="S92" i="3"/>
  <c r="R92" i="3"/>
  <c r="Q92" i="3"/>
  <c r="O92" i="3"/>
  <c r="N92" i="3"/>
  <c r="J92" i="3"/>
  <c r="H92" i="3"/>
  <c r="G92" i="3"/>
  <c r="Q152" i="3"/>
  <c r="AK150" i="3"/>
  <c r="AF150" i="3"/>
  <c r="AL150" i="3"/>
  <c r="AJ150" i="3"/>
  <c r="AI150" i="3"/>
  <c r="AH150" i="3"/>
  <c r="AG150" i="3"/>
  <c r="AE150" i="3"/>
  <c r="AN150" i="3"/>
  <c r="AM150" i="3"/>
  <c r="AN143" i="3"/>
  <c r="AM143" i="3"/>
  <c r="AL143" i="3"/>
  <c r="AK143" i="3"/>
  <c r="AJ143" i="3"/>
  <c r="AI143" i="3"/>
  <c r="AH143" i="3"/>
  <c r="AG143" i="3"/>
  <c r="AF143" i="3"/>
  <c r="AE143" i="3"/>
  <c r="BC207" i="3"/>
  <c r="CM207" i="3"/>
  <c r="AA222" i="5"/>
  <c r="U209" i="5"/>
  <c r="Q209" i="5"/>
  <c r="M209" i="5"/>
  <c r="V209" i="5"/>
  <c r="T209" i="5"/>
  <c r="S209" i="5"/>
  <c r="R209" i="5"/>
  <c r="O209" i="5"/>
  <c r="P209" i="5"/>
  <c r="N209" i="5"/>
  <c r="L209" i="5"/>
  <c r="K209" i="5"/>
  <c r="CM112" i="3"/>
  <c r="BC112" i="3"/>
  <c r="CM98" i="3"/>
  <c r="BC98" i="3"/>
  <c r="AJ141" i="3"/>
  <c r="AI141" i="3"/>
  <c r="AH141" i="3"/>
  <c r="AG141" i="3"/>
  <c r="AF141" i="3"/>
  <c r="AE141" i="3"/>
  <c r="AN141" i="3"/>
  <c r="AM141" i="3"/>
  <c r="AL141" i="3"/>
  <c r="AK141" i="3"/>
  <c r="AL90" i="3"/>
  <c r="AK90" i="3"/>
  <c r="AJ90" i="3"/>
  <c r="AI90" i="3"/>
  <c r="AH90" i="3"/>
  <c r="AG90" i="3"/>
  <c r="AF90" i="3"/>
  <c r="AE90" i="3"/>
  <c r="AN90" i="3"/>
  <c r="AM90" i="3"/>
  <c r="CM206" i="3"/>
  <c r="BC206" i="3"/>
  <c r="U208" i="5"/>
  <c r="Q208" i="5"/>
  <c r="M208" i="5"/>
  <c r="S208" i="5"/>
  <c r="R208" i="5"/>
  <c r="P208" i="5"/>
  <c r="O208" i="5"/>
  <c r="N208" i="5"/>
  <c r="L208" i="5"/>
  <c r="K208" i="5"/>
  <c r="V208" i="5"/>
  <c r="T208" i="5"/>
  <c r="U214" i="5"/>
  <c r="Q214" i="5"/>
  <c r="M214" i="5"/>
  <c r="V214" i="5"/>
  <c r="T214" i="5"/>
  <c r="S214" i="5"/>
  <c r="R214" i="5"/>
  <c r="P214" i="5"/>
  <c r="O214" i="5"/>
  <c r="N214" i="5"/>
  <c r="L214" i="5"/>
  <c r="K214" i="5"/>
  <c r="AA198" i="5"/>
  <c r="AN110" i="3"/>
  <c r="AM110" i="3"/>
  <c r="AL110" i="3"/>
  <c r="AK110" i="3"/>
  <c r="AJ110" i="3"/>
  <c r="AI110" i="3"/>
  <c r="AH110" i="3"/>
  <c r="AG110" i="3"/>
  <c r="AF110" i="3"/>
  <c r="AE110" i="3"/>
  <c r="K177" i="3"/>
  <c r="J177" i="3"/>
  <c r="I177" i="3"/>
  <c r="H177" i="3"/>
  <c r="G177" i="3"/>
  <c r="S177" i="3"/>
  <c r="R177" i="3"/>
  <c r="Q177" i="3"/>
  <c r="P177" i="3"/>
  <c r="O177" i="3"/>
  <c r="N177" i="3"/>
  <c r="M177" i="3"/>
  <c r="L177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Q122" i="5"/>
  <c r="P122" i="5"/>
  <c r="L122" i="5"/>
  <c r="K122" i="5"/>
  <c r="V122" i="5"/>
  <c r="U122" i="5"/>
  <c r="T122" i="5"/>
  <c r="S122" i="5"/>
  <c r="R122" i="5"/>
  <c r="O122" i="5"/>
  <c r="N122" i="5"/>
  <c r="M122" i="5"/>
  <c r="BX144" i="3"/>
  <c r="BW144" i="3"/>
  <c r="BV144" i="3"/>
  <c r="BU144" i="3"/>
  <c r="BT144" i="3"/>
  <c r="BS144" i="3"/>
  <c r="BR144" i="3"/>
  <c r="BQ144" i="3"/>
  <c r="BP144" i="3"/>
  <c r="BO144" i="3"/>
  <c r="AA225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CM149" i="3"/>
  <c r="BC149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S137" i="3"/>
  <c r="BC121" i="3"/>
  <c r="CM121" i="3"/>
  <c r="CM107" i="3"/>
  <c r="BC107" i="3"/>
  <c r="H192" i="5"/>
  <c r="CM208" i="3"/>
  <c r="BC208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H164" i="5"/>
  <c r="D240" i="5"/>
  <c r="F11" i="6"/>
  <c r="C34" i="7" s="1"/>
  <c r="E211" i="3"/>
  <c r="K140" i="1"/>
  <c r="J140" i="1"/>
  <c r="BC186" i="3"/>
  <c r="CM186" i="3"/>
  <c r="D197" i="5"/>
  <c r="E168" i="3"/>
  <c r="K92" i="1"/>
  <c r="J92" i="1"/>
  <c r="AA134" i="5"/>
  <c r="AA192" i="5"/>
  <c r="AN215" i="3"/>
  <c r="AM215" i="3"/>
  <c r="AL215" i="3"/>
  <c r="AK215" i="3"/>
  <c r="AJ215" i="3"/>
  <c r="AI215" i="3"/>
  <c r="AH215" i="3"/>
  <c r="AG215" i="3"/>
  <c r="AF215" i="3"/>
  <c r="AE215" i="3"/>
  <c r="D238" i="5"/>
  <c r="F9" i="6"/>
  <c r="C32" i="7" s="1"/>
  <c r="E209" i="3"/>
  <c r="K138" i="1"/>
  <c r="J138" i="1"/>
  <c r="Q192" i="3"/>
  <c r="P192" i="3"/>
  <c r="O192" i="3"/>
  <c r="N192" i="3"/>
  <c r="M192" i="3"/>
  <c r="L192" i="3"/>
  <c r="K192" i="3"/>
  <c r="J192" i="3"/>
  <c r="I192" i="3"/>
  <c r="H192" i="3"/>
  <c r="G192" i="3"/>
  <c r="S192" i="3"/>
  <c r="R192" i="3"/>
  <c r="Q140" i="5"/>
  <c r="P140" i="5"/>
  <c r="L140" i="5"/>
  <c r="K140" i="5"/>
  <c r="R140" i="5"/>
  <c r="O140" i="5"/>
  <c r="N140" i="5"/>
  <c r="M140" i="5"/>
  <c r="V140" i="5"/>
  <c r="U140" i="5"/>
  <c r="T140" i="5"/>
  <c r="S140" i="5"/>
  <c r="L98" i="3"/>
  <c r="K98" i="3"/>
  <c r="J98" i="3"/>
  <c r="I98" i="3"/>
  <c r="H98" i="3"/>
  <c r="BR98" i="3" s="1"/>
  <c r="G98" i="3"/>
  <c r="S98" i="3"/>
  <c r="R98" i="3"/>
  <c r="Q98" i="3"/>
  <c r="P98" i="3"/>
  <c r="O98" i="3"/>
  <c r="N98" i="3"/>
  <c r="M98" i="3"/>
  <c r="BU98" i="3" s="1"/>
  <c r="BC103" i="3"/>
  <c r="CM103" i="3"/>
  <c r="CM211" i="3"/>
  <c r="BC211" i="3"/>
  <c r="B44" i="3"/>
  <c r="H198" i="3"/>
  <c r="G198" i="3"/>
  <c r="S198" i="3"/>
  <c r="R198" i="3"/>
  <c r="Q198" i="3"/>
  <c r="P198" i="3"/>
  <c r="O198" i="3"/>
  <c r="N198" i="3"/>
  <c r="M198" i="3"/>
  <c r="L198" i="3"/>
  <c r="K198" i="3"/>
  <c r="J198" i="3"/>
  <c r="I198" i="3"/>
  <c r="O155" i="3"/>
  <c r="N155" i="3"/>
  <c r="M155" i="3"/>
  <c r="L155" i="3"/>
  <c r="K155" i="3"/>
  <c r="J155" i="3"/>
  <c r="I155" i="3"/>
  <c r="H155" i="3"/>
  <c r="S155" i="3"/>
  <c r="Q155" i="3"/>
  <c r="P155" i="3"/>
  <c r="G155" i="3"/>
  <c r="R155" i="3"/>
  <c r="CM130" i="3"/>
  <c r="BC130" i="3"/>
  <c r="R97" i="3"/>
  <c r="Q97" i="3"/>
  <c r="P97" i="3"/>
  <c r="O97" i="3"/>
  <c r="N97" i="3"/>
  <c r="M97" i="3"/>
  <c r="L97" i="3"/>
  <c r="K97" i="3"/>
  <c r="I97" i="3"/>
  <c r="H97" i="3"/>
  <c r="G97" i="3"/>
  <c r="S97" i="3"/>
  <c r="J97" i="3"/>
  <c r="V197" i="5"/>
  <c r="U197" i="5"/>
  <c r="T197" i="5"/>
  <c r="R197" i="5"/>
  <c r="Q197" i="5"/>
  <c r="P197" i="5"/>
  <c r="S197" i="5"/>
  <c r="O197" i="5"/>
  <c r="N197" i="5"/>
  <c r="M197" i="5"/>
  <c r="L197" i="5"/>
  <c r="K197" i="5"/>
  <c r="K153" i="3"/>
  <c r="J153" i="3"/>
  <c r="I153" i="3"/>
  <c r="H153" i="3"/>
  <c r="G153" i="3"/>
  <c r="R153" i="3"/>
  <c r="Q153" i="3"/>
  <c r="P153" i="3"/>
  <c r="S153" i="3"/>
  <c r="O153" i="3"/>
  <c r="N153" i="3"/>
  <c r="M153" i="3"/>
  <c r="L153" i="3"/>
  <c r="AA177" i="5"/>
  <c r="U170" i="2" l="1"/>
  <c r="U72" i="2"/>
  <c r="U69" i="2"/>
  <c r="U162" i="2"/>
  <c r="U104" i="2"/>
  <c r="U101" i="2"/>
  <c r="U74" i="2"/>
  <c r="U66" i="2"/>
  <c r="Y73" i="2"/>
  <c r="V177" i="2"/>
  <c r="V168" i="2"/>
  <c r="V155" i="2"/>
  <c r="V167" i="2"/>
  <c r="V106" i="2"/>
  <c r="V87" i="2"/>
  <c r="V63" i="2"/>
  <c r="V57" i="2"/>
  <c r="W154" i="2"/>
  <c r="W164" i="2"/>
  <c r="W144" i="2"/>
  <c r="W95" i="2"/>
  <c r="W63" i="2"/>
  <c r="W133" i="2"/>
  <c r="W70" i="2"/>
  <c r="X156" i="2"/>
  <c r="AF228" i="5"/>
  <c r="AG228" i="5" s="1"/>
  <c r="AF157" i="5"/>
  <c r="AG157" i="5" s="1"/>
  <c r="P141" i="2"/>
  <c r="Q141" i="2" s="1"/>
  <c r="U176" i="2"/>
  <c r="U177" i="2"/>
  <c r="U157" i="2"/>
  <c r="U129" i="2"/>
  <c r="U78" i="2"/>
  <c r="U144" i="2"/>
  <c r="U56" i="2"/>
  <c r="P164" i="2"/>
  <c r="Q164" i="2" s="1"/>
  <c r="Y78" i="2"/>
  <c r="V154" i="2"/>
  <c r="V130" i="2"/>
  <c r="V118" i="2"/>
  <c r="V117" i="2"/>
  <c r="V69" i="2"/>
  <c r="V151" i="2"/>
  <c r="V93" i="2"/>
  <c r="W125" i="2"/>
  <c r="W150" i="2"/>
  <c r="W135" i="2"/>
  <c r="W176" i="2"/>
  <c r="W131" i="2"/>
  <c r="W114" i="2"/>
  <c r="W122" i="2"/>
  <c r="W100" i="2"/>
  <c r="X138" i="2"/>
  <c r="U156" i="2"/>
  <c r="U174" i="2"/>
  <c r="U161" i="2"/>
  <c r="U142" i="2"/>
  <c r="U126" i="2"/>
  <c r="U64" i="2"/>
  <c r="U128" i="2"/>
  <c r="U102" i="2"/>
  <c r="Y166" i="2"/>
  <c r="V158" i="2"/>
  <c r="V99" i="2"/>
  <c r="V86" i="2"/>
  <c r="V178" i="2"/>
  <c r="V115" i="2"/>
  <c r="V68" i="2"/>
  <c r="V135" i="2"/>
  <c r="V77" i="2"/>
  <c r="W165" i="2"/>
  <c r="W136" i="2"/>
  <c r="W93" i="2"/>
  <c r="W160" i="2"/>
  <c r="W109" i="2"/>
  <c r="W111" i="2"/>
  <c r="W120" i="2"/>
  <c r="W84" i="2"/>
  <c r="X135" i="2"/>
  <c r="H147" i="5"/>
  <c r="U154" i="2"/>
  <c r="U141" i="2"/>
  <c r="U138" i="2"/>
  <c r="U93" i="2"/>
  <c r="U169" i="2"/>
  <c r="U61" i="2"/>
  <c r="U100" i="2"/>
  <c r="U86" i="2"/>
  <c r="Y145" i="2"/>
  <c r="V161" i="2"/>
  <c r="V172" i="2"/>
  <c r="V140" i="2"/>
  <c r="V162" i="2"/>
  <c r="V110" i="2"/>
  <c r="V56" i="2"/>
  <c r="V142" i="2"/>
  <c r="V61" i="2"/>
  <c r="W166" i="2"/>
  <c r="W99" i="2"/>
  <c r="W171" i="2"/>
  <c r="W139" i="2"/>
  <c r="W107" i="2"/>
  <c r="W77" i="2"/>
  <c r="W115" i="2"/>
  <c r="W68" i="2"/>
  <c r="X99" i="2"/>
  <c r="U99" i="2"/>
  <c r="U152" i="2"/>
  <c r="U133" i="2"/>
  <c r="U164" i="2"/>
  <c r="U160" i="2"/>
  <c r="U105" i="2"/>
  <c r="U87" i="2"/>
  <c r="U70" i="2"/>
  <c r="Y152" i="2"/>
  <c r="V136" i="2"/>
  <c r="V156" i="2"/>
  <c r="V124" i="2"/>
  <c r="V137" i="2"/>
  <c r="V104" i="2"/>
  <c r="V62" i="2"/>
  <c r="V126" i="2"/>
  <c r="V91" i="2"/>
  <c r="W168" i="2"/>
  <c r="W145" i="2"/>
  <c r="W155" i="2"/>
  <c r="W123" i="2"/>
  <c r="W106" i="2"/>
  <c r="W60" i="2"/>
  <c r="W92" i="2"/>
  <c r="W82" i="2"/>
  <c r="X67" i="2"/>
  <c r="H200" i="5"/>
  <c r="H165" i="5"/>
  <c r="U159" i="2"/>
  <c r="U111" i="2"/>
  <c r="U145" i="2"/>
  <c r="U151" i="2"/>
  <c r="U139" i="2"/>
  <c r="U95" i="2"/>
  <c r="U53" i="2"/>
  <c r="U54" i="2"/>
  <c r="Y161" i="2"/>
  <c r="V125" i="2"/>
  <c r="V148" i="2"/>
  <c r="V147" i="2"/>
  <c r="V129" i="2"/>
  <c r="V102" i="2"/>
  <c r="V119" i="2"/>
  <c r="V103" i="2"/>
  <c r="V75" i="2"/>
  <c r="W170" i="2"/>
  <c r="W130" i="2"/>
  <c r="W153" i="2"/>
  <c r="W94" i="2"/>
  <c r="W148" i="2"/>
  <c r="W101" i="2"/>
  <c r="W86" i="2"/>
  <c r="W66" i="2"/>
  <c r="X83" i="2"/>
  <c r="U79" i="2"/>
  <c r="U175" i="2"/>
  <c r="U121" i="2"/>
  <c r="U119" i="2"/>
  <c r="U71" i="2"/>
  <c r="U65" i="2"/>
  <c r="U81" i="2"/>
  <c r="U68" i="2"/>
  <c r="P161" i="2"/>
  <c r="Q161" i="2" s="1"/>
  <c r="V163" i="2"/>
  <c r="V128" i="2"/>
  <c r="V120" i="2"/>
  <c r="V144" i="2"/>
  <c r="V95" i="2"/>
  <c r="V90" i="2"/>
  <c r="V80" i="2"/>
  <c r="V114" i="2"/>
  <c r="W172" i="2"/>
  <c r="W159" i="2"/>
  <c r="W119" i="2"/>
  <c r="W167" i="2"/>
  <c r="W128" i="2"/>
  <c r="W83" i="2"/>
  <c r="W71" i="2"/>
  <c r="W89" i="2"/>
  <c r="X75" i="2"/>
  <c r="U55" i="2"/>
  <c r="U165" i="2"/>
  <c r="U140" i="2"/>
  <c r="U83" i="2"/>
  <c r="U117" i="2"/>
  <c r="U63" i="2"/>
  <c r="U80" i="2"/>
  <c r="U107" i="2"/>
  <c r="Y160" i="2"/>
  <c r="V166" i="2"/>
  <c r="V111" i="2"/>
  <c r="V92" i="2"/>
  <c r="V78" i="2"/>
  <c r="V84" i="2"/>
  <c r="V60" i="2"/>
  <c r="V64" i="2"/>
  <c r="V98" i="2"/>
  <c r="W143" i="2"/>
  <c r="W140" i="2"/>
  <c r="W118" i="2"/>
  <c r="W146" i="2"/>
  <c r="W108" i="2"/>
  <c r="W76" i="2"/>
  <c r="W55" i="2"/>
  <c r="W73" i="2"/>
  <c r="X87" i="2"/>
  <c r="P159" i="2"/>
  <c r="Q159" i="2" s="1"/>
  <c r="U167" i="2"/>
  <c r="U122" i="2"/>
  <c r="U147" i="2"/>
  <c r="U153" i="2"/>
  <c r="U103" i="2"/>
  <c r="U108" i="2"/>
  <c r="U57" i="2"/>
  <c r="U59" i="2"/>
  <c r="Y95" i="2"/>
  <c r="V174" i="2"/>
  <c r="V55" i="2"/>
  <c r="V70" i="2"/>
  <c r="V139" i="2"/>
  <c r="V122" i="2"/>
  <c r="V101" i="2"/>
  <c r="V113" i="2"/>
  <c r="V121" i="2"/>
  <c r="W157" i="2"/>
  <c r="W127" i="2"/>
  <c r="W137" i="2"/>
  <c r="W158" i="2"/>
  <c r="W62" i="2"/>
  <c r="W142" i="2"/>
  <c r="W104" i="2"/>
  <c r="W96" i="2"/>
  <c r="U168" i="2"/>
  <c r="U112" i="2"/>
  <c r="U127" i="2"/>
  <c r="U132" i="2"/>
  <c r="U97" i="2"/>
  <c r="U125" i="2"/>
  <c r="U60" i="2"/>
  <c r="U114" i="2"/>
  <c r="P78" i="2"/>
  <c r="Q78" i="2" s="1"/>
  <c r="V143" i="2"/>
  <c r="V138" i="2"/>
  <c r="V164" i="2"/>
  <c r="V123" i="2"/>
  <c r="V112" i="2"/>
  <c r="V116" i="2"/>
  <c r="V97" i="2"/>
  <c r="V105" i="2"/>
  <c r="W156" i="2"/>
  <c r="W90" i="2"/>
  <c r="W132" i="2"/>
  <c r="W113" i="2"/>
  <c r="W61" i="2"/>
  <c r="W126" i="2"/>
  <c r="W88" i="2"/>
  <c r="W80" i="2"/>
  <c r="U146" i="2"/>
  <c r="U109" i="2"/>
  <c r="U120" i="2"/>
  <c r="U118" i="2"/>
  <c r="U96" i="2"/>
  <c r="U123" i="2"/>
  <c r="U106" i="2"/>
  <c r="P64" i="2"/>
  <c r="Q64" i="2" s="1"/>
  <c r="S64" i="2" s="1"/>
  <c r="V152" i="2"/>
  <c r="V133" i="2"/>
  <c r="V149" i="2"/>
  <c r="V88" i="2"/>
  <c r="V109" i="2"/>
  <c r="V83" i="2"/>
  <c r="V81" i="2"/>
  <c r="W138" i="2"/>
  <c r="W91" i="2"/>
  <c r="W129" i="2"/>
  <c r="W102" i="2"/>
  <c r="W67" i="2"/>
  <c r="W103" i="2"/>
  <c r="W72" i="2"/>
  <c r="AF215" i="5"/>
  <c r="AG215" i="5" s="1"/>
  <c r="AF148" i="5"/>
  <c r="AG148" i="5" s="1"/>
  <c r="P94" i="2"/>
  <c r="Q94" i="2" s="1"/>
  <c r="X157" i="2"/>
  <c r="AF210" i="5"/>
  <c r="AG210" i="5" s="1"/>
  <c r="AF179" i="5"/>
  <c r="AG179" i="5" s="1"/>
  <c r="AA233" i="5"/>
  <c r="AF127" i="5"/>
  <c r="AG127" i="5" s="1"/>
  <c r="X56" i="2"/>
  <c r="X59" i="2"/>
  <c r="AF221" i="5"/>
  <c r="AG221" i="5" s="1"/>
  <c r="AF182" i="5"/>
  <c r="AG182" i="5" s="1"/>
  <c r="AF204" i="5"/>
  <c r="AG204" i="5" s="1"/>
  <c r="AF220" i="5"/>
  <c r="AG220" i="5" s="1"/>
  <c r="AF153" i="5"/>
  <c r="AG153" i="5" s="1"/>
  <c r="AF199" i="5"/>
  <c r="AG199" i="5" s="1"/>
  <c r="P146" i="2"/>
  <c r="Q146" i="2" s="1"/>
  <c r="Y158" i="2"/>
  <c r="Y131" i="2"/>
  <c r="X153" i="2"/>
  <c r="X118" i="2"/>
  <c r="P98" i="2"/>
  <c r="Q98" i="2" s="1"/>
  <c r="Y114" i="2"/>
  <c r="P76" i="2"/>
  <c r="Q76" i="2" s="1"/>
  <c r="X151" i="2"/>
  <c r="X113" i="2"/>
  <c r="AA167" i="5"/>
  <c r="AA228" i="5"/>
  <c r="AF141" i="5"/>
  <c r="AG141" i="5" s="1"/>
  <c r="Y177" i="2"/>
  <c r="Y100" i="2"/>
  <c r="P86" i="2"/>
  <c r="Q86" i="2" s="1"/>
  <c r="X142" i="2"/>
  <c r="X104" i="2"/>
  <c r="Y86" i="2"/>
  <c r="X178" i="2"/>
  <c r="X124" i="2"/>
  <c r="P139" i="2"/>
  <c r="Q139" i="2" s="1"/>
  <c r="Y108" i="2"/>
  <c r="Y70" i="2"/>
  <c r="X126" i="2"/>
  <c r="X115" i="2"/>
  <c r="AF236" i="5"/>
  <c r="AG236" i="5" s="1"/>
  <c r="AF126" i="5"/>
  <c r="AG126" i="5" s="1"/>
  <c r="Y157" i="2"/>
  <c r="Y79" i="2"/>
  <c r="P55" i="2"/>
  <c r="Q55" i="2" s="1"/>
  <c r="X167" i="2"/>
  <c r="X92" i="2"/>
  <c r="P128" i="2"/>
  <c r="Q128" i="2" s="1"/>
  <c r="R128" i="2" s="1"/>
  <c r="P144" i="2"/>
  <c r="Q144" i="2" s="1"/>
  <c r="P81" i="2"/>
  <c r="Q81" i="2" s="1"/>
  <c r="R81" i="2" s="1"/>
  <c r="X146" i="2"/>
  <c r="X86" i="2"/>
  <c r="AF177" i="5"/>
  <c r="AG177" i="5" s="1"/>
  <c r="Y124" i="2"/>
  <c r="P68" i="2"/>
  <c r="Q68" i="2" s="1"/>
  <c r="P65" i="2"/>
  <c r="Q65" i="2" s="1"/>
  <c r="X117" i="2"/>
  <c r="X140" i="2"/>
  <c r="P163" i="2"/>
  <c r="Q163" i="2" s="1"/>
  <c r="Y121" i="2"/>
  <c r="Y64" i="2"/>
  <c r="X159" i="2"/>
  <c r="X88" i="2"/>
  <c r="X79" i="2"/>
  <c r="P154" i="2"/>
  <c r="Q154" i="2" s="1"/>
  <c r="P115" i="2"/>
  <c r="Q115" i="2" s="1"/>
  <c r="S115" i="2" s="1"/>
  <c r="P95" i="2"/>
  <c r="Q95" i="2" s="1"/>
  <c r="X164" i="2"/>
  <c r="X141" i="2"/>
  <c r="X107" i="2"/>
  <c r="AA232" i="5"/>
  <c r="P152" i="2"/>
  <c r="Q152" i="2" s="1"/>
  <c r="P85" i="2"/>
  <c r="Q85" i="2" s="1"/>
  <c r="P79" i="2"/>
  <c r="Q79" i="2" s="1"/>
  <c r="X152" i="2"/>
  <c r="X136" i="2"/>
  <c r="X91" i="2"/>
  <c r="Y168" i="2"/>
  <c r="Y175" i="2"/>
  <c r="Y138" i="2"/>
  <c r="P112" i="2"/>
  <c r="Q112" i="2" s="1"/>
  <c r="P150" i="2"/>
  <c r="Q150" i="2" s="1"/>
  <c r="R150" i="2" s="1"/>
  <c r="Y139" i="2"/>
  <c r="P140" i="2"/>
  <c r="Q140" i="2" s="1"/>
  <c r="P173" i="2"/>
  <c r="Q173" i="2" s="1"/>
  <c r="Y143" i="2"/>
  <c r="P109" i="2"/>
  <c r="Q109" i="2" s="1"/>
  <c r="P62" i="2"/>
  <c r="Q62" i="2" s="1"/>
  <c r="Y140" i="2"/>
  <c r="Y85" i="2"/>
  <c r="Y54" i="2"/>
  <c r="P120" i="2"/>
  <c r="Q120" i="2" s="1"/>
  <c r="R120" i="2" s="1"/>
  <c r="P63" i="2"/>
  <c r="Q63" i="2" s="1"/>
  <c r="X163" i="2"/>
  <c r="X170" i="2"/>
  <c r="X162" i="2"/>
  <c r="X174" i="2"/>
  <c r="X66" i="2"/>
  <c r="X97" i="2"/>
  <c r="X109" i="2"/>
  <c r="X89" i="2"/>
  <c r="Y149" i="2"/>
  <c r="P167" i="2"/>
  <c r="Q167" i="2" s="1"/>
  <c r="P126" i="2"/>
  <c r="Q126" i="2" s="1"/>
  <c r="Y90" i="2"/>
  <c r="Y137" i="2"/>
  <c r="P138" i="2"/>
  <c r="Q138" i="2" s="1"/>
  <c r="R138" i="2" s="1"/>
  <c r="P127" i="2"/>
  <c r="Q127" i="2" s="1"/>
  <c r="S127" i="2" s="1"/>
  <c r="Y172" i="2"/>
  <c r="P129" i="2"/>
  <c r="Q129" i="2" s="1"/>
  <c r="P106" i="2"/>
  <c r="Q106" i="2" s="1"/>
  <c r="Y118" i="2"/>
  <c r="P116" i="2"/>
  <c r="Q116" i="2" s="1"/>
  <c r="P70" i="2"/>
  <c r="Q70" i="2" s="1"/>
  <c r="R70" i="2" s="1"/>
  <c r="P69" i="2"/>
  <c r="Q69" i="2" s="1"/>
  <c r="Y119" i="2"/>
  <c r="Y62" i="2"/>
  <c r="X148" i="2"/>
  <c r="X143" i="2"/>
  <c r="X137" i="2"/>
  <c r="X158" i="2"/>
  <c r="X77" i="2"/>
  <c r="X93" i="2"/>
  <c r="X106" i="2"/>
  <c r="X73" i="2"/>
  <c r="AF120" i="5"/>
  <c r="AG120" i="5" s="1"/>
  <c r="AF131" i="5"/>
  <c r="AG131" i="5" s="1"/>
  <c r="P113" i="2"/>
  <c r="Q113" i="2" s="1"/>
  <c r="S113" i="2" s="1"/>
  <c r="Y153" i="2"/>
  <c r="P123" i="2"/>
  <c r="Q123" i="2" s="1"/>
  <c r="R123" i="2" s="1"/>
  <c r="Y77" i="2"/>
  <c r="P136" i="2"/>
  <c r="Q136" i="2" s="1"/>
  <c r="P133" i="2"/>
  <c r="Q133" i="2" s="1"/>
  <c r="P124" i="2"/>
  <c r="Q124" i="2" s="1"/>
  <c r="P157" i="2"/>
  <c r="Q157" i="2" s="1"/>
  <c r="Y125" i="2"/>
  <c r="P96" i="2"/>
  <c r="Q96" i="2" s="1"/>
  <c r="P117" i="2"/>
  <c r="Q117" i="2" s="1"/>
  <c r="S117" i="2" s="1"/>
  <c r="Y109" i="2"/>
  <c r="Y69" i="2"/>
  <c r="Y68" i="2"/>
  <c r="P104" i="2"/>
  <c r="Q104" i="2" s="1"/>
  <c r="X145" i="2"/>
  <c r="X125" i="2"/>
  <c r="X132" i="2"/>
  <c r="X102" i="2"/>
  <c r="X58" i="2"/>
  <c r="X82" i="2"/>
  <c r="X72" i="2"/>
  <c r="X57" i="2"/>
  <c r="P149" i="2"/>
  <c r="Q149" i="2" s="1"/>
  <c r="P171" i="2"/>
  <c r="Q171" i="2" s="1"/>
  <c r="P102" i="2"/>
  <c r="Q102" i="2" s="1"/>
  <c r="Y135" i="2"/>
  <c r="Y132" i="2"/>
  <c r="Y126" i="2"/>
  <c r="P118" i="2"/>
  <c r="Q118" i="2" s="1"/>
  <c r="Y156" i="2"/>
  <c r="Y111" i="2"/>
  <c r="P92" i="2"/>
  <c r="Q92" i="2" s="1"/>
  <c r="S92" i="2" s="1"/>
  <c r="Y113" i="2"/>
  <c r="Y106" i="2"/>
  <c r="P54" i="2"/>
  <c r="Q54" i="2" s="1"/>
  <c r="P53" i="2"/>
  <c r="Y103" i="2"/>
  <c r="X168" i="2"/>
  <c r="X68" i="2"/>
  <c r="X129" i="2"/>
  <c r="X165" i="2"/>
  <c r="X108" i="2"/>
  <c r="X74" i="2"/>
  <c r="X70" i="2"/>
  <c r="X112" i="2"/>
  <c r="Y170" i="2"/>
  <c r="Y154" i="2"/>
  <c r="P100" i="2"/>
  <c r="Q100" i="2" s="1"/>
  <c r="S100" i="2" s="1"/>
  <c r="P131" i="2"/>
  <c r="Q131" i="2" s="1"/>
  <c r="Y129" i="2"/>
  <c r="Y123" i="2"/>
  <c r="P166" i="2"/>
  <c r="Q166" i="2" s="1"/>
  <c r="Y148" i="2"/>
  <c r="Y67" i="2"/>
  <c r="P61" i="2"/>
  <c r="Q61" i="2" s="1"/>
  <c r="Y104" i="2"/>
  <c r="P101" i="2"/>
  <c r="Q101" i="2" s="1"/>
  <c r="Y53" i="2"/>
  <c r="B38" i="2" s="1"/>
  <c r="P60" i="2"/>
  <c r="Q60" i="2" s="1"/>
  <c r="S60" i="2" s="1"/>
  <c r="P88" i="2"/>
  <c r="Q88" i="2" s="1"/>
  <c r="S88" i="2" s="1"/>
  <c r="X161" i="2"/>
  <c r="X121" i="2"/>
  <c r="X169" i="2"/>
  <c r="X134" i="2"/>
  <c r="X98" i="2"/>
  <c r="X53" i="2"/>
  <c r="X78" i="2"/>
  <c r="X96" i="2"/>
  <c r="AF211" i="5"/>
  <c r="AG211" i="5" s="1"/>
  <c r="AF167" i="5"/>
  <c r="AG167" i="5" s="1"/>
  <c r="AF156" i="5"/>
  <c r="AG156" i="5" s="1"/>
  <c r="AF218" i="5"/>
  <c r="AG218" i="5" s="1"/>
  <c r="AF203" i="5"/>
  <c r="AG203" i="5" s="1"/>
  <c r="AF184" i="5"/>
  <c r="AG184" i="5" s="1"/>
  <c r="AF166" i="5"/>
  <c r="AG166" i="5" s="1"/>
  <c r="AF139" i="5"/>
  <c r="AG139" i="5" s="1"/>
  <c r="AF121" i="5"/>
  <c r="AG121" i="5" s="1"/>
  <c r="Y150" i="2"/>
  <c r="P153" i="2"/>
  <c r="Q153" i="2" s="1"/>
  <c r="P97" i="2"/>
  <c r="Q97" i="2" s="1"/>
  <c r="R97" i="2" s="1"/>
  <c r="P122" i="2"/>
  <c r="Q122" i="2" s="1"/>
  <c r="Y74" i="2"/>
  <c r="P91" i="2"/>
  <c r="Q91" i="2" s="1"/>
  <c r="Y165" i="2"/>
  <c r="P142" i="2"/>
  <c r="Q142" i="2" s="1"/>
  <c r="Y61" i="2"/>
  <c r="Y89" i="2"/>
  <c r="Y97" i="2"/>
  <c r="Y96" i="2"/>
  <c r="P73" i="2"/>
  <c r="Q73" i="2" s="1"/>
  <c r="R73" i="2" s="1"/>
  <c r="Y59" i="2"/>
  <c r="Y87" i="2"/>
  <c r="X173" i="2"/>
  <c r="X166" i="2"/>
  <c r="X144" i="2"/>
  <c r="X131" i="2"/>
  <c r="X90" i="2"/>
  <c r="X81" i="2"/>
  <c r="X62" i="2"/>
  <c r="X80" i="2"/>
  <c r="AF170" i="5"/>
  <c r="AG170" i="5" s="1"/>
  <c r="AF206" i="5"/>
  <c r="AG206" i="5" s="1"/>
  <c r="AF195" i="5"/>
  <c r="AG195" i="5" s="1"/>
  <c r="P172" i="2"/>
  <c r="Q172" i="2" s="1"/>
  <c r="P110" i="2"/>
  <c r="Q110" i="2" s="1"/>
  <c r="P176" i="2"/>
  <c r="Q176" i="2" s="1"/>
  <c r="R176" i="2" s="1"/>
  <c r="P89" i="2"/>
  <c r="Q89" i="2" s="1"/>
  <c r="R89" i="2" s="1"/>
  <c r="Y120" i="2"/>
  <c r="P170" i="2"/>
  <c r="Q170" i="2" s="1"/>
  <c r="P74" i="2"/>
  <c r="Q74" i="2" s="1"/>
  <c r="P147" i="2"/>
  <c r="Q147" i="2" s="1"/>
  <c r="Y141" i="2"/>
  <c r="Y65" i="2"/>
  <c r="Y83" i="2"/>
  <c r="Y93" i="2"/>
  <c r="P93" i="2"/>
  <c r="Q93" i="2" s="1"/>
  <c r="Y72" i="2"/>
  <c r="P99" i="2"/>
  <c r="Q99" i="2" s="1"/>
  <c r="P72" i="2"/>
  <c r="Q72" i="2" s="1"/>
  <c r="X172" i="2"/>
  <c r="X147" i="2"/>
  <c r="X176" i="2"/>
  <c r="X114" i="2"/>
  <c r="X84" i="2"/>
  <c r="X54" i="2"/>
  <c r="X65" i="2"/>
  <c r="X64" i="2"/>
  <c r="N10" i="1"/>
  <c r="AF142" i="5"/>
  <c r="AG142" i="5" s="1"/>
  <c r="Y159" i="2"/>
  <c r="Y171" i="2"/>
  <c r="Y155" i="2"/>
  <c r="Y127" i="2"/>
  <c r="Y91" i="2"/>
  <c r="Y169" i="2"/>
  <c r="P168" i="2"/>
  <c r="Q168" i="2" s="1"/>
  <c r="P135" i="2"/>
  <c r="Q135" i="2" s="1"/>
  <c r="Y128" i="2"/>
  <c r="Y63" i="2"/>
  <c r="P77" i="2"/>
  <c r="Q77" i="2" s="1"/>
  <c r="R77" i="2" s="1"/>
  <c r="P114" i="2"/>
  <c r="Q114" i="2" s="1"/>
  <c r="P82" i="2"/>
  <c r="Q82" i="2" s="1"/>
  <c r="P57" i="2"/>
  <c r="Q57" i="2" s="1"/>
  <c r="Y98" i="2"/>
  <c r="Y71" i="2"/>
  <c r="X150" i="2"/>
  <c r="X127" i="2"/>
  <c r="X160" i="2"/>
  <c r="X101" i="2"/>
  <c r="X60" i="2"/>
  <c r="X149" i="2"/>
  <c r="X111" i="2"/>
  <c r="X119" i="2"/>
  <c r="Y130" i="2"/>
  <c r="P169" i="2"/>
  <c r="Q169" i="2" s="1"/>
  <c r="S169" i="2" s="1"/>
  <c r="Y133" i="2"/>
  <c r="Y81" i="2"/>
  <c r="Y142" i="2"/>
  <c r="Y144" i="2"/>
  <c r="Y167" i="2"/>
  <c r="Y134" i="2"/>
  <c r="Y105" i="2"/>
  <c r="Y58" i="2"/>
  <c r="Y76" i="2"/>
  <c r="Y107" i="2"/>
  <c r="P75" i="2"/>
  <c r="Q75" i="2" s="1"/>
  <c r="Y56" i="2"/>
  <c r="P83" i="2"/>
  <c r="Q83" i="2" s="1"/>
  <c r="P56" i="2"/>
  <c r="Q56" i="2" s="1"/>
  <c r="X177" i="2"/>
  <c r="X69" i="2"/>
  <c r="X139" i="2"/>
  <c r="X100" i="2"/>
  <c r="X116" i="2"/>
  <c r="X133" i="2"/>
  <c r="X95" i="2"/>
  <c r="X103" i="2"/>
  <c r="AF244" i="5"/>
  <c r="AG244" i="5" s="1"/>
  <c r="Y164" i="2"/>
  <c r="P165" i="2"/>
  <c r="Q165" i="2" s="1"/>
  <c r="P178" i="2"/>
  <c r="Q178" i="2" s="1"/>
  <c r="P174" i="2"/>
  <c r="Q174" i="2" s="1"/>
  <c r="P125" i="2"/>
  <c r="Q125" i="2" s="1"/>
  <c r="P143" i="2"/>
  <c r="Q143" i="2" s="1"/>
  <c r="Y146" i="2"/>
  <c r="P119" i="2"/>
  <c r="Q119" i="2" s="1"/>
  <c r="R119" i="2" s="1"/>
  <c r="P137" i="2"/>
  <c r="Q137" i="2" s="1"/>
  <c r="S137" i="2" s="1"/>
  <c r="Y57" i="2"/>
  <c r="P66" i="2"/>
  <c r="Q66" i="2" s="1"/>
  <c r="P105" i="2"/>
  <c r="Q105" i="2" s="1"/>
  <c r="P148" i="2"/>
  <c r="Q148" i="2" s="1"/>
  <c r="P103" i="2"/>
  <c r="Q103" i="2" s="1"/>
  <c r="S103" i="2" s="1"/>
  <c r="Y82" i="2"/>
  <c r="Y55" i="2"/>
  <c r="AF241" i="5"/>
  <c r="AG241" i="5" s="1"/>
  <c r="AF223" i="5"/>
  <c r="AG223" i="5" s="1"/>
  <c r="AF149" i="5"/>
  <c r="AG149" i="5" s="1"/>
  <c r="AF135" i="5"/>
  <c r="AG135" i="5" s="1"/>
  <c r="AF205" i="5"/>
  <c r="AG205" i="5" s="1"/>
  <c r="AF192" i="5"/>
  <c r="AG192" i="5" s="1"/>
  <c r="AF239" i="5"/>
  <c r="AG239" i="5" s="1"/>
  <c r="AF240" i="5"/>
  <c r="AG240" i="5" s="1"/>
  <c r="AF242" i="5"/>
  <c r="AG242" i="5" s="1"/>
  <c r="AF237" i="5"/>
  <c r="AG237" i="5" s="1"/>
  <c r="AF213" i="5"/>
  <c r="AG213" i="5" s="1"/>
  <c r="Y163" i="2"/>
  <c r="Y151" i="2"/>
  <c r="P155" i="2"/>
  <c r="Q155" i="2" s="1"/>
  <c r="S155" i="2" s="1"/>
  <c r="Y173" i="2"/>
  <c r="P90" i="2"/>
  <c r="Q90" i="2" s="1"/>
  <c r="R90" i="2" s="1"/>
  <c r="P130" i="2"/>
  <c r="Q130" i="2" s="1"/>
  <c r="P145" i="2"/>
  <c r="Q145" i="2" s="1"/>
  <c r="Y116" i="2"/>
  <c r="Y136" i="2"/>
  <c r="Y84" i="2"/>
  <c r="P59" i="2"/>
  <c r="Q59" i="2" s="1"/>
  <c r="Y88" i="2"/>
  <c r="Y147" i="2"/>
  <c r="Y102" i="2"/>
  <c r="P67" i="2"/>
  <c r="Q67" i="2" s="1"/>
  <c r="R67" i="2" s="1"/>
  <c r="P111" i="2"/>
  <c r="Q111" i="2" s="1"/>
  <c r="X85" i="2"/>
  <c r="X171" i="2"/>
  <c r="X123" i="2"/>
  <c r="X128" i="2"/>
  <c r="X76" i="2"/>
  <c r="X122" i="2"/>
  <c r="X63" i="2"/>
  <c r="X71" i="2"/>
  <c r="AF243" i="5"/>
  <c r="AG243" i="5" s="1"/>
  <c r="AF238" i="5"/>
  <c r="AG238" i="5" s="1"/>
  <c r="AF207" i="5"/>
  <c r="AG207" i="5" s="1"/>
  <c r="P156" i="2"/>
  <c r="Q156" i="2" s="1"/>
  <c r="P107" i="2"/>
  <c r="Q107" i="2" s="1"/>
  <c r="P108" i="2"/>
  <c r="Q108" i="2" s="1"/>
  <c r="R108" i="2" s="1"/>
  <c r="P158" i="2"/>
  <c r="Q158" i="2" s="1"/>
  <c r="S158" i="2" s="1"/>
  <c r="Y178" i="2"/>
  <c r="P121" i="2"/>
  <c r="Q121" i="2" s="1"/>
  <c r="Y117" i="2"/>
  <c r="Y115" i="2"/>
  <c r="Y122" i="2"/>
  <c r="P80" i="2"/>
  <c r="Q80" i="2" s="1"/>
  <c r="S80" i="2" s="1"/>
  <c r="P58" i="2"/>
  <c r="Q58" i="2" s="1"/>
  <c r="Y75" i="2"/>
  <c r="P132" i="2"/>
  <c r="Q132" i="2" s="1"/>
  <c r="P87" i="2"/>
  <c r="Q87" i="2" s="1"/>
  <c r="Y66" i="2"/>
  <c r="Y110" i="2"/>
  <c r="X175" i="2"/>
  <c r="X155" i="2"/>
  <c r="X94" i="2"/>
  <c r="X105" i="2"/>
  <c r="X130" i="2"/>
  <c r="X120" i="2"/>
  <c r="X61" i="2"/>
  <c r="P160" i="2"/>
  <c r="Q160" i="2" s="1"/>
  <c r="R160" i="2" s="1"/>
  <c r="P151" i="2"/>
  <c r="Q151" i="2" s="1"/>
  <c r="R151" i="2" s="1"/>
  <c r="P162" i="2"/>
  <c r="Q162" i="2" s="1"/>
  <c r="S162" i="2" s="1"/>
  <c r="P134" i="2"/>
  <c r="Q134" i="2" s="1"/>
  <c r="Y162" i="2"/>
  <c r="Y176" i="2"/>
  <c r="Y174" i="2"/>
  <c r="Y101" i="2"/>
  <c r="Y99" i="2"/>
  <c r="Y60" i="2"/>
  <c r="P84" i="2"/>
  <c r="Q84" i="2" s="1"/>
  <c r="S84" i="2" s="1"/>
  <c r="Y92" i="2"/>
  <c r="Y112" i="2"/>
  <c r="P71" i="2"/>
  <c r="Q71" i="2" s="1"/>
  <c r="S71" i="2" s="1"/>
  <c r="Y80" i="2"/>
  <c r="H241" i="5"/>
  <c r="H243" i="5"/>
  <c r="H150" i="5"/>
  <c r="AF226" i="5"/>
  <c r="AG226" i="5" s="1"/>
  <c r="H183" i="5"/>
  <c r="H225" i="5"/>
  <c r="H237" i="5"/>
  <c r="H199" i="5"/>
  <c r="H215" i="5"/>
  <c r="AA170" i="5"/>
  <c r="AF154" i="5"/>
  <c r="AG154" i="5" s="1"/>
  <c r="AF145" i="5"/>
  <c r="AG145" i="5" s="1"/>
  <c r="H210" i="5"/>
  <c r="AF222" i="5"/>
  <c r="AG222" i="5" s="1"/>
  <c r="H141" i="5"/>
  <c r="H160" i="5"/>
  <c r="H161" i="5"/>
  <c r="AF150" i="5"/>
  <c r="AG150" i="5" s="1"/>
  <c r="H240" i="5"/>
  <c r="AF217" i="5"/>
  <c r="AG217" i="5" s="1"/>
  <c r="H193" i="5"/>
  <c r="H143" i="5"/>
  <c r="H242" i="5"/>
  <c r="H229" i="5"/>
  <c r="H174" i="5"/>
  <c r="H187" i="5"/>
  <c r="AF188" i="5"/>
  <c r="AG188" i="5" s="1"/>
  <c r="AF200" i="5"/>
  <c r="AG200" i="5" s="1"/>
  <c r="H148" i="5"/>
  <c r="H120" i="5"/>
  <c r="H133" i="5"/>
  <c r="H136" i="5"/>
  <c r="H157" i="5"/>
  <c r="H239" i="5"/>
  <c r="AF196" i="5"/>
  <c r="AG196" i="5" s="1"/>
  <c r="AF162" i="5"/>
  <c r="AG162" i="5" s="1"/>
  <c r="H173" i="5"/>
  <c r="H191" i="5"/>
  <c r="H125" i="5"/>
  <c r="AF123" i="5"/>
  <c r="AG123" i="5" s="1"/>
  <c r="AF165" i="5"/>
  <c r="AG165" i="5" s="1"/>
  <c r="H131" i="5"/>
  <c r="AF201" i="5"/>
  <c r="AG201" i="5" s="1"/>
  <c r="H234" i="5"/>
  <c r="H231" i="5"/>
  <c r="H206" i="5"/>
  <c r="H176" i="5"/>
  <c r="H153" i="5"/>
  <c r="AF172" i="5"/>
  <c r="AG172" i="5" s="1"/>
  <c r="H124" i="5"/>
  <c r="H181" i="5"/>
  <c r="AF194" i="5"/>
  <c r="AG194" i="5" s="1"/>
  <c r="H198" i="5"/>
  <c r="AF125" i="5"/>
  <c r="AG125" i="5" s="1"/>
  <c r="H145" i="5"/>
  <c r="H220" i="5"/>
  <c r="H230" i="5"/>
  <c r="H188" i="5"/>
  <c r="H185" i="5"/>
  <c r="H232" i="5"/>
  <c r="H126" i="5"/>
  <c r="H238" i="5"/>
  <c r="H211" i="5"/>
  <c r="H134" i="5"/>
  <c r="H214" i="5"/>
  <c r="H128" i="5"/>
  <c r="H202" i="5"/>
  <c r="H168" i="5"/>
  <c r="H169" i="5"/>
  <c r="AF134" i="5"/>
  <c r="AG134" i="5" s="1"/>
  <c r="AF137" i="5"/>
  <c r="AG137" i="5" s="1"/>
  <c r="H224" i="5"/>
  <c r="H197" i="5"/>
  <c r="H212" i="5"/>
  <c r="H207" i="5"/>
  <c r="H195" i="5"/>
  <c r="AF163" i="5"/>
  <c r="AG163" i="5" s="1"/>
  <c r="AF229" i="5"/>
  <c r="AG229" i="5" s="1"/>
  <c r="AF190" i="5"/>
  <c r="AG190" i="5" s="1"/>
  <c r="H166" i="5"/>
  <c r="H152" i="5"/>
  <c r="H127" i="5"/>
  <c r="H226" i="5"/>
  <c r="H222" i="5"/>
  <c r="H122" i="5"/>
  <c r="H149" i="5"/>
  <c r="H158" i="5"/>
  <c r="AF232" i="5"/>
  <c r="AG232" i="5" s="1"/>
  <c r="H146" i="5"/>
  <c r="H217" i="5"/>
  <c r="H201" i="5"/>
  <c r="AF191" i="5"/>
  <c r="AG191" i="5" s="1"/>
  <c r="AF187" i="5"/>
  <c r="AG187" i="5" s="1"/>
  <c r="AF124" i="5"/>
  <c r="AG124" i="5" s="1"/>
  <c r="H218" i="5"/>
  <c r="H123" i="5"/>
  <c r="AF168" i="5"/>
  <c r="AG168" i="5" s="1"/>
  <c r="H236" i="5"/>
  <c r="H162" i="5"/>
  <c r="H154" i="5"/>
  <c r="H142" i="5"/>
  <c r="AF185" i="5"/>
  <c r="AG185" i="5" s="1"/>
  <c r="H205" i="5"/>
  <c r="H159" i="5"/>
  <c r="H140" i="5"/>
  <c r="H216" i="5"/>
  <c r="H184" i="5"/>
  <c r="H189" i="5"/>
  <c r="AF219" i="5"/>
  <c r="AG219" i="5" s="1"/>
  <c r="H223" i="5"/>
  <c r="H135" i="5"/>
  <c r="AF151" i="5"/>
  <c r="AG151" i="5" s="1"/>
  <c r="H203" i="5"/>
  <c r="AF181" i="5"/>
  <c r="AG181" i="5" s="1"/>
  <c r="H196" i="5"/>
  <c r="H213" i="5"/>
  <c r="H209" i="5"/>
  <c r="H227" i="5"/>
  <c r="AA151" i="5"/>
  <c r="H156" i="5"/>
  <c r="AF169" i="5"/>
  <c r="AG169" i="5" s="1"/>
  <c r="H204" i="5"/>
  <c r="H177" i="5"/>
  <c r="AF133" i="5"/>
  <c r="AG133" i="5" s="1"/>
  <c r="H180" i="5"/>
  <c r="H235" i="5"/>
  <c r="H138" i="5"/>
  <c r="AF214" i="5"/>
  <c r="AG214" i="5" s="1"/>
  <c r="AF180" i="5"/>
  <c r="AG180" i="5" s="1"/>
  <c r="AF174" i="5"/>
  <c r="AG174" i="5" s="1"/>
  <c r="H219" i="5"/>
  <c r="AF144" i="5"/>
  <c r="AG144" i="5" s="1"/>
  <c r="H182" i="5"/>
  <c r="AF119" i="5"/>
  <c r="AG119" i="5" s="1"/>
  <c r="AF186" i="5"/>
  <c r="AG186" i="5" s="1"/>
  <c r="H190" i="5"/>
  <c r="AF235" i="5"/>
  <c r="AG235" i="5" s="1"/>
  <c r="AF155" i="5"/>
  <c r="AG155" i="5" s="1"/>
  <c r="H129" i="5"/>
  <c r="AF197" i="5"/>
  <c r="AG197" i="5" s="1"/>
  <c r="H137" i="5"/>
  <c r="AA147" i="5"/>
  <c r="H175" i="5"/>
  <c r="H228" i="5"/>
  <c r="H233" i="5"/>
  <c r="H144" i="5"/>
  <c r="R164" i="2"/>
  <c r="S164" i="2"/>
  <c r="S163" i="2"/>
  <c r="R163" i="2"/>
  <c r="R177" i="2"/>
  <c r="S177" i="2"/>
  <c r="R175" i="2"/>
  <c r="S175" i="2"/>
  <c r="S68" i="2"/>
  <c r="R68" i="2"/>
  <c r="R85" i="2"/>
  <c r="S85" i="2"/>
  <c r="R94" i="2"/>
  <c r="S94" i="2"/>
  <c r="S95" i="2"/>
  <c r="R95" i="2"/>
  <c r="R134" i="2"/>
  <c r="S134" i="2"/>
  <c r="R84" i="2"/>
  <c r="R71" i="2"/>
  <c r="R146" i="2"/>
  <c r="S146" i="2"/>
  <c r="S154" i="2"/>
  <c r="R154" i="2"/>
  <c r="R161" i="2"/>
  <c r="S161" i="2"/>
  <c r="R159" i="2"/>
  <c r="S159" i="2"/>
  <c r="R78" i="2"/>
  <c r="S78" i="2"/>
  <c r="S76" i="2"/>
  <c r="R76" i="2"/>
  <c r="R65" i="2"/>
  <c r="S65" i="2"/>
  <c r="R79" i="2"/>
  <c r="S79" i="2"/>
  <c r="R98" i="2"/>
  <c r="S98" i="2"/>
  <c r="R139" i="2"/>
  <c r="S139" i="2"/>
  <c r="S152" i="2"/>
  <c r="R152" i="2"/>
  <c r="R144" i="2"/>
  <c r="S144" i="2"/>
  <c r="R64" i="2"/>
  <c r="R141" i="2"/>
  <c r="S141" i="2"/>
  <c r="R86" i="2"/>
  <c r="S86" i="2"/>
  <c r="R55" i="2"/>
  <c r="S55" i="2"/>
  <c r="R112" i="2"/>
  <c r="S112" i="2"/>
  <c r="R140" i="2"/>
  <c r="S140" i="2"/>
  <c r="R173" i="2"/>
  <c r="S173" i="2"/>
  <c r="R109" i="2"/>
  <c r="S109" i="2"/>
  <c r="S62" i="2"/>
  <c r="R62" i="2"/>
  <c r="R63" i="2"/>
  <c r="S63" i="2"/>
  <c r="S167" i="2"/>
  <c r="R167" i="2"/>
  <c r="R126" i="2"/>
  <c r="S126" i="2"/>
  <c r="R127" i="2"/>
  <c r="R129" i="2"/>
  <c r="S129" i="2"/>
  <c r="R106" i="2"/>
  <c r="S106" i="2"/>
  <c r="S116" i="2"/>
  <c r="R116" i="2"/>
  <c r="R69" i="2"/>
  <c r="S69" i="2"/>
  <c r="R136" i="2"/>
  <c r="S136" i="2"/>
  <c r="R133" i="2"/>
  <c r="S133" i="2"/>
  <c r="R124" i="2"/>
  <c r="S124" i="2"/>
  <c r="R157" i="2"/>
  <c r="S157" i="2"/>
  <c r="S96" i="2"/>
  <c r="R96" i="2"/>
  <c r="S104" i="2"/>
  <c r="R104" i="2"/>
  <c r="R149" i="2"/>
  <c r="S149" i="2"/>
  <c r="R171" i="2"/>
  <c r="S171" i="2"/>
  <c r="R102" i="2"/>
  <c r="S102" i="2"/>
  <c r="R118" i="2"/>
  <c r="S118" i="2"/>
  <c r="R54" i="2"/>
  <c r="S54" i="2"/>
  <c r="Q53" i="2"/>
  <c r="R131" i="2"/>
  <c r="S131" i="2"/>
  <c r="R166" i="2"/>
  <c r="S166" i="2"/>
  <c r="R61" i="2"/>
  <c r="S61" i="2"/>
  <c r="R101" i="2"/>
  <c r="S101" i="2"/>
  <c r="R153" i="2"/>
  <c r="S153" i="2"/>
  <c r="R122" i="2"/>
  <c r="S122" i="2"/>
  <c r="R91" i="2"/>
  <c r="S91" i="2"/>
  <c r="R142" i="2"/>
  <c r="S142" i="2"/>
  <c r="T61" i="2"/>
  <c r="T77" i="2"/>
  <c r="T93" i="2"/>
  <c r="T65" i="2"/>
  <c r="O66" i="2"/>
  <c r="B15" i="2"/>
  <c r="T66" i="2"/>
  <c r="T82" i="2"/>
  <c r="O54" i="2"/>
  <c r="O75" i="2"/>
  <c r="O82" i="2"/>
  <c r="O93" i="2"/>
  <c r="T54" i="2"/>
  <c r="T73" i="2"/>
  <c r="O121" i="2"/>
  <c r="O89" i="2"/>
  <c r="T76" i="2"/>
  <c r="O85" i="2"/>
  <c r="T121" i="2"/>
  <c r="O59" i="2"/>
  <c r="T60" i="2"/>
  <c r="O67" i="2"/>
  <c r="O77" i="2"/>
  <c r="T89" i="2"/>
  <c r="O99" i="2"/>
  <c r="O57" i="2"/>
  <c r="T58" i="2"/>
  <c r="O61" i="2"/>
  <c r="T64" i="2"/>
  <c r="O71" i="2"/>
  <c r="T85" i="2"/>
  <c r="O55" i="2"/>
  <c r="T57" i="2"/>
  <c r="T97" i="2"/>
  <c r="T105" i="2"/>
  <c r="T113" i="2"/>
  <c r="O137" i="2"/>
  <c r="T146" i="2"/>
  <c r="T71" i="2"/>
  <c r="T101" i="2"/>
  <c r="T114" i="2"/>
  <c r="O132" i="2"/>
  <c r="T139" i="2"/>
  <c r="O142" i="2"/>
  <c r="O135" i="2"/>
  <c r="T169" i="2"/>
  <c r="O118" i="2"/>
  <c r="O124" i="2"/>
  <c r="T126" i="2"/>
  <c r="T162" i="2"/>
  <c r="T178" i="2"/>
  <c r="O87" i="2"/>
  <c r="T132" i="2"/>
  <c r="T171" i="2"/>
  <c r="O91" i="2"/>
  <c r="T151" i="2"/>
  <c r="O70" i="2"/>
  <c r="T142" i="2"/>
  <c r="T70" i="2"/>
  <c r="T120" i="2"/>
  <c r="T135" i="2"/>
  <c r="T124" i="2"/>
  <c r="O86" i="2"/>
  <c r="O122" i="2"/>
  <c r="O73" i="2"/>
  <c r="T86" i="2"/>
  <c r="O128" i="2"/>
  <c r="T81" i="2"/>
  <c r="O106" i="2"/>
  <c r="O108" i="2"/>
  <c r="O109" i="2"/>
  <c r="T150" i="2"/>
  <c r="T152" i="2"/>
  <c r="T154" i="2"/>
  <c r="T98" i="2"/>
  <c r="T104" i="2"/>
  <c r="T106" i="2"/>
  <c r="T110" i="2"/>
  <c r="O114" i="2"/>
  <c r="O129" i="2"/>
  <c r="O144" i="2"/>
  <c r="O171" i="2"/>
  <c r="O111" i="2"/>
  <c r="O176" i="2"/>
  <c r="O102" i="2"/>
  <c r="O105" i="2"/>
  <c r="O153" i="2"/>
  <c r="T176" i="2"/>
  <c r="T172" i="2"/>
  <c r="T80" i="2"/>
  <c r="O98" i="2"/>
  <c r="O146" i="2"/>
  <c r="O151" i="2"/>
  <c r="O173" i="2"/>
  <c r="T72" i="2"/>
  <c r="O107" i="2"/>
  <c r="O165" i="2"/>
  <c r="T168" i="2"/>
  <c r="O169" i="2"/>
  <c r="O110" i="2"/>
  <c r="O174" i="2"/>
  <c r="O149" i="2"/>
  <c r="T167" i="2"/>
  <c r="O126" i="2"/>
  <c r="T163" i="2"/>
  <c r="O139" i="2"/>
  <c r="T160" i="2"/>
  <c r="T131" i="2"/>
  <c r="T148" i="2"/>
  <c r="T165" i="2"/>
  <c r="O160" i="2"/>
  <c r="O162" i="2"/>
  <c r="O164" i="2"/>
  <c r="T156" i="2"/>
  <c r="O158" i="2"/>
  <c r="T161" i="2"/>
  <c r="T122" i="2"/>
  <c r="O100" i="2"/>
  <c r="T109" i="2"/>
  <c r="T112" i="2"/>
  <c r="O115" i="2"/>
  <c r="O155" i="2"/>
  <c r="O157" i="2"/>
  <c r="O178" i="2"/>
  <c r="T141" i="2"/>
  <c r="T158" i="2"/>
  <c r="O119" i="2"/>
  <c r="O167" i="2"/>
  <c r="T137" i="2"/>
  <c r="T128" i="2"/>
  <c r="T56" i="2"/>
  <c r="O101" i="2"/>
  <c r="O53" i="2"/>
  <c r="O138" i="2"/>
  <c r="O170" i="2"/>
  <c r="T119" i="2"/>
  <c r="T143" i="2"/>
  <c r="T115" i="2"/>
  <c r="O156" i="2"/>
  <c r="O136" i="2"/>
  <c r="T157" i="2"/>
  <c r="O74" i="2"/>
  <c r="T59" i="2"/>
  <c r="T127" i="2"/>
  <c r="T144" i="2"/>
  <c r="T83" i="2"/>
  <c r="O58" i="2"/>
  <c r="T74" i="2"/>
  <c r="T99" i="2"/>
  <c r="T63" i="2"/>
  <c r="T138" i="2"/>
  <c r="O148" i="2"/>
  <c r="T170" i="2"/>
  <c r="O150" i="2"/>
  <c r="T95" i="2"/>
  <c r="T140" i="2"/>
  <c r="O143" i="2"/>
  <c r="O113" i="2"/>
  <c r="T69" i="2"/>
  <c r="O65" i="2"/>
  <c r="T87" i="2"/>
  <c r="O175" i="2"/>
  <c r="T123" i="2"/>
  <c r="O141" i="2"/>
  <c r="O76" i="2"/>
  <c r="O81" i="2"/>
  <c r="O83" i="2"/>
  <c r="O133" i="2"/>
  <c r="O145" i="2"/>
  <c r="O95" i="2"/>
  <c r="O103" i="2"/>
  <c r="O123" i="2"/>
  <c r="O90" i="2"/>
  <c r="O125" i="2"/>
  <c r="O120" i="2"/>
  <c r="O60" i="2"/>
  <c r="O63" i="2"/>
  <c r="O130" i="2"/>
  <c r="T175" i="2"/>
  <c r="T177" i="2"/>
  <c r="T136" i="2"/>
  <c r="O78" i="2"/>
  <c r="T78" i="2"/>
  <c r="T79" i="2"/>
  <c r="T118" i="2"/>
  <c r="T133" i="2"/>
  <c r="T145" i="2"/>
  <c r="T125" i="2"/>
  <c r="T75" i="2"/>
  <c r="O79" i="2"/>
  <c r="T53" i="2"/>
  <c r="T130" i="2"/>
  <c r="O177" i="2"/>
  <c r="O168" i="2"/>
  <c r="O166" i="2"/>
  <c r="T84" i="2"/>
  <c r="T111" i="2"/>
  <c r="O134" i="2"/>
  <c r="T68" i="2"/>
  <c r="O112" i="2"/>
  <c r="O96" i="2"/>
  <c r="T90" i="2"/>
  <c r="T134" i="2"/>
  <c r="T103" i="2"/>
  <c r="O68" i="2"/>
  <c r="T55" i="2"/>
  <c r="T100" i="2"/>
  <c r="T91" i="2"/>
  <c r="O172" i="2"/>
  <c r="O94" i="2"/>
  <c r="T155" i="2"/>
  <c r="O161" i="2"/>
  <c r="T164" i="2"/>
  <c r="T166" i="2"/>
  <c r="T108" i="2"/>
  <c r="T102" i="2"/>
  <c r="O80" i="2"/>
  <c r="O62" i="2"/>
  <c r="T94" i="2"/>
  <c r="O84" i="2"/>
  <c r="O154" i="2"/>
  <c r="O131" i="2"/>
  <c r="T96" i="2"/>
  <c r="O69" i="2"/>
  <c r="O72" i="2"/>
  <c r="T88" i="2"/>
  <c r="O117" i="2"/>
  <c r="T153" i="2"/>
  <c r="T129" i="2"/>
  <c r="T62" i="2"/>
  <c r="T107" i="2"/>
  <c r="T67" i="2"/>
  <c r="T173" i="2"/>
  <c r="O140" i="2"/>
  <c r="T116" i="2"/>
  <c r="O104" i="2"/>
  <c r="O116" i="2"/>
  <c r="O147" i="2"/>
  <c r="O97" i="2"/>
  <c r="O64" i="2"/>
  <c r="T174" i="2"/>
  <c r="O159" i="2"/>
  <c r="O163" i="2"/>
  <c r="T149" i="2"/>
  <c r="T117" i="2"/>
  <c r="O152" i="2"/>
  <c r="T92" i="2"/>
  <c r="O127" i="2"/>
  <c r="O92" i="2"/>
  <c r="T147" i="2"/>
  <c r="O88" i="2"/>
  <c r="O56" i="2"/>
  <c r="T159" i="2"/>
  <c r="R172" i="2"/>
  <c r="S172" i="2"/>
  <c r="R110" i="2"/>
  <c r="S110" i="2"/>
  <c r="R170" i="2"/>
  <c r="S170" i="2"/>
  <c r="S74" i="2"/>
  <c r="R74" i="2"/>
  <c r="R147" i="2"/>
  <c r="S147" i="2"/>
  <c r="R93" i="2"/>
  <c r="S93" i="2"/>
  <c r="S99" i="2"/>
  <c r="R99" i="2"/>
  <c r="S72" i="2"/>
  <c r="R72" i="2"/>
  <c r="R168" i="2"/>
  <c r="S168" i="2"/>
  <c r="R135" i="2"/>
  <c r="S135" i="2"/>
  <c r="R114" i="2"/>
  <c r="S114" i="2"/>
  <c r="R82" i="2"/>
  <c r="S82" i="2"/>
  <c r="R57" i="2"/>
  <c r="S57" i="2"/>
  <c r="R169" i="2"/>
  <c r="S75" i="2"/>
  <c r="R75" i="2"/>
  <c r="R83" i="2"/>
  <c r="S83" i="2"/>
  <c r="S56" i="2"/>
  <c r="R56" i="2"/>
  <c r="R165" i="2"/>
  <c r="S165" i="2"/>
  <c r="R178" i="2"/>
  <c r="S178" i="2"/>
  <c r="R174" i="2"/>
  <c r="S174" i="2"/>
  <c r="R125" i="2"/>
  <c r="S125" i="2"/>
  <c r="R143" i="2"/>
  <c r="S143" i="2"/>
  <c r="R66" i="2"/>
  <c r="S66" i="2"/>
  <c r="R105" i="2"/>
  <c r="S105" i="2"/>
  <c r="R148" i="2"/>
  <c r="S148" i="2"/>
  <c r="R155" i="2"/>
  <c r="S90" i="2"/>
  <c r="R130" i="2"/>
  <c r="S130" i="2"/>
  <c r="R145" i="2"/>
  <c r="S145" i="2"/>
  <c r="S59" i="2"/>
  <c r="R59" i="2"/>
  <c r="R111" i="2"/>
  <c r="S111" i="2"/>
  <c r="R156" i="2"/>
  <c r="S156" i="2"/>
  <c r="R107" i="2"/>
  <c r="S107" i="2"/>
  <c r="S108" i="2"/>
  <c r="S121" i="2"/>
  <c r="R121" i="2"/>
  <c r="R80" i="2"/>
  <c r="R58" i="2"/>
  <c r="S58" i="2"/>
  <c r="R132" i="2"/>
  <c r="S132" i="2"/>
  <c r="R87" i="2"/>
  <c r="S87" i="2"/>
  <c r="BX125" i="3"/>
  <c r="BW125" i="3"/>
  <c r="BV125" i="3"/>
  <c r="BU125" i="3"/>
  <c r="BT125" i="3"/>
  <c r="BS125" i="3"/>
  <c r="BR125" i="3"/>
  <c r="BQ125" i="3"/>
  <c r="BP125" i="3"/>
  <c r="BO125" i="3"/>
  <c r="BU94" i="3"/>
  <c r="BT94" i="3"/>
  <c r="BS94" i="3"/>
  <c r="BR94" i="3"/>
  <c r="BQ94" i="3"/>
  <c r="BP94" i="3"/>
  <c r="BO94" i="3"/>
  <c r="BX94" i="3"/>
  <c r="BW94" i="3"/>
  <c r="BV94" i="3"/>
  <c r="B50" i="3"/>
  <c r="AA187" i="5"/>
  <c r="AA211" i="5"/>
  <c r="B72" i="6"/>
  <c r="AA241" i="5"/>
  <c r="AA142" i="5"/>
  <c r="AA195" i="5"/>
  <c r="BO205" i="3"/>
  <c r="BX205" i="3"/>
  <c r="BW205" i="3"/>
  <c r="BV205" i="3"/>
  <c r="BU205" i="3"/>
  <c r="BT205" i="3"/>
  <c r="BS205" i="3"/>
  <c r="BR205" i="3"/>
  <c r="BQ205" i="3"/>
  <c r="BP205" i="3"/>
  <c r="AA239" i="5"/>
  <c r="BQ194" i="3"/>
  <c r="BP194" i="3"/>
  <c r="BO194" i="3"/>
  <c r="BX194" i="3"/>
  <c r="BW194" i="3"/>
  <c r="BV194" i="3"/>
  <c r="BU194" i="3"/>
  <c r="BT194" i="3"/>
  <c r="BS194" i="3"/>
  <c r="BR194" i="3"/>
  <c r="AA208" i="5"/>
  <c r="AA237" i="5"/>
  <c r="AA220" i="5"/>
  <c r="BQ108" i="3"/>
  <c r="BP108" i="3"/>
  <c r="BO108" i="3"/>
  <c r="BX108" i="3"/>
  <c r="BW108" i="3"/>
  <c r="BV108" i="3"/>
  <c r="BU108" i="3"/>
  <c r="BT108" i="3"/>
  <c r="BS108" i="3"/>
  <c r="BR108" i="3"/>
  <c r="BT189" i="3"/>
  <c r="BS189" i="3"/>
  <c r="BR189" i="3"/>
  <c r="BQ189" i="3"/>
  <c r="BP189" i="3"/>
  <c r="BO189" i="3"/>
  <c r="BX189" i="3"/>
  <c r="BW189" i="3"/>
  <c r="BV189" i="3"/>
  <c r="BU189" i="3"/>
  <c r="M240" i="3"/>
  <c r="AT195" i="3" s="1"/>
  <c r="L240" i="3"/>
  <c r="I240" i="3"/>
  <c r="H240" i="3"/>
  <c r="F240" i="3"/>
  <c r="AT90" i="3" s="1"/>
  <c r="E240" i="3"/>
  <c r="AT201" i="3" s="1"/>
  <c r="P240" i="3"/>
  <c r="O240" i="3"/>
  <c r="N241" i="3"/>
  <c r="AU107" i="3" s="1"/>
  <c r="M241" i="3"/>
  <c r="K241" i="3"/>
  <c r="AU100" i="3" s="1"/>
  <c r="I241" i="3"/>
  <c r="H241" i="3"/>
  <c r="F241" i="3"/>
  <c r="AU179" i="3" s="1"/>
  <c r="E241" i="3"/>
  <c r="BX93" i="3"/>
  <c r="BW93" i="3"/>
  <c r="BV93" i="3"/>
  <c r="BU93" i="3"/>
  <c r="BT93" i="3"/>
  <c r="BR93" i="3"/>
  <c r="BS93" i="3"/>
  <c r="BQ93" i="3"/>
  <c r="BP93" i="3"/>
  <c r="BO93" i="3"/>
  <c r="BS121" i="3"/>
  <c r="BR121" i="3"/>
  <c r="BQ121" i="3"/>
  <c r="BP121" i="3"/>
  <c r="BO121" i="3"/>
  <c r="BX121" i="3"/>
  <c r="BW121" i="3"/>
  <c r="BV121" i="3"/>
  <c r="BU121" i="3"/>
  <c r="BT121" i="3"/>
  <c r="BU134" i="3"/>
  <c r="BT134" i="3"/>
  <c r="BS134" i="3"/>
  <c r="BR134" i="3"/>
  <c r="BQ134" i="3"/>
  <c r="BP134" i="3"/>
  <c r="BO134" i="3"/>
  <c r="BX134" i="3"/>
  <c r="BW134" i="3"/>
  <c r="BV134" i="3"/>
  <c r="AT152" i="3"/>
  <c r="B51" i="3"/>
  <c r="BX164" i="3"/>
  <c r="BW164" i="3"/>
  <c r="BV164" i="3"/>
  <c r="BU164" i="3"/>
  <c r="BT164" i="3"/>
  <c r="BS164" i="3"/>
  <c r="BR164" i="3"/>
  <c r="BQ164" i="3"/>
  <c r="BP164" i="3"/>
  <c r="BO164" i="3"/>
  <c r="AA203" i="5"/>
  <c r="BX195" i="3"/>
  <c r="BW195" i="3"/>
  <c r="BV195" i="3"/>
  <c r="BU195" i="3"/>
  <c r="BT195" i="3"/>
  <c r="BS195" i="3"/>
  <c r="BR195" i="3"/>
  <c r="BQ195" i="3"/>
  <c r="BP195" i="3"/>
  <c r="BO195" i="3"/>
  <c r="AA218" i="5"/>
  <c r="BQ210" i="3"/>
  <c r="BP210" i="3"/>
  <c r="BO210" i="3"/>
  <c r="BX210" i="3"/>
  <c r="BW210" i="3"/>
  <c r="BV210" i="3"/>
  <c r="BU210" i="3"/>
  <c r="BT210" i="3"/>
  <c r="BS210" i="3"/>
  <c r="BR210" i="3"/>
  <c r="BX177" i="3"/>
  <c r="BW177" i="3"/>
  <c r="BV177" i="3"/>
  <c r="BU177" i="3"/>
  <c r="BT177" i="3"/>
  <c r="BS177" i="3"/>
  <c r="BR177" i="3"/>
  <c r="BQ177" i="3"/>
  <c r="BP177" i="3"/>
  <c r="BO177" i="3"/>
  <c r="BX133" i="3"/>
  <c r="BW133" i="3"/>
  <c r="BV133" i="3"/>
  <c r="BU133" i="3"/>
  <c r="BT133" i="3"/>
  <c r="BS133" i="3"/>
  <c r="BR133" i="3"/>
  <c r="BQ133" i="3"/>
  <c r="BP133" i="3"/>
  <c r="BO133" i="3"/>
  <c r="B73" i="6"/>
  <c r="BX208" i="3"/>
  <c r="BW208" i="3"/>
  <c r="BV208" i="3"/>
  <c r="BU208" i="3"/>
  <c r="BT208" i="3"/>
  <c r="BS208" i="3"/>
  <c r="BR208" i="3"/>
  <c r="BQ208" i="3"/>
  <c r="BP208" i="3"/>
  <c r="BO208" i="3"/>
  <c r="BW201" i="3"/>
  <c r="BV201" i="3"/>
  <c r="BU201" i="3"/>
  <c r="BT201" i="3"/>
  <c r="BS201" i="3"/>
  <c r="BR201" i="3"/>
  <c r="BQ201" i="3"/>
  <c r="BP201" i="3"/>
  <c r="BO201" i="3"/>
  <c r="BX201" i="3"/>
  <c r="AT199" i="3"/>
  <c r="AA206" i="5"/>
  <c r="BO103" i="3"/>
  <c r="BX103" i="3"/>
  <c r="BV103" i="3"/>
  <c r="BU103" i="3"/>
  <c r="BT103" i="3"/>
  <c r="BS103" i="3"/>
  <c r="BW103" i="3"/>
  <c r="BR103" i="3"/>
  <c r="BQ103" i="3"/>
  <c r="BP103" i="3"/>
  <c r="AA132" i="5"/>
  <c r="AA158" i="5"/>
  <c r="BV192" i="3"/>
  <c r="BT192" i="3"/>
  <c r="BR192" i="3"/>
  <c r="BQ192" i="3"/>
  <c r="BP192" i="3"/>
  <c r="BO192" i="3"/>
  <c r="BX192" i="3"/>
  <c r="BW192" i="3"/>
  <c r="BU192" i="3"/>
  <c r="BS192" i="3"/>
  <c r="BX211" i="3"/>
  <c r="BW211" i="3"/>
  <c r="BV211" i="3"/>
  <c r="BU211" i="3"/>
  <c r="BT211" i="3"/>
  <c r="BS211" i="3"/>
  <c r="BR211" i="3"/>
  <c r="BQ211" i="3"/>
  <c r="BP211" i="3"/>
  <c r="BO211" i="3"/>
  <c r="B42" i="3"/>
  <c r="O242" i="3"/>
  <c r="AV166" i="3" s="1"/>
  <c r="M242" i="3"/>
  <c r="AV101" i="3" s="1"/>
  <c r="L242" i="3"/>
  <c r="I242" i="3"/>
  <c r="AV103" i="3" s="1"/>
  <c r="H242" i="3"/>
  <c r="AV97" i="3" s="1"/>
  <c r="F242" i="3"/>
  <c r="AV178" i="3" s="1"/>
  <c r="E242" i="3"/>
  <c r="AV198" i="3" s="1"/>
  <c r="P242" i="3"/>
  <c r="AV214" i="3" s="1"/>
  <c r="AT151" i="3"/>
  <c r="AT126" i="3"/>
  <c r="AA201" i="5"/>
  <c r="AA172" i="5"/>
  <c r="AA186" i="5"/>
  <c r="AU152" i="3"/>
  <c r="AA155" i="5"/>
  <c r="AT182" i="3"/>
  <c r="AT211" i="3"/>
  <c r="C52" i="3" s="1"/>
  <c r="B52" i="3"/>
  <c r="AA154" i="5"/>
  <c r="BX206" i="3"/>
  <c r="BW206" i="3"/>
  <c r="BV206" i="3"/>
  <c r="BU206" i="3"/>
  <c r="BT206" i="3"/>
  <c r="BS206" i="3"/>
  <c r="BR206" i="3"/>
  <c r="BQ206" i="3"/>
  <c r="BP206" i="3"/>
  <c r="BO206" i="3"/>
  <c r="AT130" i="3"/>
  <c r="AA140" i="5"/>
  <c r="AU200" i="3"/>
  <c r="AT166" i="3"/>
  <c r="AT184" i="3"/>
  <c r="BQ124" i="3"/>
  <c r="BP124" i="3"/>
  <c r="BO124" i="3"/>
  <c r="BX124" i="3"/>
  <c r="BW124" i="3"/>
  <c r="BV124" i="3"/>
  <c r="BU124" i="3"/>
  <c r="BT124" i="3"/>
  <c r="BS124" i="3"/>
  <c r="BR124" i="3"/>
  <c r="AF161" i="5"/>
  <c r="AG161" i="5" s="1"/>
  <c r="AF198" i="5"/>
  <c r="AG198" i="5" s="1"/>
  <c r="B74" i="6"/>
  <c r="BW123" i="3"/>
  <c r="BV123" i="3"/>
  <c r="BU123" i="3"/>
  <c r="BT123" i="3"/>
  <c r="BS123" i="3"/>
  <c r="BR123" i="3"/>
  <c r="BQ123" i="3"/>
  <c r="BP123" i="3"/>
  <c r="BO123" i="3"/>
  <c r="BX123" i="3"/>
  <c r="AA126" i="5"/>
  <c r="BX190" i="3"/>
  <c r="BW190" i="3"/>
  <c r="BV190" i="3"/>
  <c r="BU190" i="3"/>
  <c r="BT190" i="3"/>
  <c r="BS190" i="3"/>
  <c r="BR190" i="3"/>
  <c r="BQ190" i="3"/>
  <c r="BP190" i="3"/>
  <c r="BO190" i="3"/>
  <c r="BX109" i="3"/>
  <c r="BW109" i="3"/>
  <c r="BV109" i="3"/>
  <c r="BU109" i="3"/>
  <c r="BT109" i="3"/>
  <c r="BS109" i="3"/>
  <c r="BR109" i="3"/>
  <c r="BQ109" i="3"/>
  <c r="BP109" i="3"/>
  <c r="BO109" i="3"/>
  <c r="AV201" i="3"/>
  <c r="AA175" i="5"/>
  <c r="BX130" i="3"/>
  <c r="BW130" i="3"/>
  <c r="BV130" i="3"/>
  <c r="BU130" i="3"/>
  <c r="BT130" i="3"/>
  <c r="BS130" i="3"/>
  <c r="BR130" i="3"/>
  <c r="BQ130" i="3"/>
  <c r="BP130" i="3"/>
  <c r="BO130" i="3"/>
  <c r="BP163" i="3"/>
  <c r="BO163" i="3"/>
  <c r="BX163" i="3"/>
  <c r="BW163" i="3"/>
  <c r="BV163" i="3"/>
  <c r="BU163" i="3"/>
  <c r="BT163" i="3"/>
  <c r="BS163" i="3"/>
  <c r="BR163" i="3"/>
  <c r="BQ163" i="3"/>
  <c r="AA171" i="5"/>
  <c r="H178" i="5"/>
  <c r="AA196" i="5"/>
  <c r="AA236" i="5"/>
  <c r="AU141" i="3"/>
  <c r="AT179" i="3"/>
  <c r="AU151" i="3"/>
  <c r="AV164" i="3"/>
  <c r="AT144" i="3"/>
  <c r="AU182" i="3"/>
  <c r="BS129" i="3"/>
  <c r="BR129" i="3"/>
  <c r="BQ129" i="3"/>
  <c r="BP129" i="3"/>
  <c r="BO129" i="3"/>
  <c r="BX129" i="3"/>
  <c r="BW129" i="3"/>
  <c r="BV129" i="3"/>
  <c r="BU129" i="3"/>
  <c r="BT129" i="3"/>
  <c r="AU130" i="3"/>
  <c r="BS215" i="3"/>
  <c r="BR215" i="3"/>
  <c r="BQ215" i="3"/>
  <c r="BP215" i="3"/>
  <c r="BO215" i="3"/>
  <c r="BX215" i="3"/>
  <c r="BW215" i="3"/>
  <c r="BV215" i="3"/>
  <c r="BU215" i="3"/>
  <c r="BT215" i="3"/>
  <c r="AT98" i="3"/>
  <c r="AU166" i="3"/>
  <c r="B39" i="6"/>
  <c r="AF136" i="5"/>
  <c r="AG136" i="5" s="1"/>
  <c r="AF152" i="5"/>
  <c r="AG152" i="5" s="1"/>
  <c r="B75" i="6"/>
  <c r="AA209" i="5"/>
  <c r="AA165" i="5"/>
  <c r="AA226" i="5"/>
  <c r="BX120" i="3"/>
  <c r="BW120" i="3"/>
  <c r="BV120" i="3"/>
  <c r="BU120" i="3"/>
  <c r="BT120" i="3"/>
  <c r="BS120" i="3"/>
  <c r="BR120" i="3"/>
  <c r="BQ120" i="3"/>
  <c r="BP120" i="3"/>
  <c r="BO120" i="3"/>
  <c r="BS97" i="3"/>
  <c r="BR97" i="3"/>
  <c r="BQ97" i="3"/>
  <c r="BP97" i="3"/>
  <c r="BO97" i="3"/>
  <c r="BX97" i="3"/>
  <c r="BW97" i="3"/>
  <c r="BV97" i="3"/>
  <c r="BU97" i="3"/>
  <c r="BT97" i="3"/>
  <c r="AA153" i="5"/>
  <c r="AT127" i="3"/>
  <c r="AT177" i="3"/>
  <c r="AT173" i="3"/>
  <c r="BX182" i="3"/>
  <c r="BW182" i="3"/>
  <c r="BV182" i="3"/>
  <c r="BU182" i="3"/>
  <c r="BT182" i="3"/>
  <c r="BS182" i="3"/>
  <c r="BR182" i="3"/>
  <c r="BQ182" i="3"/>
  <c r="BP182" i="3"/>
  <c r="BO182" i="3"/>
  <c r="AV162" i="3"/>
  <c r="AT208" i="3"/>
  <c r="N11" i="1"/>
  <c r="N9" i="1"/>
  <c r="AT193" i="3"/>
  <c r="BX128" i="3"/>
  <c r="BW128" i="3"/>
  <c r="BV128" i="3"/>
  <c r="BU128" i="3"/>
  <c r="BT128" i="3"/>
  <c r="BS128" i="3"/>
  <c r="BR128" i="3"/>
  <c r="BQ128" i="3"/>
  <c r="BP128" i="3"/>
  <c r="BO128" i="3"/>
  <c r="AV151" i="3"/>
  <c r="AU172" i="3"/>
  <c r="BX175" i="3"/>
  <c r="BW175" i="3"/>
  <c r="BV175" i="3"/>
  <c r="BU175" i="3"/>
  <c r="BT175" i="3"/>
  <c r="BS175" i="3"/>
  <c r="BR175" i="3"/>
  <c r="BQ175" i="3"/>
  <c r="BP175" i="3"/>
  <c r="BO175" i="3"/>
  <c r="AA128" i="5"/>
  <c r="AA144" i="5"/>
  <c r="AV130" i="3"/>
  <c r="AT186" i="3"/>
  <c r="BP155" i="3"/>
  <c r="BO155" i="3"/>
  <c r="BW155" i="3"/>
  <c r="BV155" i="3"/>
  <c r="BU155" i="3"/>
  <c r="BT155" i="3"/>
  <c r="BX155" i="3"/>
  <c r="BS155" i="3"/>
  <c r="BR155" i="3"/>
  <c r="BQ155" i="3"/>
  <c r="AU98" i="3"/>
  <c r="AV184" i="3"/>
  <c r="AT121" i="3"/>
  <c r="AT180" i="3"/>
  <c r="BW193" i="3"/>
  <c r="BV193" i="3"/>
  <c r="BU193" i="3"/>
  <c r="BT193" i="3"/>
  <c r="BS193" i="3"/>
  <c r="BR193" i="3"/>
  <c r="BQ193" i="3"/>
  <c r="BP193" i="3"/>
  <c r="BO193" i="3"/>
  <c r="BX193" i="3"/>
  <c r="B76" i="6"/>
  <c r="AT102" i="3"/>
  <c r="AU127" i="3"/>
  <c r="BS105" i="3"/>
  <c r="BR105" i="3"/>
  <c r="BQ105" i="3"/>
  <c r="BP105" i="3"/>
  <c r="BO105" i="3"/>
  <c r="BX105" i="3"/>
  <c r="BW105" i="3"/>
  <c r="BV105" i="3"/>
  <c r="BU105" i="3"/>
  <c r="BT105" i="3"/>
  <c r="AA137" i="5"/>
  <c r="BU204" i="3"/>
  <c r="BT204" i="3"/>
  <c r="BS204" i="3"/>
  <c r="BR204" i="3"/>
  <c r="BQ204" i="3"/>
  <c r="BP204" i="3"/>
  <c r="BO204" i="3"/>
  <c r="BX204" i="3"/>
  <c r="BW204" i="3"/>
  <c r="BV204" i="3"/>
  <c r="AA141" i="5"/>
  <c r="H172" i="5"/>
  <c r="AA194" i="5"/>
  <c r="BQ202" i="3"/>
  <c r="BP202" i="3"/>
  <c r="BO202" i="3"/>
  <c r="BX202" i="3"/>
  <c r="BW202" i="3"/>
  <c r="BV202" i="3"/>
  <c r="BU202" i="3"/>
  <c r="BT202" i="3"/>
  <c r="BS202" i="3"/>
  <c r="BR202" i="3"/>
  <c r="AA159" i="5"/>
  <c r="AU208" i="3"/>
  <c r="AT149" i="3"/>
  <c r="AA191" i="5"/>
  <c r="H208" i="5"/>
  <c r="BR168" i="3"/>
  <c r="BQ168" i="3"/>
  <c r="BP168" i="3"/>
  <c r="BO168" i="3"/>
  <c r="BX168" i="3"/>
  <c r="BW168" i="3"/>
  <c r="BV168" i="3"/>
  <c r="BU168" i="3"/>
  <c r="BT168" i="3"/>
  <c r="BS168" i="3"/>
  <c r="AV141" i="3"/>
  <c r="AT150" i="3"/>
  <c r="AT122" i="3"/>
  <c r="AA193" i="5"/>
  <c r="BX138" i="3"/>
  <c r="BW138" i="3"/>
  <c r="BV138" i="3"/>
  <c r="BU138" i="3"/>
  <c r="BT138" i="3"/>
  <c r="BS138" i="3"/>
  <c r="BR138" i="3"/>
  <c r="BQ138" i="3"/>
  <c r="BP138" i="3"/>
  <c r="BO138" i="3"/>
  <c r="AT93" i="3"/>
  <c r="AV144" i="3"/>
  <c r="AA230" i="5"/>
  <c r="AT133" i="3"/>
  <c r="AA190" i="5"/>
  <c r="BX185" i="3"/>
  <c r="BW185" i="3"/>
  <c r="BV185" i="3"/>
  <c r="BU185" i="3"/>
  <c r="BT185" i="3"/>
  <c r="BS185" i="3"/>
  <c r="BR185" i="3"/>
  <c r="BQ185" i="3"/>
  <c r="BP185" i="3"/>
  <c r="BO185" i="3"/>
  <c r="AA197" i="5"/>
  <c r="AU180" i="3"/>
  <c r="AF122" i="5"/>
  <c r="AG122" i="5" s="1"/>
  <c r="AF138" i="5"/>
  <c r="AG138" i="5" s="1"/>
  <c r="AF164" i="5"/>
  <c r="AG164" i="5" s="1"/>
  <c r="AF234" i="5"/>
  <c r="AG234" i="5" s="1"/>
  <c r="AU155" i="3"/>
  <c r="AU210" i="3"/>
  <c r="C77" i="6" s="1"/>
  <c r="B77" i="6"/>
  <c r="AU102" i="3"/>
  <c r="BX158" i="3"/>
  <c r="BW158" i="3"/>
  <c r="BV158" i="3"/>
  <c r="BU158" i="3"/>
  <c r="BT158" i="3"/>
  <c r="BS158" i="3"/>
  <c r="BR158" i="3"/>
  <c r="BQ158" i="3"/>
  <c r="BP158" i="3"/>
  <c r="BO158" i="3"/>
  <c r="BO213" i="3"/>
  <c r="BX213" i="3"/>
  <c r="BW213" i="3"/>
  <c r="BV213" i="3"/>
  <c r="BU213" i="3"/>
  <c r="BT213" i="3"/>
  <c r="BS213" i="3"/>
  <c r="BR213" i="3"/>
  <c r="BQ213" i="3"/>
  <c r="BP213" i="3"/>
  <c r="AT109" i="3"/>
  <c r="BS207" i="3"/>
  <c r="BR207" i="3"/>
  <c r="BQ207" i="3"/>
  <c r="BP207" i="3"/>
  <c r="BO207" i="3"/>
  <c r="BX207" i="3"/>
  <c r="BW207" i="3"/>
  <c r="BV207" i="3"/>
  <c r="BU207" i="3"/>
  <c r="BT207" i="3"/>
  <c r="H171" i="5"/>
  <c r="B45" i="6"/>
  <c r="BW99" i="3"/>
  <c r="BV99" i="3"/>
  <c r="BU99" i="3"/>
  <c r="BT99" i="3"/>
  <c r="BS99" i="3"/>
  <c r="BR99" i="3"/>
  <c r="BQ99" i="3"/>
  <c r="BP99" i="3"/>
  <c r="BX99" i="3"/>
  <c r="BO99" i="3"/>
  <c r="H244" i="5"/>
  <c r="H139" i="5"/>
  <c r="AA215" i="5"/>
  <c r="H130" i="5"/>
  <c r="BQ140" i="3"/>
  <c r="BP140" i="3"/>
  <c r="BO140" i="3"/>
  <c r="BX140" i="3"/>
  <c r="BW140" i="3"/>
  <c r="BV140" i="3"/>
  <c r="BU140" i="3"/>
  <c r="BT140" i="3"/>
  <c r="BS140" i="3"/>
  <c r="BR140" i="3"/>
  <c r="AU122" i="3"/>
  <c r="BS113" i="3"/>
  <c r="BR113" i="3"/>
  <c r="BQ113" i="3"/>
  <c r="BP113" i="3"/>
  <c r="BO113" i="3"/>
  <c r="BX113" i="3"/>
  <c r="BW113" i="3"/>
  <c r="BV113" i="3"/>
  <c r="BT113" i="3"/>
  <c r="BU113" i="3"/>
  <c r="BW139" i="3"/>
  <c r="BV139" i="3"/>
  <c r="BU139" i="3"/>
  <c r="BT139" i="3"/>
  <c r="BS139" i="3"/>
  <c r="BR139" i="3"/>
  <c r="BQ139" i="3"/>
  <c r="BP139" i="3"/>
  <c r="BO139" i="3"/>
  <c r="BX139" i="3"/>
  <c r="AU203" i="3"/>
  <c r="AT168" i="3"/>
  <c r="AA161" i="5"/>
  <c r="AT112" i="3"/>
  <c r="AU114" i="3"/>
  <c r="BX104" i="3"/>
  <c r="BW104" i="3"/>
  <c r="BV104" i="3"/>
  <c r="BU104" i="3"/>
  <c r="BT104" i="3"/>
  <c r="BS104" i="3"/>
  <c r="BR104" i="3"/>
  <c r="BP104" i="3"/>
  <c r="BO104" i="3"/>
  <c r="BQ104" i="3"/>
  <c r="AV105" i="3"/>
  <c r="AA152" i="5"/>
  <c r="BS137" i="3"/>
  <c r="BR137" i="3"/>
  <c r="BQ137" i="3"/>
  <c r="BP137" i="3"/>
  <c r="BO137" i="3"/>
  <c r="BX137" i="3"/>
  <c r="BW137" i="3"/>
  <c r="BV137" i="3"/>
  <c r="BU137" i="3"/>
  <c r="BT137" i="3"/>
  <c r="AA143" i="5"/>
  <c r="AV153" i="3"/>
  <c r="BW107" i="3"/>
  <c r="BV107" i="3"/>
  <c r="BU107" i="3"/>
  <c r="BT107" i="3"/>
  <c r="BS107" i="3"/>
  <c r="BR107" i="3"/>
  <c r="BQ107" i="3"/>
  <c r="BP107" i="3"/>
  <c r="BO107" i="3"/>
  <c r="BX107" i="3"/>
  <c r="AA188" i="5"/>
  <c r="B8" i="5"/>
  <c r="AA146" i="5"/>
  <c r="AA139" i="5"/>
  <c r="AF202" i="5"/>
  <c r="AG202" i="5" s="1"/>
  <c r="AV210" i="3"/>
  <c r="C78" i="6" s="1"/>
  <c r="B78" i="6"/>
  <c r="AU161" i="3"/>
  <c r="AT159" i="3"/>
  <c r="H194" i="5"/>
  <c r="BX188" i="3"/>
  <c r="BW188" i="3"/>
  <c r="BV188" i="3"/>
  <c r="BU188" i="3"/>
  <c r="BT188" i="3"/>
  <c r="BS188" i="3"/>
  <c r="BR188" i="3"/>
  <c r="BQ188" i="3"/>
  <c r="BP188" i="3"/>
  <c r="BO188" i="3"/>
  <c r="AT106" i="3"/>
  <c r="H163" i="5"/>
  <c r="AU142" i="3"/>
  <c r="AT212" i="3"/>
  <c r="AU112" i="3"/>
  <c r="AT207" i="3"/>
  <c r="AO213" i="3"/>
  <c r="C8" i="5"/>
  <c r="J144" i="5" s="1"/>
  <c r="AF140" i="5"/>
  <c r="AG140" i="5" s="1"/>
  <c r="AA202" i="5"/>
  <c r="B79" i="6"/>
  <c r="AA133" i="5"/>
  <c r="BX169" i="3"/>
  <c r="BW169" i="3"/>
  <c r="BV169" i="3"/>
  <c r="BU169" i="3"/>
  <c r="BT169" i="3"/>
  <c r="BS169" i="3"/>
  <c r="BR169" i="3"/>
  <c r="BQ169" i="3"/>
  <c r="BP169" i="3"/>
  <c r="BO169" i="3"/>
  <c r="BX156" i="3"/>
  <c r="BW156" i="3"/>
  <c r="BV156" i="3"/>
  <c r="BU156" i="3"/>
  <c r="BT156" i="3"/>
  <c r="BS156" i="3"/>
  <c r="BR156" i="3"/>
  <c r="BQ156" i="3"/>
  <c r="BP156" i="3"/>
  <c r="BO156" i="3"/>
  <c r="BO95" i="3"/>
  <c r="BX95" i="3"/>
  <c r="BV95" i="3"/>
  <c r="BU95" i="3"/>
  <c r="BT95" i="3"/>
  <c r="BW95" i="3"/>
  <c r="BS95" i="3"/>
  <c r="BR95" i="3"/>
  <c r="BQ95" i="3"/>
  <c r="BP95" i="3"/>
  <c r="BW91" i="3"/>
  <c r="BV91" i="3"/>
  <c r="BU91" i="3"/>
  <c r="BT91" i="3"/>
  <c r="BS91" i="3"/>
  <c r="BR91" i="3"/>
  <c r="BQ91" i="3"/>
  <c r="BP91" i="3"/>
  <c r="BO91" i="3"/>
  <c r="BX91" i="3"/>
  <c r="AA164" i="5"/>
  <c r="AT191" i="3"/>
  <c r="AU159" i="3"/>
  <c r="BV162" i="3"/>
  <c r="BU162" i="3"/>
  <c r="BT162" i="3"/>
  <c r="BS162" i="3"/>
  <c r="BR162" i="3"/>
  <c r="BQ162" i="3"/>
  <c r="BP162" i="3"/>
  <c r="BO162" i="3"/>
  <c r="BX162" i="3"/>
  <c r="BW162" i="3"/>
  <c r="H121" i="5"/>
  <c r="AT100" i="3"/>
  <c r="AT175" i="3"/>
  <c r="AU106" i="3"/>
  <c r="H119" i="5"/>
  <c r="BX117" i="3"/>
  <c r="BW117" i="3"/>
  <c r="BV117" i="3"/>
  <c r="BU117" i="3"/>
  <c r="BT117" i="3"/>
  <c r="BS117" i="3"/>
  <c r="BR117" i="3"/>
  <c r="BQ117" i="3"/>
  <c r="BP117" i="3"/>
  <c r="BO117" i="3"/>
  <c r="H221" i="5"/>
  <c r="BX200" i="3"/>
  <c r="BW200" i="3"/>
  <c r="BV200" i="3"/>
  <c r="BU200" i="3"/>
  <c r="BT200" i="3"/>
  <c r="BS200" i="3"/>
  <c r="BR200" i="3"/>
  <c r="BQ200" i="3"/>
  <c r="BP200" i="3"/>
  <c r="BO200" i="3"/>
  <c r="AV168" i="3"/>
  <c r="AU212" i="3"/>
  <c r="AU207" i="3"/>
  <c r="BU118" i="3"/>
  <c r="BT118" i="3"/>
  <c r="BS118" i="3"/>
  <c r="BR118" i="3"/>
  <c r="BQ118" i="3"/>
  <c r="BP118" i="3"/>
  <c r="BO118" i="3"/>
  <c r="BX118" i="3"/>
  <c r="BW118" i="3"/>
  <c r="BV118" i="3"/>
  <c r="AA169" i="5"/>
  <c r="AA162" i="5"/>
  <c r="AA149" i="5"/>
  <c r="AT138" i="3"/>
  <c r="AF183" i="5"/>
  <c r="AG183" i="5" s="1"/>
  <c r="AA221" i="5"/>
  <c r="AA156" i="5"/>
  <c r="B80" i="6"/>
  <c r="BP171" i="3"/>
  <c r="BO171" i="3"/>
  <c r="BX171" i="3"/>
  <c r="BW171" i="3"/>
  <c r="BV171" i="3"/>
  <c r="BU171" i="3"/>
  <c r="BT171" i="3"/>
  <c r="BS171" i="3"/>
  <c r="BR171" i="3"/>
  <c r="BQ171" i="3"/>
  <c r="AT171" i="3"/>
  <c r="AU191" i="3"/>
  <c r="BX161" i="3"/>
  <c r="BW161" i="3"/>
  <c r="BV161" i="3"/>
  <c r="BU161" i="3"/>
  <c r="BT161" i="3"/>
  <c r="BS161" i="3"/>
  <c r="BR161" i="3"/>
  <c r="BQ161" i="3"/>
  <c r="BP161" i="3"/>
  <c r="BO161" i="3"/>
  <c r="AV159" i="3"/>
  <c r="H186" i="5"/>
  <c r="AA123" i="5"/>
  <c r="AU175" i="3"/>
  <c r="AA135" i="5"/>
  <c r="BR176" i="3"/>
  <c r="BQ176" i="3"/>
  <c r="BP176" i="3"/>
  <c r="BO176" i="3"/>
  <c r="BX176" i="3"/>
  <c r="BW176" i="3"/>
  <c r="BV176" i="3"/>
  <c r="BU176" i="3"/>
  <c r="BT176" i="3"/>
  <c r="BS176" i="3"/>
  <c r="BX101" i="3"/>
  <c r="BW101" i="3"/>
  <c r="BV101" i="3"/>
  <c r="BU101" i="3"/>
  <c r="BT101" i="3"/>
  <c r="BR101" i="3"/>
  <c r="BQ101" i="3"/>
  <c r="BP101" i="3"/>
  <c r="BO101" i="3"/>
  <c r="BS101" i="3"/>
  <c r="N243" i="3"/>
  <c r="AW165" i="3" s="1"/>
  <c r="M243" i="3"/>
  <c r="AW107" i="3" s="1"/>
  <c r="K243" i="3"/>
  <c r="AW101" i="3" s="1"/>
  <c r="I243" i="3"/>
  <c r="AW192" i="3" s="1"/>
  <c r="H243" i="3"/>
  <c r="AW151" i="3" s="1"/>
  <c r="F243" i="3"/>
  <c r="AW127" i="3" s="1"/>
  <c r="E243" i="3"/>
  <c r="AW180" i="3" s="1"/>
  <c r="AT143" i="3"/>
  <c r="AT136" i="3"/>
  <c r="AU183" i="3"/>
  <c r="AV212" i="3"/>
  <c r="AT128" i="3"/>
  <c r="AU211" i="3"/>
  <c r="C53" i="3" s="1"/>
  <c r="B53" i="3"/>
  <c r="AT167" i="3"/>
  <c r="AA131" i="5"/>
  <c r="AV207" i="3"/>
  <c r="AT174" i="3"/>
  <c r="BV186" i="3"/>
  <c r="BU186" i="3"/>
  <c r="BT186" i="3"/>
  <c r="BS186" i="3"/>
  <c r="BR186" i="3"/>
  <c r="BQ186" i="3"/>
  <c r="BP186" i="3"/>
  <c r="BO186" i="3"/>
  <c r="BX186" i="3"/>
  <c r="BW186" i="3"/>
  <c r="BV154" i="3"/>
  <c r="BU154" i="3"/>
  <c r="BT154" i="3"/>
  <c r="BS154" i="3"/>
  <c r="BR154" i="3"/>
  <c r="BQ154" i="3"/>
  <c r="BP154" i="3"/>
  <c r="BO154" i="3"/>
  <c r="BX154" i="3"/>
  <c r="BW154" i="3"/>
  <c r="BP179" i="3"/>
  <c r="BO179" i="3"/>
  <c r="BX179" i="3"/>
  <c r="BW179" i="3"/>
  <c r="BV179" i="3"/>
  <c r="BU179" i="3"/>
  <c r="BT179" i="3"/>
  <c r="BS179" i="3"/>
  <c r="BR179" i="3"/>
  <c r="BQ179" i="3"/>
  <c r="BT173" i="3"/>
  <c r="BS173" i="3"/>
  <c r="BR173" i="3"/>
  <c r="BQ173" i="3"/>
  <c r="BP173" i="3"/>
  <c r="BO173" i="3"/>
  <c r="BX173" i="3"/>
  <c r="BW173" i="3"/>
  <c r="BV173" i="3"/>
  <c r="BU173" i="3"/>
  <c r="AA238" i="5"/>
  <c r="AU138" i="3"/>
  <c r="AF158" i="5"/>
  <c r="AG158" i="5" s="1"/>
  <c r="AF189" i="5"/>
  <c r="AG189" i="5" s="1"/>
  <c r="AF231" i="5"/>
  <c r="AG231" i="5" s="1"/>
  <c r="AT117" i="3"/>
  <c r="BQ132" i="3"/>
  <c r="BP132" i="3"/>
  <c r="BO132" i="3"/>
  <c r="BX132" i="3"/>
  <c r="BW132" i="3"/>
  <c r="BV132" i="3"/>
  <c r="BU132" i="3"/>
  <c r="BT132" i="3"/>
  <c r="BS132" i="3"/>
  <c r="BR132" i="3"/>
  <c r="AA217" i="5"/>
  <c r="BU102" i="3"/>
  <c r="BT102" i="3"/>
  <c r="BS102" i="3"/>
  <c r="BR102" i="3"/>
  <c r="BQ102" i="3"/>
  <c r="BP102" i="3"/>
  <c r="BO102" i="3"/>
  <c r="BX102" i="3"/>
  <c r="BW102" i="3"/>
  <c r="BV102" i="3"/>
  <c r="AA182" i="5"/>
  <c r="AU171" i="3"/>
  <c r="AT125" i="3"/>
  <c r="AA223" i="5"/>
  <c r="BQ92" i="3"/>
  <c r="BP92" i="3"/>
  <c r="BO92" i="3"/>
  <c r="BR92" i="3"/>
  <c r="BX92" i="3"/>
  <c r="BW92" i="3"/>
  <c r="BV92" i="3"/>
  <c r="BU92" i="3"/>
  <c r="BT92" i="3"/>
  <c r="BS92" i="3"/>
  <c r="AV100" i="3"/>
  <c r="AV175" i="3"/>
  <c r="BO197" i="3"/>
  <c r="BX197" i="3"/>
  <c r="BW197" i="3"/>
  <c r="BV197" i="3"/>
  <c r="BU197" i="3"/>
  <c r="BT197" i="3"/>
  <c r="BS197" i="3"/>
  <c r="BR197" i="3"/>
  <c r="BQ197" i="3"/>
  <c r="BP197" i="3"/>
  <c r="AA136" i="5"/>
  <c r="AA178" i="5"/>
  <c r="BV178" i="3"/>
  <c r="BU178" i="3"/>
  <c r="BT178" i="3"/>
  <c r="BS178" i="3"/>
  <c r="BR178" i="3"/>
  <c r="BQ178" i="3"/>
  <c r="BP178" i="3"/>
  <c r="BO178" i="3"/>
  <c r="BX178" i="3"/>
  <c r="BW178" i="3"/>
  <c r="AT134" i="3"/>
  <c r="AU192" i="3"/>
  <c r="P244" i="3"/>
  <c r="AX161" i="3" s="1"/>
  <c r="O244" i="3"/>
  <c r="M244" i="3"/>
  <c r="L244" i="3"/>
  <c r="I244" i="3"/>
  <c r="AX153" i="3" s="1"/>
  <c r="H244" i="3"/>
  <c r="AX151" i="3" s="1"/>
  <c r="F244" i="3"/>
  <c r="AX150" i="3" s="1"/>
  <c r="E244" i="3"/>
  <c r="AX187" i="3" s="1"/>
  <c r="AT197" i="3"/>
  <c r="AT135" i="3"/>
  <c r="AU195" i="3"/>
  <c r="BX203" i="3"/>
  <c r="BW203" i="3"/>
  <c r="BV203" i="3"/>
  <c r="BU203" i="3"/>
  <c r="BT203" i="3"/>
  <c r="BS203" i="3"/>
  <c r="BR203" i="3"/>
  <c r="BQ203" i="3"/>
  <c r="BP203" i="3"/>
  <c r="BO203" i="3"/>
  <c r="BX153" i="3"/>
  <c r="BW153" i="3"/>
  <c r="BV153" i="3"/>
  <c r="BU153" i="3"/>
  <c r="BS153" i="3"/>
  <c r="BR153" i="3"/>
  <c r="BQ153" i="3"/>
  <c r="BP153" i="3"/>
  <c r="BO153" i="3"/>
  <c r="BT153" i="3"/>
  <c r="BT181" i="3"/>
  <c r="BS181" i="3"/>
  <c r="BR181" i="3"/>
  <c r="BQ181" i="3"/>
  <c r="BP181" i="3"/>
  <c r="BO181" i="3"/>
  <c r="BX181" i="3"/>
  <c r="BW181" i="3"/>
  <c r="BV181" i="3"/>
  <c r="BU181" i="3"/>
  <c r="BO143" i="3"/>
  <c r="BX143" i="3"/>
  <c r="BW143" i="3"/>
  <c r="BV143" i="3"/>
  <c r="BU143" i="3"/>
  <c r="BT143" i="3"/>
  <c r="BS143" i="3"/>
  <c r="BR143" i="3"/>
  <c r="BQ143" i="3"/>
  <c r="BP143" i="3"/>
  <c r="AA199" i="5"/>
  <c r="AV183" i="3"/>
  <c r="AU128" i="3"/>
  <c r="AV211" i="3"/>
  <c r="C54" i="3" s="1"/>
  <c r="B54" i="3"/>
  <c r="AU167" i="3"/>
  <c r="AU174" i="3"/>
  <c r="AA185" i="5"/>
  <c r="BX172" i="3"/>
  <c r="BW172" i="3"/>
  <c r="BV172" i="3"/>
  <c r="BU172" i="3"/>
  <c r="BT172" i="3"/>
  <c r="BS172" i="3"/>
  <c r="BR172" i="3"/>
  <c r="BQ172" i="3"/>
  <c r="BP172" i="3"/>
  <c r="BO172" i="3"/>
  <c r="AT145" i="3"/>
  <c r="BV170" i="3"/>
  <c r="BU170" i="3"/>
  <c r="BT170" i="3"/>
  <c r="BS170" i="3"/>
  <c r="BR170" i="3"/>
  <c r="BQ170" i="3"/>
  <c r="BP170" i="3"/>
  <c r="BO170" i="3"/>
  <c r="BX170" i="3"/>
  <c r="BW170" i="3"/>
  <c r="BQ100" i="3"/>
  <c r="BP100" i="3"/>
  <c r="BO100" i="3"/>
  <c r="BX100" i="3"/>
  <c r="BW100" i="3"/>
  <c r="BV100" i="3"/>
  <c r="BU100" i="3"/>
  <c r="BT100" i="3"/>
  <c r="BS100" i="3"/>
  <c r="BR100" i="3"/>
  <c r="AA119" i="5"/>
  <c r="AT95" i="3"/>
  <c r="AV138" i="3"/>
  <c r="AF143" i="5"/>
  <c r="AG143" i="5" s="1"/>
  <c r="AF159" i="5"/>
  <c r="AG159" i="5" s="1"/>
  <c r="AF230" i="5"/>
  <c r="AG230" i="5" s="1"/>
  <c r="AA205" i="5"/>
  <c r="AA129" i="5"/>
  <c r="AV171" i="3"/>
  <c r="AT202" i="3"/>
  <c r="AA176" i="5"/>
  <c r="AT185" i="3"/>
  <c r="AA234" i="5"/>
  <c r="AT119" i="3"/>
  <c r="BX106" i="3"/>
  <c r="BW106" i="3"/>
  <c r="BV106" i="3"/>
  <c r="BT106" i="3"/>
  <c r="BS106" i="3"/>
  <c r="BR106" i="3"/>
  <c r="BQ106" i="3"/>
  <c r="BP106" i="3"/>
  <c r="BU106" i="3"/>
  <c r="BO106" i="3"/>
  <c r="AA207" i="5"/>
  <c r="AA160" i="5"/>
  <c r="BX96" i="3"/>
  <c r="BW96" i="3"/>
  <c r="BV96" i="3"/>
  <c r="BU96" i="3"/>
  <c r="BT96" i="3"/>
  <c r="BS96" i="3"/>
  <c r="BR96" i="3"/>
  <c r="BP96" i="3"/>
  <c r="BO96" i="3"/>
  <c r="BQ96" i="3"/>
  <c r="H179" i="5"/>
  <c r="H151" i="5"/>
  <c r="AU134" i="3"/>
  <c r="AA183" i="5"/>
  <c r="AV192" i="3"/>
  <c r="AT215" i="3"/>
  <c r="AU215" i="3"/>
  <c r="AU143" i="3"/>
  <c r="AU136" i="3"/>
  <c r="BW209" i="3"/>
  <c r="BV209" i="3"/>
  <c r="BU209" i="3"/>
  <c r="BT209" i="3"/>
  <c r="BS209" i="3"/>
  <c r="BR209" i="3"/>
  <c r="BQ209" i="3"/>
  <c r="BP209" i="3"/>
  <c r="BO209" i="3"/>
  <c r="BX209" i="3"/>
  <c r="AV215" i="3"/>
  <c r="AX110" i="3"/>
  <c r="N235" i="3"/>
  <c r="AO161" i="3" s="1"/>
  <c r="M235" i="3"/>
  <c r="AO196" i="3" s="1"/>
  <c r="K235" i="3"/>
  <c r="AO104" i="3" s="1"/>
  <c r="I235" i="3"/>
  <c r="AO134" i="3" s="1"/>
  <c r="H235" i="3"/>
  <c r="AO131" i="3" s="1"/>
  <c r="F235" i="3"/>
  <c r="AO202" i="3" s="1"/>
  <c r="E235" i="3"/>
  <c r="AO174" i="3" s="1"/>
  <c r="AV143" i="3"/>
  <c r="AV136" i="3"/>
  <c r="AU197" i="3"/>
  <c r="AU135" i="3"/>
  <c r="AV195" i="3"/>
  <c r="AA243" i="5"/>
  <c r="AT97" i="3"/>
  <c r="BO119" i="3"/>
  <c r="BX119" i="3"/>
  <c r="BW119" i="3"/>
  <c r="BV119" i="3"/>
  <c r="BU119" i="3"/>
  <c r="BT119" i="3"/>
  <c r="BS119" i="3"/>
  <c r="BR119" i="3"/>
  <c r="BQ119" i="3"/>
  <c r="BP119" i="3"/>
  <c r="AO112" i="3"/>
  <c r="AA214" i="5"/>
  <c r="AV128" i="3"/>
  <c r="B55" i="3"/>
  <c r="AT176" i="3"/>
  <c r="AV167" i="3"/>
  <c r="AV174" i="3"/>
  <c r="AU145" i="3"/>
  <c r="AA213" i="5"/>
  <c r="AU95" i="3"/>
  <c r="AA173" i="5"/>
  <c r="AF128" i="5"/>
  <c r="AG128" i="5" s="1"/>
  <c r="AF160" i="5"/>
  <c r="AG160" i="5" s="1"/>
  <c r="AF208" i="5"/>
  <c r="AG208" i="5" s="1"/>
  <c r="AT188" i="3"/>
  <c r="BR184" i="3"/>
  <c r="BQ184" i="3"/>
  <c r="BP184" i="3"/>
  <c r="BO184" i="3"/>
  <c r="BX184" i="3"/>
  <c r="BW184" i="3"/>
  <c r="BV184" i="3"/>
  <c r="BU184" i="3"/>
  <c r="BT184" i="3"/>
  <c r="BS184" i="3"/>
  <c r="BP187" i="3"/>
  <c r="BO187" i="3"/>
  <c r="BX187" i="3"/>
  <c r="BW187" i="3"/>
  <c r="BV187" i="3"/>
  <c r="BU187" i="3"/>
  <c r="BT187" i="3"/>
  <c r="BS187" i="3"/>
  <c r="BR187" i="3"/>
  <c r="BQ187" i="3"/>
  <c r="AA189" i="5"/>
  <c r="AW171" i="3"/>
  <c r="AU202" i="3"/>
  <c r="AV177" i="3"/>
  <c r="AU185" i="3"/>
  <c r="AT99" i="3"/>
  <c r="AA122" i="5"/>
  <c r="AU119" i="3"/>
  <c r="AT124" i="3"/>
  <c r="AX175" i="3"/>
  <c r="AT156" i="3"/>
  <c r="AT148" i="3"/>
  <c r="H170" i="5"/>
  <c r="AT91" i="3"/>
  <c r="AA231" i="5"/>
  <c r="AT189" i="3"/>
  <c r="BX159" i="3"/>
  <c r="BW159" i="3"/>
  <c r="BV159" i="3"/>
  <c r="BU159" i="3"/>
  <c r="BT159" i="3"/>
  <c r="BS159" i="3"/>
  <c r="BR159" i="3"/>
  <c r="BQ159" i="3"/>
  <c r="BP159" i="3"/>
  <c r="BO159" i="3"/>
  <c r="AA150" i="5"/>
  <c r="AU149" i="3"/>
  <c r="AU110" i="3"/>
  <c r="L236" i="3"/>
  <c r="I236" i="3"/>
  <c r="H236" i="3"/>
  <c r="F236" i="3"/>
  <c r="AP150" i="3" s="1"/>
  <c r="E236" i="3"/>
  <c r="AP149" i="3" s="1"/>
  <c r="P236" i="3"/>
  <c r="O236" i="3"/>
  <c r="M236" i="3"/>
  <c r="AT141" i="3"/>
  <c r="AW143" i="3"/>
  <c r="AW136" i="3"/>
  <c r="AU101" i="3"/>
  <c r="AV197" i="3"/>
  <c r="AT140" i="3"/>
  <c r="AV135" i="3"/>
  <c r="AT163" i="3"/>
  <c r="AT131" i="3"/>
  <c r="J232" i="5"/>
  <c r="AO108" i="3"/>
  <c r="AX183" i="3"/>
  <c r="AU93" i="3"/>
  <c r="AW128" i="3"/>
  <c r="AO152" i="3"/>
  <c r="AT209" i="3"/>
  <c r="B30" i="3"/>
  <c r="BU110" i="3"/>
  <c r="BT110" i="3"/>
  <c r="BS110" i="3"/>
  <c r="BR110" i="3"/>
  <c r="BQ110" i="3"/>
  <c r="BP110" i="3"/>
  <c r="BO110" i="3"/>
  <c r="BX110" i="3"/>
  <c r="BW110" i="3"/>
  <c r="BV110" i="3"/>
  <c r="AX182" i="3"/>
  <c r="B56" i="3"/>
  <c r="AU176" i="3"/>
  <c r="AT170" i="3"/>
  <c r="AW167" i="3"/>
  <c r="BT157" i="3"/>
  <c r="BS157" i="3"/>
  <c r="BR157" i="3"/>
  <c r="BQ157" i="3"/>
  <c r="BP157" i="3"/>
  <c r="BO157" i="3"/>
  <c r="BX157" i="3"/>
  <c r="BW157" i="3"/>
  <c r="BV157" i="3"/>
  <c r="BU157" i="3"/>
  <c r="BW131" i="3"/>
  <c r="BV131" i="3"/>
  <c r="BU131" i="3"/>
  <c r="BT131" i="3"/>
  <c r="BS131" i="3"/>
  <c r="BR131" i="3"/>
  <c r="BQ131" i="3"/>
  <c r="BP131" i="3"/>
  <c r="BO131" i="3"/>
  <c r="BX131" i="3"/>
  <c r="AT190" i="3"/>
  <c r="AO111" i="3"/>
  <c r="AU133" i="3"/>
  <c r="AW98" i="3"/>
  <c r="J201" i="5"/>
  <c r="AT213" i="3"/>
  <c r="AV145" i="3"/>
  <c r="AT129" i="3"/>
  <c r="AV95" i="3"/>
  <c r="AF129" i="5"/>
  <c r="AG129" i="5" s="1"/>
  <c r="AF171" i="5"/>
  <c r="AG171" i="5" s="1"/>
  <c r="AF216" i="5"/>
  <c r="AG216" i="5" s="1"/>
  <c r="AU188" i="3"/>
  <c r="AA168" i="5"/>
  <c r="AO116" i="3"/>
  <c r="AT205" i="3"/>
  <c r="AV202" i="3"/>
  <c r="AO191" i="3"/>
  <c r="AU99" i="3"/>
  <c r="AV119" i="3"/>
  <c r="AO113" i="3"/>
  <c r="AU109" i="3"/>
  <c r="AU124" i="3"/>
  <c r="J135" i="5"/>
  <c r="BQ116" i="3"/>
  <c r="BP116" i="3"/>
  <c r="BO116" i="3"/>
  <c r="BX116" i="3"/>
  <c r="BW116" i="3"/>
  <c r="BV116" i="3"/>
  <c r="BU116" i="3"/>
  <c r="BT116" i="3"/>
  <c r="BS116" i="3"/>
  <c r="BR116" i="3"/>
  <c r="AT194" i="3"/>
  <c r="AA212" i="5"/>
  <c r="AU156" i="3"/>
  <c r="AU148" i="3"/>
  <c r="AA235" i="5"/>
  <c r="AA145" i="5"/>
  <c r="AU91" i="3"/>
  <c r="AU189" i="3"/>
  <c r="AT187" i="3"/>
  <c r="AT92" i="3"/>
  <c r="AA229" i="5"/>
  <c r="AX179" i="3"/>
  <c r="P237" i="3"/>
  <c r="O237" i="3"/>
  <c r="AQ101" i="3" s="1"/>
  <c r="M237" i="3"/>
  <c r="L237" i="3"/>
  <c r="AQ100" i="3" s="1"/>
  <c r="I237" i="3"/>
  <c r="H237" i="3"/>
  <c r="AQ103" i="3" s="1"/>
  <c r="F237" i="3"/>
  <c r="AQ150" i="3" s="1"/>
  <c r="E237" i="3"/>
  <c r="AQ182" i="3" s="1"/>
  <c r="AX143" i="3"/>
  <c r="AX136" i="3"/>
  <c r="AW197" i="3"/>
  <c r="AU140" i="3"/>
  <c r="AU163" i="3"/>
  <c r="AU131" i="3"/>
  <c r="AX195" i="3"/>
  <c r="AT132" i="3"/>
  <c r="BO111" i="3"/>
  <c r="BX111" i="3"/>
  <c r="BW111" i="3"/>
  <c r="BV111" i="3"/>
  <c r="BU111" i="3"/>
  <c r="BT111" i="3"/>
  <c r="BS111" i="3"/>
  <c r="BR111" i="3"/>
  <c r="BQ111" i="3"/>
  <c r="BP111" i="3"/>
  <c r="AV93" i="3"/>
  <c r="AX128" i="3"/>
  <c r="AU209" i="3"/>
  <c r="B47" i="3"/>
  <c r="AV176" i="3"/>
  <c r="AU170" i="3"/>
  <c r="BW115" i="3"/>
  <c r="BV115" i="3"/>
  <c r="BU115" i="3"/>
  <c r="BT115" i="3"/>
  <c r="BS115" i="3"/>
  <c r="BR115" i="3"/>
  <c r="BQ115" i="3"/>
  <c r="BP115" i="3"/>
  <c r="BO115" i="3"/>
  <c r="BX115" i="3"/>
  <c r="AU190" i="3"/>
  <c r="AV133" i="3"/>
  <c r="AX98" i="3"/>
  <c r="AO166" i="3"/>
  <c r="BU212" i="3"/>
  <c r="BT212" i="3"/>
  <c r="BS212" i="3"/>
  <c r="BR212" i="3"/>
  <c r="BQ212" i="3"/>
  <c r="BP212" i="3"/>
  <c r="BO212" i="3"/>
  <c r="BX212" i="3"/>
  <c r="BW212" i="3"/>
  <c r="BV212" i="3"/>
  <c r="AU213" i="3"/>
  <c r="AU129" i="3"/>
  <c r="AW95" i="3"/>
  <c r="AA181" i="5"/>
  <c r="AF130" i="5"/>
  <c r="AG130" i="5" s="1"/>
  <c r="AF146" i="5"/>
  <c r="AG146" i="5" s="1"/>
  <c r="AF209" i="5"/>
  <c r="AG209" i="5" s="1"/>
  <c r="AF193" i="5"/>
  <c r="AG193" i="5" s="1"/>
  <c r="AF224" i="5"/>
  <c r="AG224" i="5" s="1"/>
  <c r="AV188" i="3"/>
  <c r="AT146" i="3"/>
  <c r="AU205" i="3"/>
  <c r="AA219" i="5"/>
  <c r="AW202" i="3"/>
  <c r="AT196" i="3"/>
  <c r="AV161" i="3"/>
  <c r="AT204" i="3"/>
  <c r="AX177" i="3"/>
  <c r="AV99" i="3"/>
  <c r="AT147" i="3"/>
  <c r="AQ159" i="3"/>
  <c r="AW119" i="3"/>
  <c r="AV109" i="3"/>
  <c r="AV124" i="3"/>
  <c r="AU194" i="3"/>
  <c r="AV156" i="3"/>
  <c r="AV148" i="3"/>
  <c r="AA148" i="5"/>
  <c r="AV91" i="3"/>
  <c r="AT137" i="3"/>
  <c r="AV189" i="3"/>
  <c r="AU187" i="3"/>
  <c r="BU142" i="3"/>
  <c r="BT142" i="3"/>
  <c r="BS142" i="3"/>
  <c r="BR142" i="3"/>
  <c r="BQ142" i="3"/>
  <c r="BP142" i="3"/>
  <c r="BO142" i="3"/>
  <c r="BX142" i="3"/>
  <c r="BW142" i="3"/>
  <c r="BV142" i="3"/>
  <c r="J188" i="5"/>
  <c r="AX92" i="3"/>
  <c r="AX134" i="3"/>
  <c r="AW149" i="3"/>
  <c r="AA210" i="5"/>
  <c r="L238" i="3"/>
  <c r="I238" i="3"/>
  <c r="H238" i="3"/>
  <c r="F238" i="3"/>
  <c r="AR149" i="3" s="1"/>
  <c r="E238" i="3"/>
  <c r="AR183" i="3" s="1"/>
  <c r="P238" i="3"/>
  <c r="O238" i="3"/>
  <c r="M238" i="3"/>
  <c r="AW150" i="3"/>
  <c r="AW122" i="3"/>
  <c r="AO136" i="3"/>
  <c r="AO179" i="3"/>
  <c r="AX197" i="3"/>
  <c r="AV140" i="3"/>
  <c r="AX135" i="3"/>
  <c r="AV163" i="3"/>
  <c r="AV131" i="3"/>
  <c r="AT118" i="3"/>
  <c r="AU132" i="3"/>
  <c r="BS199" i="3"/>
  <c r="BR199" i="3"/>
  <c r="BQ199" i="3"/>
  <c r="BP199" i="3"/>
  <c r="BO199" i="3"/>
  <c r="BX199" i="3"/>
  <c r="BW199" i="3"/>
  <c r="BV199" i="3"/>
  <c r="BU199" i="3"/>
  <c r="BT199" i="3"/>
  <c r="AX107" i="3"/>
  <c r="AW114" i="3"/>
  <c r="AV209" i="3"/>
  <c r="AA216" i="5"/>
  <c r="BX191" i="3"/>
  <c r="BW191" i="3"/>
  <c r="BV191" i="3"/>
  <c r="BU191" i="3"/>
  <c r="BT191" i="3"/>
  <c r="BS191" i="3"/>
  <c r="BR191" i="3"/>
  <c r="BQ191" i="3"/>
  <c r="BP191" i="3"/>
  <c r="BO191" i="3"/>
  <c r="B48" i="3"/>
  <c r="AV170" i="3"/>
  <c r="AT178" i="3"/>
  <c r="AA224" i="5"/>
  <c r="AV190" i="3"/>
  <c r="AT104" i="3"/>
  <c r="AW133" i="3"/>
  <c r="AT181" i="3"/>
  <c r="AO98" i="3"/>
  <c r="AT120" i="3"/>
  <c r="AT153" i="3"/>
  <c r="BX114" i="3"/>
  <c r="BW114" i="3"/>
  <c r="BV114" i="3"/>
  <c r="BU114" i="3"/>
  <c r="BT114" i="3"/>
  <c r="BS114" i="3"/>
  <c r="BR114" i="3"/>
  <c r="BQ114" i="3"/>
  <c r="BP114" i="3"/>
  <c r="BO114" i="3"/>
  <c r="AV213" i="3"/>
  <c r="AX145" i="3"/>
  <c r="AV129" i="3"/>
  <c r="AT169" i="3"/>
  <c r="AT206" i="3"/>
  <c r="AX95" i="3"/>
  <c r="AF147" i="5"/>
  <c r="AG147" i="5" s="1"/>
  <c r="AF212" i="5"/>
  <c r="AG212" i="5" s="1"/>
  <c r="AF173" i="5"/>
  <c r="AG173" i="5" s="1"/>
  <c r="AF233" i="5"/>
  <c r="AG233" i="5" s="1"/>
  <c r="AT198" i="3"/>
  <c r="AU146" i="3"/>
  <c r="AT160" i="3"/>
  <c r="AV205" i="3"/>
  <c r="AX202" i="3"/>
  <c r="AU196" i="3"/>
  <c r="AW161" i="3"/>
  <c r="AU204" i="3"/>
  <c r="AA204" i="5"/>
  <c r="AQ191" i="3"/>
  <c r="AW99" i="3"/>
  <c r="AU147" i="3"/>
  <c r="AA121" i="5"/>
  <c r="AT103" i="3"/>
  <c r="AX119" i="3"/>
  <c r="AV194" i="3"/>
  <c r="BO127" i="3"/>
  <c r="BX127" i="3"/>
  <c r="BW127" i="3"/>
  <c r="BV127" i="3"/>
  <c r="BU127" i="3"/>
  <c r="BT127" i="3"/>
  <c r="BS127" i="3"/>
  <c r="BR127" i="3"/>
  <c r="BQ127" i="3"/>
  <c r="BP127" i="3"/>
  <c r="AW156" i="3"/>
  <c r="AW148" i="3"/>
  <c r="AT214" i="3"/>
  <c r="AU137" i="3"/>
  <c r="AV187" i="3"/>
  <c r="AO92" i="3"/>
  <c r="AT157" i="3"/>
  <c r="AO208" i="3"/>
  <c r="BT165" i="3"/>
  <c r="BS165" i="3"/>
  <c r="BR165" i="3"/>
  <c r="BQ165" i="3"/>
  <c r="BP165" i="3"/>
  <c r="BO165" i="3"/>
  <c r="BX165" i="3"/>
  <c r="BW165" i="3"/>
  <c r="BV165" i="3"/>
  <c r="BU165" i="3"/>
  <c r="AO141" i="3"/>
  <c r="N239" i="3"/>
  <c r="AS159" i="3" s="1"/>
  <c r="M239" i="3"/>
  <c r="AS156" i="3" s="1"/>
  <c r="K239" i="3"/>
  <c r="I239" i="3"/>
  <c r="AS136" i="3" s="1"/>
  <c r="H239" i="3"/>
  <c r="AS205" i="3" s="1"/>
  <c r="F239" i="3"/>
  <c r="AS91" i="3" s="1"/>
  <c r="E239" i="3"/>
  <c r="AS183" i="3" s="1"/>
  <c r="AX122" i="3"/>
  <c r="AX101" i="3"/>
  <c r="AW140" i="3"/>
  <c r="AW163" i="3"/>
  <c r="AW131" i="3"/>
  <c r="AW154" i="3"/>
  <c r="AU118" i="3"/>
  <c r="AV132" i="3"/>
  <c r="AT203" i="3"/>
  <c r="AU97" i="3"/>
  <c r="J140" i="5"/>
  <c r="AS107" i="3"/>
  <c r="AX93" i="3"/>
  <c r="AX114" i="3"/>
  <c r="AQ152" i="3"/>
  <c r="AW209" i="3"/>
  <c r="C30" i="3"/>
  <c r="AQ211" i="3"/>
  <c r="C49" i="3" s="1"/>
  <c r="B49" i="3"/>
  <c r="AX176" i="3"/>
  <c r="AW170" i="3"/>
  <c r="AT105" i="3"/>
  <c r="AU178" i="3"/>
  <c r="BU196" i="3"/>
  <c r="BT196" i="3"/>
  <c r="BS196" i="3"/>
  <c r="BR196" i="3"/>
  <c r="BQ196" i="3"/>
  <c r="BP196" i="3"/>
  <c r="BO196" i="3"/>
  <c r="BX196" i="3"/>
  <c r="BW196" i="3"/>
  <c r="BV196" i="3"/>
  <c r="AQ130" i="3"/>
  <c r="AX133" i="3"/>
  <c r="AA174" i="5"/>
  <c r="AU181" i="3"/>
  <c r="BX167" i="3"/>
  <c r="BW167" i="3"/>
  <c r="BV167" i="3"/>
  <c r="BU167" i="3"/>
  <c r="BT167" i="3"/>
  <c r="BS167" i="3"/>
  <c r="BR167" i="3"/>
  <c r="BQ167" i="3"/>
  <c r="BP167" i="3"/>
  <c r="BO167" i="3"/>
  <c r="AU120" i="3"/>
  <c r="AU153" i="3"/>
  <c r="BX214" i="3"/>
  <c r="BW214" i="3"/>
  <c r="BV214" i="3"/>
  <c r="BU214" i="3"/>
  <c r="BT214" i="3"/>
  <c r="BS214" i="3"/>
  <c r="BR214" i="3"/>
  <c r="BQ214" i="3"/>
  <c r="BP214" i="3"/>
  <c r="BO214" i="3"/>
  <c r="AW213" i="3"/>
  <c r="AW129" i="3"/>
  <c r="AO121" i="3"/>
  <c r="AU169" i="3"/>
  <c r="AU206" i="3"/>
  <c r="BO135" i="3"/>
  <c r="BX135" i="3"/>
  <c r="BW135" i="3"/>
  <c r="BV135" i="3"/>
  <c r="BU135" i="3"/>
  <c r="BT135" i="3"/>
  <c r="BS135" i="3"/>
  <c r="BR135" i="3"/>
  <c r="BQ135" i="3"/>
  <c r="BP135" i="3"/>
  <c r="AF132" i="5"/>
  <c r="AG132" i="5" s="1"/>
  <c r="AU198" i="3"/>
  <c r="AX188" i="3"/>
  <c r="AO210" i="3"/>
  <c r="B71" i="6"/>
  <c r="AT158" i="3"/>
  <c r="AV146" i="3"/>
  <c r="AU160" i="3"/>
  <c r="AW205" i="3"/>
  <c r="AV196" i="3"/>
  <c r="AV204" i="3"/>
  <c r="AV147" i="3"/>
  <c r="AU103" i="3"/>
  <c r="AX109" i="3"/>
  <c r="AX124" i="3"/>
  <c r="AT115" i="3"/>
  <c r="BX198" i="3"/>
  <c r="BW198" i="3"/>
  <c r="BV198" i="3"/>
  <c r="BU198" i="3"/>
  <c r="BT198" i="3"/>
  <c r="BS198" i="3"/>
  <c r="BR198" i="3"/>
  <c r="BQ198" i="3"/>
  <c r="BP198" i="3"/>
  <c r="BO198" i="3"/>
  <c r="AX156" i="3"/>
  <c r="AU214" i="3"/>
  <c r="AA138" i="5"/>
  <c r="AA163" i="5"/>
  <c r="AX91" i="3"/>
  <c r="AV137" i="3"/>
  <c r="AX189" i="3"/>
  <c r="AW187" i="3"/>
  <c r="AA127" i="5"/>
  <c r="AU157" i="3"/>
  <c r="AT165" i="3"/>
  <c r="AO149" i="3"/>
  <c r="AV154" i="3" l="1"/>
  <c r="AW190" i="3"/>
  <c r="AX208" i="3"/>
  <c r="J121" i="5"/>
  <c r="AW183" i="3"/>
  <c r="AU158" i="3"/>
  <c r="R113" i="2"/>
  <c r="J198" i="5"/>
  <c r="AU123" i="3"/>
  <c r="R103" i="2"/>
  <c r="AV203" i="3"/>
  <c r="AP118" i="3"/>
  <c r="AV110" i="3"/>
  <c r="AV185" i="3"/>
  <c r="R100" i="2"/>
  <c r="AV200" i="3"/>
  <c r="AV108" i="3"/>
  <c r="J191" i="5"/>
  <c r="AV155" i="3"/>
  <c r="AV111" i="3"/>
  <c r="AW130" i="3"/>
  <c r="AV96" i="3"/>
  <c r="AU164" i="3"/>
  <c r="AX166" i="3"/>
  <c r="AR148" i="3"/>
  <c r="AV191" i="3"/>
  <c r="AV186" i="3"/>
  <c r="S97" i="2"/>
  <c r="S128" i="2"/>
  <c r="AX167" i="3"/>
  <c r="AW177" i="3"/>
  <c r="AW215" i="3"/>
  <c r="AX207" i="3"/>
  <c r="J205" i="5"/>
  <c r="AO139" i="3"/>
  <c r="AV113" i="3"/>
  <c r="R92" i="2"/>
  <c r="AX215" i="3"/>
  <c r="J131" i="5"/>
  <c r="AW175" i="3"/>
  <c r="AO97" i="3"/>
  <c r="J222" i="5"/>
  <c r="AV98" i="3"/>
  <c r="AW94" i="3"/>
  <c r="AO102" i="3"/>
  <c r="AO211" i="3"/>
  <c r="AW100" i="3"/>
  <c r="J120" i="5"/>
  <c r="AV180" i="3"/>
  <c r="AV127" i="3"/>
  <c r="AV179" i="3"/>
  <c r="AW189" i="3"/>
  <c r="AO167" i="3"/>
  <c r="AO195" i="3"/>
  <c r="AO99" i="3"/>
  <c r="AW124" i="3"/>
  <c r="AW91" i="3"/>
  <c r="AW109" i="3"/>
  <c r="AW188" i="3"/>
  <c r="AW93" i="3"/>
  <c r="AO163" i="3"/>
  <c r="AW145" i="3"/>
  <c r="AO130" i="3"/>
  <c r="AV149" i="3"/>
  <c r="AW174" i="3"/>
  <c r="AV134" i="3"/>
  <c r="AU144" i="3"/>
  <c r="AW194" i="3"/>
  <c r="AW176" i="3"/>
  <c r="AW135" i="3"/>
  <c r="AV150" i="3"/>
  <c r="AV126" i="3"/>
  <c r="AR115" i="3"/>
  <c r="L264" i="3"/>
  <c r="AQ168" i="3"/>
  <c r="AX192" i="3"/>
  <c r="E265" i="3"/>
  <c r="AO158" i="3"/>
  <c r="AX168" i="3"/>
  <c r="AW142" i="3"/>
  <c r="AT183" i="3"/>
  <c r="AU168" i="3"/>
  <c r="AV139" i="3"/>
  <c r="AX162" i="3"/>
  <c r="AT114" i="3"/>
  <c r="AT101" i="3"/>
  <c r="AR215" i="3"/>
  <c r="AU108" i="3"/>
  <c r="AV115" i="3"/>
  <c r="AT164" i="3"/>
  <c r="S123" i="2"/>
  <c r="AP182" i="3"/>
  <c r="AP183" i="3"/>
  <c r="AR109" i="3"/>
  <c r="AP116" i="3"/>
  <c r="AS170" i="3"/>
  <c r="AX123" i="3"/>
  <c r="AV165" i="3"/>
  <c r="S81" i="2"/>
  <c r="AP211" i="3"/>
  <c r="C48" i="3" s="1"/>
  <c r="AS104" i="3"/>
  <c r="AR199" i="3"/>
  <c r="AR111" i="3"/>
  <c r="AR108" i="3"/>
  <c r="AS113" i="3"/>
  <c r="AR155" i="3"/>
  <c r="AQ112" i="3"/>
  <c r="AP163" i="3"/>
  <c r="AX211" i="3"/>
  <c r="C56" i="3" s="1"/>
  <c r="AP112" i="3"/>
  <c r="AP90" i="3"/>
  <c r="AX100" i="3"/>
  <c r="AX112" i="3"/>
  <c r="AX158" i="3"/>
  <c r="AT172" i="3"/>
  <c r="AV90" i="3"/>
  <c r="AV125" i="3"/>
  <c r="AU173" i="3"/>
  <c r="AR100" i="3"/>
  <c r="AP113" i="3"/>
  <c r="AR158" i="3"/>
  <c r="AP106" i="3"/>
  <c r="AX90" i="3"/>
  <c r="AO189" i="3"/>
  <c r="AV92" i="3"/>
  <c r="AT200" i="3"/>
  <c r="AU125" i="3"/>
  <c r="AR203" i="3"/>
  <c r="AP107" i="3"/>
  <c r="AO164" i="3"/>
  <c r="AT162" i="3"/>
  <c r="AU113" i="3"/>
  <c r="AR112" i="3"/>
  <c r="AR113" i="3"/>
  <c r="AP173" i="3"/>
  <c r="AP166" i="3"/>
  <c r="AP199" i="3"/>
  <c r="AR181" i="3"/>
  <c r="AP161" i="3"/>
  <c r="AR132" i="3"/>
  <c r="AR197" i="3"/>
  <c r="AP97" i="3"/>
  <c r="AX102" i="3"/>
  <c r="AU104" i="3"/>
  <c r="AS201" i="3"/>
  <c r="AX132" i="3"/>
  <c r="S70" i="2"/>
  <c r="AQ123" i="3"/>
  <c r="AP184" i="3"/>
  <c r="AX212" i="3"/>
  <c r="AS163" i="3"/>
  <c r="AR143" i="3"/>
  <c r="AP180" i="3"/>
  <c r="AX116" i="3"/>
  <c r="AP204" i="3"/>
  <c r="AR117" i="3"/>
  <c r="AS133" i="3"/>
  <c r="AX181" i="3"/>
  <c r="AU96" i="3"/>
  <c r="AU165" i="3"/>
  <c r="AR157" i="3"/>
  <c r="AP177" i="3"/>
  <c r="AQ116" i="3"/>
  <c r="AP162" i="3"/>
  <c r="AQ158" i="3"/>
  <c r="AR118" i="3"/>
  <c r="AP189" i="3"/>
  <c r="AQ137" i="3"/>
  <c r="AX104" i="3"/>
  <c r="AP196" i="3"/>
  <c r="AW164" i="3"/>
  <c r="AV104" i="3"/>
  <c r="AP138" i="3"/>
  <c r="AX159" i="3"/>
  <c r="AP153" i="3"/>
  <c r="AX164" i="3"/>
  <c r="J149" i="5"/>
  <c r="AQ192" i="3"/>
  <c r="AT107" i="3"/>
  <c r="R115" i="2"/>
  <c r="AP195" i="3"/>
  <c r="AR162" i="3"/>
  <c r="AQ113" i="3"/>
  <c r="AP105" i="3"/>
  <c r="AX99" i="3"/>
  <c r="AX163" i="3"/>
  <c r="AP134" i="3"/>
  <c r="R162" i="2"/>
  <c r="AS92" i="3"/>
  <c r="AP127" i="3"/>
  <c r="AR90" i="3"/>
  <c r="AP200" i="3"/>
  <c r="AS178" i="3"/>
  <c r="AQ114" i="3"/>
  <c r="AP94" i="3"/>
  <c r="AR196" i="3"/>
  <c r="AP157" i="3"/>
  <c r="AP181" i="3"/>
  <c r="AX160" i="3"/>
  <c r="AQ140" i="3"/>
  <c r="AV182" i="3"/>
  <c r="AV123" i="3"/>
  <c r="AV116" i="3"/>
  <c r="AR200" i="3"/>
  <c r="AR165" i="3"/>
  <c r="AP191" i="3"/>
  <c r="AP128" i="3"/>
  <c r="AP179" i="3"/>
  <c r="AR123" i="3"/>
  <c r="AP98" i="3"/>
  <c r="AP136" i="3"/>
  <c r="AR101" i="3"/>
  <c r="E272" i="3"/>
  <c r="AQ154" i="3"/>
  <c r="AR180" i="3"/>
  <c r="AS143" i="3"/>
  <c r="AQ153" i="3"/>
  <c r="AS141" i="3"/>
  <c r="AQ196" i="3"/>
  <c r="J147" i="5"/>
  <c r="AW110" i="3"/>
  <c r="AV106" i="3"/>
  <c r="AR185" i="3"/>
  <c r="AX155" i="3"/>
  <c r="AV122" i="3"/>
  <c r="AP176" i="3"/>
  <c r="AV169" i="3"/>
  <c r="AV208" i="3"/>
  <c r="AV173" i="3"/>
  <c r="AU121" i="3"/>
  <c r="AU105" i="3"/>
  <c r="AT210" i="3"/>
  <c r="C76" i="6" s="1"/>
  <c r="AS102" i="3"/>
  <c r="AU162" i="3"/>
  <c r="AT96" i="3"/>
  <c r="S151" i="2"/>
  <c r="AR201" i="3"/>
  <c r="AP167" i="3"/>
  <c r="AP208" i="3"/>
  <c r="AP141" i="3"/>
  <c r="AY141" i="3" s="1"/>
  <c r="AZ141" i="3" s="1"/>
  <c r="AR116" i="3"/>
  <c r="AQ183" i="3"/>
  <c r="AP126" i="3"/>
  <c r="AR106" i="3"/>
  <c r="AP111" i="3"/>
  <c r="AQ105" i="3"/>
  <c r="AV114" i="3"/>
  <c r="AV121" i="3"/>
  <c r="AT161" i="3"/>
  <c r="AW182" i="3"/>
  <c r="AU193" i="3"/>
  <c r="AT139" i="3"/>
  <c r="AT155" i="3"/>
  <c r="AT116" i="3"/>
  <c r="S150" i="2"/>
  <c r="AP102" i="3"/>
  <c r="AY102" i="3" s="1"/>
  <c r="AZ102" i="3" s="1"/>
  <c r="AQ108" i="3"/>
  <c r="AR212" i="3"/>
  <c r="AP175" i="3"/>
  <c r="AR97" i="3"/>
  <c r="AQ156" i="3"/>
  <c r="AR169" i="3"/>
  <c r="AV112" i="3"/>
  <c r="AV142" i="3"/>
  <c r="AP96" i="3"/>
  <c r="AT192" i="3"/>
  <c r="AT142" i="3"/>
  <c r="AU139" i="3"/>
  <c r="AV172" i="3"/>
  <c r="AU154" i="3"/>
  <c r="AT111" i="3"/>
  <c r="S160" i="2"/>
  <c r="E270" i="3"/>
  <c r="CF172" i="3" s="1"/>
  <c r="J213" i="5"/>
  <c r="J202" i="5"/>
  <c r="J186" i="5"/>
  <c r="J185" i="5"/>
  <c r="J193" i="5"/>
  <c r="J150" i="5"/>
  <c r="S73" i="2"/>
  <c r="J139" i="5"/>
  <c r="J207" i="5"/>
  <c r="J208" i="5"/>
  <c r="J130" i="5"/>
  <c r="J146" i="5"/>
  <c r="J242" i="5"/>
  <c r="J166" i="5"/>
  <c r="H272" i="3"/>
  <c r="E263" i="3"/>
  <c r="BY205" i="3" s="1"/>
  <c r="E266" i="3"/>
  <c r="CB149" i="3" s="1"/>
  <c r="S138" i="2"/>
  <c r="N265" i="3"/>
  <c r="J172" i="5"/>
  <c r="J226" i="5"/>
  <c r="J161" i="5"/>
  <c r="J183" i="5"/>
  <c r="J236" i="5"/>
  <c r="J133" i="5"/>
  <c r="J169" i="5"/>
  <c r="J211" i="5"/>
  <c r="J125" i="5"/>
  <c r="J210" i="5"/>
  <c r="J215" i="5"/>
  <c r="J190" i="5"/>
  <c r="J168" i="5"/>
  <c r="J182" i="5"/>
  <c r="J229" i="5"/>
  <c r="J142" i="5"/>
  <c r="H267" i="3"/>
  <c r="CC116" i="3" s="1"/>
  <c r="S67" i="2"/>
  <c r="S77" i="2"/>
  <c r="J145" i="5"/>
  <c r="N268" i="3"/>
  <c r="CD107" i="3" s="1"/>
  <c r="R117" i="2"/>
  <c r="O269" i="3"/>
  <c r="S89" i="2"/>
  <c r="N270" i="3"/>
  <c r="CF212" i="3" s="1"/>
  <c r="J231" i="5"/>
  <c r="R88" i="2"/>
  <c r="L272" i="3"/>
  <c r="R137" i="2"/>
  <c r="S176" i="2"/>
  <c r="J238" i="5"/>
  <c r="J216" i="5"/>
  <c r="J129" i="5"/>
  <c r="J200" i="5"/>
  <c r="J199" i="5"/>
  <c r="R60" i="2"/>
  <c r="S120" i="2"/>
  <c r="M264" i="3"/>
  <c r="R158" i="2"/>
  <c r="S119" i="2"/>
  <c r="J171" i="5"/>
  <c r="F266" i="3"/>
  <c r="J160" i="5"/>
  <c r="J148" i="5"/>
  <c r="J124" i="5"/>
  <c r="J217" i="5"/>
  <c r="J167" i="5"/>
  <c r="J152" i="5"/>
  <c r="J128" i="5"/>
  <c r="J233" i="5"/>
  <c r="J197" i="5"/>
  <c r="J159" i="5"/>
  <c r="J204" i="5"/>
  <c r="B98" i="5"/>
  <c r="J136" i="5"/>
  <c r="J214" i="5"/>
  <c r="J234" i="5"/>
  <c r="J244" i="5"/>
  <c r="J157" i="5"/>
  <c r="B32" i="2"/>
  <c r="K60" i="2"/>
  <c r="L60" i="2" s="1"/>
  <c r="K76" i="2"/>
  <c r="L76" i="2" s="1"/>
  <c r="K92" i="2"/>
  <c r="L92" i="2" s="1"/>
  <c r="K108" i="2"/>
  <c r="L108" i="2" s="1"/>
  <c r="K124" i="2"/>
  <c r="L124" i="2" s="1"/>
  <c r="K53" i="2"/>
  <c r="L53" i="2" s="1"/>
  <c r="K69" i="2"/>
  <c r="L69" i="2" s="1"/>
  <c r="K85" i="2"/>
  <c r="L85" i="2" s="1"/>
  <c r="K101" i="2"/>
  <c r="L101" i="2" s="1"/>
  <c r="K117" i="2"/>
  <c r="L117" i="2" s="1"/>
  <c r="K62" i="2"/>
  <c r="L62" i="2" s="1"/>
  <c r="K78" i="2"/>
  <c r="L78" i="2" s="1"/>
  <c r="K94" i="2"/>
  <c r="L94" i="2" s="1"/>
  <c r="K64" i="2"/>
  <c r="L64" i="2" s="1"/>
  <c r="K80" i="2"/>
  <c r="L80" i="2" s="1"/>
  <c r="K96" i="2"/>
  <c r="L96" i="2" s="1"/>
  <c r="K57" i="2"/>
  <c r="L57" i="2" s="1"/>
  <c r="K66" i="2"/>
  <c r="L66" i="2" s="1"/>
  <c r="K68" i="2"/>
  <c r="L68" i="2" s="1"/>
  <c r="K84" i="2"/>
  <c r="L84" i="2" s="1"/>
  <c r="K100" i="2"/>
  <c r="L100" i="2" s="1"/>
  <c r="K116" i="2"/>
  <c r="L116" i="2" s="1"/>
  <c r="K54" i="2"/>
  <c r="L54" i="2" s="1"/>
  <c r="K70" i="2"/>
  <c r="L70" i="2" s="1"/>
  <c r="K56" i="2"/>
  <c r="L56" i="2" s="1"/>
  <c r="K67" i="2"/>
  <c r="L67" i="2" s="1"/>
  <c r="K83" i="2"/>
  <c r="L83" i="2" s="1"/>
  <c r="K98" i="2"/>
  <c r="L98" i="2" s="1"/>
  <c r="K111" i="2"/>
  <c r="L111" i="2" s="1"/>
  <c r="K129" i="2"/>
  <c r="L129" i="2" s="1"/>
  <c r="K145" i="2"/>
  <c r="L145" i="2" s="1"/>
  <c r="K105" i="2"/>
  <c r="L105" i="2" s="1"/>
  <c r="K114" i="2"/>
  <c r="L114" i="2" s="1"/>
  <c r="K138" i="2"/>
  <c r="L138" i="2" s="1"/>
  <c r="K154" i="2"/>
  <c r="L154" i="2" s="1"/>
  <c r="K77" i="2"/>
  <c r="L77" i="2" s="1"/>
  <c r="K59" i="2"/>
  <c r="L59" i="2" s="1"/>
  <c r="K63" i="2"/>
  <c r="L63" i="2" s="1"/>
  <c r="K91" i="2"/>
  <c r="L91" i="2" s="1"/>
  <c r="K99" i="2"/>
  <c r="L99" i="2" s="1"/>
  <c r="K109" i="2"/>
  <c r="L109" i="2" s="1"/>
  <c r="K112" i="2"/>
  <c r="L112" i="2" s="1"/>
  <c r="K61" i="2"/>
  <c r="L61" i="2" s="1"/>
  <c r="K65" i="2"/>
  <c r="L65" i="2" s="1"/>
  <c r="K120" i="2"/>
  <c r="L120" i="2" s="1"/>
  <c r="K58" i="2"/>
  <c r="L58" i="2" s="1"/>
  <c r="K79" i="2"/>
  <c r="L79" i="2" s="1"/>
  <c r="K103" i="2"/>
  <c r="L103" i="2" s="1"/>
  <c r="K106" i="2"/>
  <c r="L106" i="2" s="1"/>
  <c r="K115" i="2"/>
  <c r="L115" i="2" s="1"/>
  <c r="K71" i="2"/>
  <c r="L71" i="2" s="1"/>
  <c r="K72" i="2"/>
  <c r="L72" i="2" s="1"/>
  <c r="K55" i="2"/>
  <c r="L55" i="2" s="1"/>
  <c r="K73" i="2"/>
  <c r="L73" i="2" s="1"/>
  <c r="K110" i="2"/>
  <c r="L110" i="2" s="1"/>
  <c r="K118" i="2"/>
  <c r="L118" i="2" s="1"/>
  <c r="K81" i="2"/>
  <c r="L81" i="2" s="1"/>
  <c r="K88" i="2"/>
  <c r="L88" i="2" s="1"/>
  <c r="K119" i="2"/>
  <c r="L119" i="2" s="1"/>
  <c r="K127" i="2"/>
  <c r="L127" i="2" s="1"/>
  <c r="K75" i="2"/>
  <c r="L75" i="2" s="1"/>
  <c r="K130" i="2"/>
  <c r="L130" i="2" s="1"/>
  <c r="K133" i="2"/>
  <c r="L133" i="2" s="1"/>
  <c r="K170" i="2"/>
  <c r="L170" i="2" s="1"/>
  <c r="K87" i="2"/>
  <c r="L87" i="2" s="1"/>
  <c r="K93" i="2"/>
  <c r="L93" i="2" s="1"/>
  <c r="K163" i="2"/>
  <c r="L163" i="2" s="1"/>
  <c r="K121" i="2"/>
  <c r="L121" i="2" s="1"/>
  <c r="K143" i="2"/>
  <c r="L143" i="2" s="1"/>
  <c r="K150" i="2"/>
  <c r="L150" i="2" s="1"/>
  <c r="K152" i="2"/>
  <c r="L152" i="2" s="1"/>
  <c r="K156" i="2"/>
  <c r="L156" i="2" s="1"/>
  <c r="K172" i="2"/>
  <c r="L172" i="2" s="1"/>
  <c r="K74" i="2"/>
  <c r="L74" i="2" s="1"/>
  <c r="K136" i="2"/>
  <c r="L136" i="2" s="1"/>
  <c r="K165" i="2"/>
  <c r="L165" i="2" s="1"/>
  <c r="K82" i="2"/>
  <c r="L82" i="2" s="1"/>
  <c r="K125" i="2"/>
  <c r="L125" i="2" s="1"/>
  <c r="K128" i="2"/>
  <c r="L128" i="2" s="1"/>
  <c r="K131" i="2"/>
  <c r="L131" i="2" s="1"/>
  <c r="K141" i="2"/>
  <c r="L141" i="2" s="1"/>
  <c r="K148" i="2"/>
  <c r="L148" i="2" s="1"/>
  <c r="K158" i="2"/>
  <c r="L158" i="2" s="1"/>
  <c r="K174" i="2"/>
  <c r="L174" i="2" s="1"/>
  <c r="K86" i="2"/>
  <c r="L86" i="2" s="1"/>
  <c r="K122" i="2"/>
  <c r="L122" i="2" s="1"/>
  <c r="K167" i="2"/>
  <c r="L167" i="2" s="1"/>
  <c r="K90" i="2"/>
  <c r="L90" i="2" s="1"/>
  <c r="K134" i="2"/>
  <c r="L134" i="2" s="1"/>
  <c r="K160" i="2"/>
  <c r="L160" i="2" s="1"/>
  <c r="K176" i="2"/>
  <c r="L176" i="2" s="1"/>
  <c r="K146" i="2"/>
  <c r="L146" i="2" s="1"/>
  <c r="K107" i="2"/>
  <c r="L107" i="2" s="1"/>
  <c r="K139" i="2"/>
  <c r="L139" i="2" s="1"/>
  <c r="K104" i="2"/>
  <c r="L104" i="2" s="1"/>
  <c r="K113" i="2"/>
  <c r="L113" i="2" s="1"/>
  <c r="K126" i="2"/>
  <c r="L126" i="2" s="1"/>
  <c r="K144" i="2"/>
  <c r="L144" i="2" s="1"/>
  <c r="K171" i="2"/>
  <c r="L171" i="2" s="1"/>
  <c r="K97" i="2"/>
  <c r="L97" i="2" s="1"/>
  <c r="K123" i="2"/>
  <c r="L123" i="2" s="1"/>
  <c r="K137" i="2"/>
  <c r="L137" i="2" s="1"/>
  <c r="K149" i="2"/>
  <c r="L149" i="2" s="1"/>
  <c r="K151" i="2"/>
  <c r="L151" i="2" s="1"/>
  <c r="K153" i="2"/>
  <c r="L153" i="2" s="1"/>
  <c r="K155" i="2"/>
  <c r="L155" i="2" s="1"/>
  <c r="K140" i="2"/>
  <c r="L140" i="2" s="1"/>
  <c r="K159" i="2"/>
  <c r="L159" i="2" s="1"/>
  <c r="K175" i="2"/>
  <c r="L175" i="2" s="1"/>
  <c r="K102" i="2"/>
  <c r="L102" i="2" s="1"/>
  <c r="K173" i="2"/>
  <c r="L173" i="2" s="1"/>
  <c r="K169" i="2"/>
  <c r="L169" i="2" s="1"/>
  <c r="K135" i="2"/>
  <c r="L135" i="2" s="1"/>
  <c r="K168" i="2"/>
  <c r="L168" i="2" s="1"/>
  <c r="K95" i="2"/>
  <c r="L95" i="2" s="1"/>
  <c r="K132" i="2"/>
  <c r="L132" i="2" s="1"/>
  <c r="K89" i="2"/>
  <c r="L89" i="2" s="1"/>
  <c r="K166" i="2"/>
  <c r="L166" i="2" s="1"/>
  <c r="K162" i="2"/>
  <c r="L162" i="2" s="1"/>
  <c r="K164" i="2"/>
  <c r="L164" i="2" s="1"/>
  <c r="K161" i="2"/>
  <c r="L161" i="2" s="1"/>
  <c r="K142" i="2"/>
  <c r="L142" i="2" s="1"/>
  <c r="K177" i="2"/>
  <c r="L177" i="2" s="1"/>
  <c r="K157" i="2"/>
  <c r="L157" i="2" s="1"/>
  <c r="K178" i="2"/>
  <c r="L178" i="2" s="1"/>
  <c r="K147" i="2"/>
  <c r="L147" i="2" s="1"/>
  <c r="R53" i="2"/>
  <c r="S53" i="2"/>
  <c r="B31" i="2" s="1"/>
  <c r="B17" i="2"/>
  <c r="B51" i="6"/>
  <c r="D51" i="6" s="1"/>
  <c r="B54" i="6"/>
  <c r="B53" i="6"/>
  <c r="D53" i="6" s="1"/>
  <c r="B55" i="6"/>
  <c r="D55" i="6" s="1"/>
  <c r="C5" i="7"/>
  <c r="C8" i="7"/>
  <c r="C6" i="7"/>
  <c r="C9" i="7"/>
  <c r="C7" i="7"/>
  <c r="CF122" i="3"/>
  <c r="CH149" i="3"/>
  <c r="CB174" i="3"/>
  <c r="K8" i="6"/>
  <c r="E31" i="7" s="1"/>
  <c r="AQ162" i="3"/>
  <c r="AS204" i="3"/>
  <c r="K263" i="3"/>
  <c r="BY106" i="3" s="1"/>
  <c r="AQ160" i="3"/>
  <c r="AQ181" i="3"/>
  <c r="AR194" i="3"/>
  <c r="CE100" i="3"/>
  <c r="AR209" i="3"/>
  <c r="AO157" i="3"/>
  <c r="AS119" i="3"/>
  <c r="AO160" i="3"/>
  <c r="AP144" i="3"/>
  <c r="AQ131" i="3"/>
  <c r="AR202" i="3"/>
  <c r="AX105" i="3"/>
  <c r="AO132" i="3"/>
  <c r="AP123" i="3"/>
  <c r="AS171" i="3"/>
  <c r="AQ95" i="3"/>
  <c r="AR171" i="3"/>
  <c r="AW102" i="3"/>
  <c r="AQ138" i="3"/>
  <c r="AQ110" i="3"/>
  <c r="AW162" i="3"/>
  <c r="AP214" i="3"/>
  <c r="AR159" i="3"/>
  <c r="AS161" i="3"/>
  <c r="AS93" i="3"/>
  <c r="AW108" i="3"/>
  <c r="AS149" i="3"/>
  <c r="AX125" i="3"/>
  <c r="AS210" i="3"/>
  <c r="C75" i="6" s="1"/>
  <c r="C64" i="6"/>
  <c r="C54" i="6"/>
  <c r="D54" i="6" s="1"/>
  <c r="AV152" i="3"/>
  <c r="AQ142" i="3"/>
  <c r="J223" i="5"/>
  <c r="AQ109" i="3"/>
  <c r="AW104" i="3"/>
  <c r="AV107" i="3"/>
  <c r="AU94" i="3"/>
  <c r="AQ122" i="3"/>
  <c r="AX137" i="3"/>
  <c r="AW214" i="3"/>
  <c r="AQ139" i="3"/>
  <c r="AT113" i="3"/>
  <c r="AX196" i="3"/>
  <c r="E268" i="3"/>
  <c r="CD198" i="3" s="1"/>
  <c r="AQ210" i="3"/>
  <c r="C73" i="6" s="1"/>
  <c r="D77" i="6"/>
  <c r="AS211" i="3"/>
  <c r="C51" i="3" s="1"/>
  <c r="AU150" i="3"/>
  <c r="AO91" i="3"/>
  <c r="AW196" i="3"/>
  <c r="AS108" i="3"/>
  <c r="L266" i="3"/>
  <c r="CB107" i="3" s="1"/>
  <c r="C71" i="6"/>
  <c r="AQ166" i="3"/>
  <c r="AQ126" i="3"/>
  <c r="CB127" i="3"/>
  <c r="AS206" i="3"/>
  <c r="AR107" i="3"/>
  <c r="AS196" i="3"/>
  <c r="AY196" i="3" s="1"/>
  <c r="AZ196" i="3" s="1"/>
  <c r="M263" i="3"/>
  <c r="BY210" i="3" s="1"/>
  <c r="AQ97" i="3"/>
  <c r="AO159" i="3"/>
  <c r="AS129" i="3"/>
  <c r="AX200" i="3"/>
  <c r="AO94" i="3"/>
  <c r="AR140" i="3"/>
  <c r="AW191" i="3"/>
  <c r="AR190" i="3"/>
  <c r="AQ144" i="3"/>
  <c r="AP92" i="3"/>
  <c r="AP103" i="3"/>
  <c r="AW168" i="3"/>
  <c r="AP132" i="3"/>
  <c r="AO193" i="3"/>
  <c r="CF176" i="3"/>
  <c r="AO146" i="3"/>
  <c r="AX180" i="3"/>
  <c r="AP190" i="3"/>
  <c r="AW203" i="3"/>
  <c r="AO194" i="3"/>
  <c r="AQ99" i="3"/>
  <c r="J187" i="5"/>
  <c r="AO205" i="3"/>
  <c r="CF95" i="3"/>
  <c r="AW169" i="3"/>
  <c r="AO124" i="3"/>
  <c r="AR198" i="3"/>
  <c r="J151" i="5"/>
  <c r="J170" i="5"/>
  <c r="J177" i="5"/>
  <c r="J174" i="5"/>
  <c r="J180" i="5"/>
  <c r="J203" i="5"/>
  <c r="J181" i="5"/>
  <c r="J155" i="5"/>
  <c r="J176" i="5"/>
  <c r="J189" i="5"/>
  <c r="J212" i="5"/>
  <c r="J119" i="5"/>
  <c r="J195" i="5"/>
  <c r="J165" i="5"/>
  <c r="J141" i="5"/>
  <c r="J175" i="5"/>
  <c r="J173" i="5"/>
  <c r="J179" i="5"/>
  <c r="J127" i="5"/>
  <c r="J209" i="5"/>
  <c r="J178" i="5"/>
  <c r="CD207" i="3"/>
  <c r="AO201" i="3"/>
  <c r="AP104" i="3"/>
  <c r="AS142" i="3"/>
  <c r="AW123" i="3"/>
  <c r="J192" i="5"/>
  <c r="J138" i="5"/>
  <c r="AS188" i="3"/>
  <c r="AQ207" i="3"/>
  <c r="AQ212" i="3"/>
  <c r="AX115" i="3"/>
  <c r="AR161" i="3"/>
  <c r="AR188" i="3"/>
  <c r="AU126" i="3"/>
  <c r="AX157" i="3"/>
  <c r="AU116" i="3"/>
  <c r="AR210" i="3"/>
  <c r="C74" i="6" s="1"/>
  <c r="AU111" i="3"/>
  <c r="AQ93" i="3"/>
  <c r="J123" i="5"/>
  <c r="AS179" i="3"/>
  <c r="AR150" i="3"/>
  <c r="AO150" i="3"/>
  <c r="AR208" i="3"/>
  <c r="AT123" i="3"/>
  <c r="F268" i="3"/>
  <c r="CD120" i="3" s="1"/>
  <c r="AP188" i="3"/>
  <c r="D78" i="6"/>
  <c r="J243" i="5"/>
  <c r="AS182" i="3"/>
  <c r="AT110" i="3"/>
  <c r="AO105" i="3"/>
  <c r="J228" i="5"/>
  <c r="AR151" i="3"/>
  <c r="AO173" i="3"/>
  <c r="AQ200" i="3"/>
  <c r="AS169" i="3"/>
  <c r="AQ94" i="3"/>
  <c r="AR103" i="3"/>
  <c r="N263" i="3"/>
  <c r="BY167" i="3" s="1"/>
  <c r="AR147" i="3"/>
  <c r="AS190" i="3"/>
  <c r="AW211" i="3"/>
  <c r="C55" i="3" s="1"/>
  <c r="AS140" i="3"/>
  <c r="AQ204" i="3"/>
  <c r="BY203" i="3"/>
  <c r="AQ187" i="3"/>
  <c r="AX203" i="3"/>
  <c r="AO118" i="3"/>
  <c r="AO154" i="3"/>
  <c r="AX139" i="3"/>
  <c r="AR95" i="3"/>
  <c r="AP170" i="3"/>
  <c r="AW121" i="3"/>
  <c r="AP119" i="3"/>
  <c r="AR120" i="3"/>
  <c r="AX113" i="3"/>
  <c r="AQ171" i="3"/>
  <c r="AX111" i="3"/>
  <c r="AS168" i="3"/>
  <c r="CF204" i="3"/>
  <c r="AX201" i="3"/>
  <c r="J219" i="5"/>
  <c r="AP198" i="3"/>
  <c r="J239" i="5"/>
  <c r="AW152" i="3"/>
  <c r="AO107" i="3"/>
  <c r="AX94" i="3"/>
  <c r="AO214" i="3"/>
  <c r="AO100" i="3"/>
  <c r="AO198" i="3"/>
  <c r="AO206" i="3"/>
  <c r="AR114" i="3"/>
  <c r="AS150" i="3"/>
  <c r="AR139" i="3"/>
  <c r="AO212" i="3"/>
  <c r="AX97" i="3"/>
  <c r="AO106" i="3"/>
  <c r="AW103" i="3"/>
  <c r="AR127" i="3"/>
  <c r="H268" i="3"/>
  <c r="CD140" i="3" s="1"/>
  <c r="AV102" i="3"/>
  <c r="D79" i="6"/>
  <c r="AO209" i="3"/>
  <c r="AT108" i="3"/>
  <c r="J156" i="5"/>
  <c r="AQ127" i="3"/>
  <c r="AQ102" i="3"/>
  <c r="AX170" i="3"/>
  <c r="P269" i="3"/>
  <c r="CE210" i="3" s="1"/>
  <c r="E77" i="6" s="1"/>
  <c r="AS137" i="3"/>
  <c r="AQ169" i="3"/>
  <c r="AR172" i="3"/>
  <c r="AR129" i="3"/>
  <c r="AR131" i="3"/>
  <c r="AR91" i="3"/>
  <c r="AQ194" i="3"/>
  <c r="AR164" i="3"/>
  <c r="AQ176" i="3"/>
  <c r="AQ185" i="3"/>
  <c r="AX146" i="3"/>
  <c r="AQ96" i="3"/>
  <c r="AQ134" i="3"/>
  <c r="AQ117" i="3"/>
  <c r="AO95" i="3"/>
  <c r="AX141" i="3"/>
  <c r="CB99" i="3"/>
  <c r="AR175" i="3"/>
  <c r="CF207" i="3"/>
  <c r="AO119" i="3"/>
  <c r="AP95" i="3"/>
  <c r="AP174" i="3"/>
  <c r="AX152" i="3"/>
  <c r="AP143" i="3"/>
  <c r="AO115" i="3"/>
  <c r="AX185" i="3"/>
  <c r="AP206" i="3"/>
  <c r="AS105" i="3"/>
  <c r="AX165" i="3"/>
  <c r="AQ106" i="3"/>
  <c r="AS155" i="3"/>
  <c r="AS121" i="3"/>
  <c r="AS177" i="3"/>
  <c r="AQ188" i="3"/>
  <c r="CF124" i="3"/>
  <c r="AO207" i="3"/>
  <c r="AQ135" i="3"/>
  <c r="AP142" i="3"/>
  <c r="AP156" i="3"/>
  <c r="I268" i="3"/>
  <c r="CD153" i="3" s="1"/>
  <c r="AW198" i="3"/>
  <c r="D80" i="6"/>
  <c r="AS151" i="3"/>
  <c r="AQ136" i="3"/>
  <c r="AQ208" i="3"/>
  <c r="AS199" i="3"/>
  <c r="AX205" i="3"/>
  <c r="AW132" i="3"/>
  <c r="AV94" i="3"/>
  <c r="E269" i="3"/>
  <c r="CE188" i="3" s="1"/>
  <c r="CB199" i="3"/>
  <c r="AS194" i="3"/>
  <c r="AX148" i="3"/>
  <c r="AQ155" i="3"/>
  <c r="AS96" i="3"/>
  <c r="AX149" i="3"/>
  <c r="F265" i="3"/>
  <c r="AS157" i="3"/>
  <c r="AQ201" i="3"/>
  <c r="AO182" i="3"/>
  <c r="AO126" i="3"/>
  <c r="AW134" i="3"/>
  <c r="AO199" i="3"/>
  <c r="AX171" i="3"/>
  <c r="AR160" i="3"/>
  <c r="AW195" i="3"/>
  <c r="AS187" i="3"/>
  <c r="AR137" i="3"/>
  <c r="AS213" i="3"/>
  <c r="AS209" i="3"/>
  <c r="AQ118" i="3"/>
  <c r="CD96" i="3"/>
  <c r="AP160" i="3"/>
  <c r="AW207" i="3"/>
  <c r="AS164" i="3"/>
  <c r="AR124" i="3"/>
  <c r="AO180" i="3"/>
  <c r="CH179" i="3"/>
  <c r="AW112" i="3"/>
  <c r="AQ141" i="3"/>
  <c r="AO140" i="3"/>
  <c r="AP187" i="3"/>
  <c r="AX169" i="3"/>
  <c r="J184" i="5"/>
  <c r="AS207" i="3"/>
  <c r="AW172" i="3"/>
  <c r="AO185" i="3"/>
  <c r="AQ198" i="3"/>
  <c r="AQ206" i="3"/>
  <c r="AO197" i="3"/>
  <c r="AW141" i="3"/>
  <c r="AP100" i="3"/>
  <c r="AU177" i="3"/>
  <c r="AP171" i="3"/>
  <c r="AO117" i="3"/>
  <c r="AS114" i="3"/>
  <c r="AT154" i="3"/>
  <c r="AR192" i="3"/>
  <c r="AR142" i="3"/>
  <c r="AR156" i="3"/>
  <c r="F270" i="3"/>
  <c r="CF119" i="3" s="1"/>
  <c r="AX117" i="3"/>
  <c r="AW96" i="3"/>
  <c r="J224" i="5"/>
  <c r="AW92" i="3"/>
  <c r="AW125" i="3"/>
  <c r="AW158" i="3"/>
  <c r="AX198" i="3"/>
  <c r="AX118" i="3"/>
  <c r="D47" i="3"/>
  <c r="AW157" i="3"/>
  <c r="L268" i="3"/>
  <c r="CD162" i="3" s="1"/>
  <c r="AP155" i="3"/>
  <c r="D71" i="6"/>
  <c r="AS166" i="3"/>
  <c r="AR128" i="3"/>
  <c r="AX106" i="3"/>
  <c r="AS116" i="3"/>
  <c r="AY116" i="3" s="1"/>
  <c r="AZ116" i="3" s="1"/>
  <c r="AR211" i="3"/>
  <c r="C50" i="3" s="1"/>
  <c r="AV118" i="3"/>
  <c r="AX140" i="3"/>
  <c r="F269" i="3"/>
  <c r="H265" i="3"/>
  <c r="AQ111" i="3"/>
  <c r="AS203" i="3"/>
  <c r="AS198" i="3"/>
  <c r="CB131" i="3"/>
  <c r="CB187" i="3"/>
  <c r="AR144" i="3"/>
  <c r="AR141" i="3"/>
  <c r="CE96" i="3"/>
  <c r="AO103" i="3"/>
  <c r="CB203" i="3"/>
  <c r="AR163" i="3"/>
  <c r="AW159" i="3"/>
  <c r="CD132" i="3"/>
  <c r="AS95" i="3"/>
  <c r="AW90" i="3"/>
  <c r="BY101" i="3"/>
  <c r="AX121" i="3"/>
  <c r="AO172" i="3"/>
  <c r="AR125" i="3"/>
  <c r="AW144" i="3"/>
  <c r="AS110" i="3"/>
  <c r="AR191" i="3"/>
  <c r="AW166" i="3"/>
  <c r="AR110" i="3"/>
  <c r="AO125" i="3"/>
  <c r="AW116" i="3"/>
  <c r="H270" i="3"/>
  <c r="CF110" i="3" s="1"/>
  <c r="AU184" i="3"/>
  <c r="AR93" i="3"/>
  <c r="J218" i="5"/>
  <c r="AX103" i="3"/>
  <c r="AQ161" i="3"/>
  <c r="AY161" i="3" s="1"/>
  <c r="AZ161" i="3" s="1"/>
  <c r="AX178" i="3"/>
  <c r="D48" i="3"/>
  <c r="CB103" i="3"/>
  <c r="M268" i="3"/>
  <c r="CD166" i="3" s="1"/>
  <c r="AV117" i="3"/>
  <c r="CB177" i="3"/>
  <c r="D72" i="6"/>
  <c r="AS184" i="3"/>
  <c r="AW120" i="3"/>
  <c r="AP114" i="3"/>
  <c r="AO142" i="3"/>
  <c r="AX194" i="3"/>
  <c r="AV206" i="3"/>
  <c r="AR182" i="3"/>
  <c r="AR126" i="3"/>
  <c r="H269" i="3"/>
  <c r="CF198" i="3"/>
  <c r="I265" i="3"/>
  <c r="AS158" i="3"/>
  <c r="AS97" i="3"/>
  <c r="AR94" i="3"/>
  <c r="E264" i="3"/>
  <c r="AO184" i="3"/>
  <c r="AS120" i="3"/>
  <c r="AP159" i="3"/>
  <c r="AR153" i="3"/>
  <c r="AP165" i="3"/>
  <c r="CF96" i="3"/>
  <c r="AP178" i="3"/>
  <c r="AW212" i="3"/>
  <c r="AS185" i="3"/>
  <c r="AR96" i="3"/>
  <c r="AO144" i="3"/>
  <c r="AO129" i="3"/>
  <c r="AR167" i="3"/>
  <c r="AX172" i="3"/>
  <c r="AX193" i="3"/>
  <c r="AR206" i="3"/>
  <c r="AQ104" i="3"/>
  <c r="BY207" i="3"/>
  <c r="AP125" i="3"/>
  <c r="AP117" i="3"/>
  <c r="AO96" i="3"/>
  <c r="AQ120" i="3"/>
  <c r="AR207" i="3"/>
  <c r="AW126" i="3"/>
  <c r="AP215" i="3"/>
  <c r="AS109" i="3"/>
  <c r="CD105" i="3"/>
  <c r="AX96" i="3"/>
  <c r="BY175" i="3"/>
  <c r="AP110" i="3"/>
  <c r="AS139" i="3"/>
  <c r="I270" i="3"/>
  <c r="CF116" i="3" s="1"/>
  <c r="AS186" i="3"/>
  <c r="AP212" i="3"/>
  <c r="J137" i="5"/>
  <c r="CD130" i="3"/>
  <c r="AW117" i="3"/>
  <c r="J154" i="5"/>
  <c r="D49" i="3"/>
  <c r="CD192" i="3"/>
  <c r="J227" i="5"/>
  <c r="J164" i="5"/>
  <c r="D73" i="6"/>
  <c r="J196" i="5"/>
  <c r="AT94" i="3"/>
  <c r="AP101" i="3"/>
  <c r="AV157" i="3"/>
  <c r="AO156" i="3"/>
  <c r="AY156" i="3" s="1"/>
  <c r="AZ156" i="3" s="1"/>
  <c r="AO109" i="3"/>
  <c r="AQ173" i="3"/>
  <c r="AP121" i="3"/>
  <c r="AQ98" i="3"/>
  <c r="J220" i="5"/>
  <c r="CF94" i="3"/>
  <c r="AQ195" i="3"/>
  <c r="AQ179" i="3"/>
  <c r="AY179" i="3" s="1"/>
  <c r="AZ179" i="3" s="1"/>
  <c r="I269" i="3"/>
  <c r="CE138" i="3" s="1"/>
  <c r="AQ184" i="3"/>
  <c r="AS94" i="3"/>
  <c r="AO177" i="3"/>
  <c r="K265" i="3"/>
  <c r="AP130" i="3"/>
  <c r="AS152" i="3"/>
  <c r="AS103" i="3"/>
  <c r="F264" i="3"/>
  <c r="AS160" i="3"/>
  <c r="AP108" i="3"/>
  <c r="AW208" i="3"/>
  <c r="AS147" i="3"/>
  <c r="CD131" i="3"/>
  <c r="AR178" i="3"/>
  <c r="AQ203" i="3"/>
  <c r="AQ157" i="3"/>
  <c r="AX191" i="3"/>
  <c r="CD187" i="3"/>
  <c r="AR146" i="3"/>
  <c r="AP203" i="3"/>
  <c r="AO165" i="3"/>
  <c r="AS148" i="3"/>
  <c r="CD203" i="3"/>
  <c r="AP140" i="3"/>
  <c r="AR189" i="3"/>
  <c r="AS99" i="3"/>
  <c r="CB102" i="3"/>
  <c r="CF132" i="3"/>
  <c r="AO153" i="3"/>
  <c r="CB186" i="3"/>
  <c r="AQ163" i="3"/>
  <c r="AQ189" i="3"/>
  <c r="CB176" i="3"/>
  <c r="AP194" i="3"/>
  <c r="AP129" i="3"/>
  <c r="AS128" i="3"/>
  <c r="AR134" i="3"/>
  <c r="AP124" i="3"/>
  <c r="AW210" i="3"/>
  <c r="C79" i="6" s="1"/>
  <c r="AW105" i="3"/>
  <c r="AX154" i="3"/>
  <c r="AR214" i="3"/>
  <c r="AW173" i="3"/>
  <c r="AX190" i="3"/>
  <c r="CD139" i="3"/>
  <c r="I272" i="3"/>
  <c r="AO145" i="3"/>
  <c r="J158" i="5"/>
  <c r="CE105" i="3"/>
  <c r="J153" i="5"/>
  <c r="L270" i="3"/>
  <c r="CF169" i="3" s="1"/>
  <c r="AO138" i="3"/>
  <c r="AR133" i="3"/>
  <c r="AO178" i="3"/>
  <c r="J163" i="5"/>
  <c r="AS193" i="3"/>
  <c r="CD163" i="3"/>
  <c r="CE130" i="3"/>
  <c r="AU199" i="3"/>
  <c r="CF190" i="3"/>
  <c r="AP192" i="3"/>
  <c r="D50" i="3"/>
  <c r="AR173" i="3"/>
  <c r="AW160" i="3"/>
  <c r="AW138" i="3"/>
  <c r="CD177" i="3"/>
  <c r="AW206" i="3"/>
  <c r="AR98" i="3"/>
  <c r="AY98" i="3" s="1"/>
  <c r="AZ98" i="3" s="1"/>
  <c r="AP122" i="3"/>
  <c r="AW147" i="3"/>
  <c r="K267" i="3"/>
  <c r="CC101" i="3" s="1"/>
  <c r="AV181" i="3"/>
  <c r="AX209" i="3"/>
  <c r="AR193" i="3"/>
  <c r="L269" i="3"/>
  <c r="CE167" i="3" s="1"/>
  <c r="K266" i="3"/>
  <c r="CB166" i="3" s="1"/>
  <c r="C47" i="3"/>
  <c r="AW106" i="3"/>
  <c r="CD167" i="3"/>
  <c r="AS165" i="3"/>
  <c r="M265" i="3"/>
  <c r="CA103" i="3" s="1"/>
  <c r="AO128" i="3"/>
  <c r="CF142" i="3"/>
  <c r="H264" i="3"/>
  <c r="AS181" i="3"/>
  <c r="AQ165" i="3"/>
  <c r="CE187" i="3"/>
  <c r="AP158" i="3"/>
  <c r="AQ178" i="3"/>
  <c r="AR205" i="3"/>
  <c r="AP169" i="3"/>
  <c r="AR170" i="3"/>
  <c r="AP137" i="3"/>
  <c r="AO169" i="3"/>
  <c r="AS135" i="3"/>
  <c r="CB101" i="3"/>
  <c r="AO137" i="3"/>
  <c r="AQ91" i="3"/>
  <c r="AP205" i="3"/>
  <c r="AX210" i="3"/>
  <c r="C80" i="6" s="1"/>
  <c r="AR145" i="3"/>
  <c r="AQ164" i="3"/>
  <c r="AQ145" i="3"/>
  <c r="AO148" i="3"/>
  <c r="AS175" i="3"/>
  <c r="AR138" i="3"/>
  <c r="AQ174" i="3"/>
  <c r="AO176" i="3"/>
  <c r="AQ215" i="3"/>
  <c r="CD158" i="3"/>
  <c r="K272" i="3"/>
  <c r="CH103" i="3" s="1"/>
  <c r="AX108" i="3"/>
  <c r="AS192" i="3"/>
  <c r="J240" i="5"/>
  <c r="CB204" i="3"/>
  <c r="AW113" i="3"/>
  <c r="CF105" i="3"/>
  <c r="E271" i="3"/>
  <c r="CG173" i="3" s="1"/>
  <c r="CE128" i="3"/>
  <c r="AV199" i="3"/>
  <c r="M270" i="3"/>
  <c r="CF166" i="3" s="1"/>
  <c r="J162" i="5"/>
  <c r="AR105" i="3"/>
  <c r="AS154" i="3"/>
  <c r="AR102" i="3"/>
  <c r="AX120" i="3"/>
  <c r="D51" i="3"/>
  <c r="CD103" i="3"/>
  <c r="AX147" i="3"/>
  <c r="AP93" i="3"/>
  <c r="AO168" i="3"/>
  <c r="AR179" i="3"/>
  <c r="AU90" i="3"/>
  <c r="CB194" i="3"/>
  <c r="AP99" i="3"/>
  <c r="L267" i="3"/>
  <c r="CC166" i="3" s="1"/>
  <c r="AV160" i="3"/>
  <c r="AP210" i="3"/>
  <c r="C72" i="6" s="1"/>
  <c r="AX129" i="3"/>
  <c r="AS200" i="3"/>
  <c r="AR152" i="3"/>
  <c r="CB125" i="3"/>
  <c r="AP154" i="3"/>
  <c r="M269" i="3"/>
  <c r="CE166" i="3" s="1"/>
  <c r="CD214" i="3"/>
  <c r="CE102" i="3"/>
  <c r="CD204" i="3"/>
  <c r="CC135" i="3"/>
  <c r="CC214" i="3"/>
  <c r="AQ175" i="3"/>
  <c r="I264" i="3"/>
  <c r="AS153" i="3"/>
  <c r="AS118" i="3"/>
  <c r="CF131" i="3"/>
  <c r="AS132" i="3"/>
  <c r="AR92" i="3"/>
  <c r="AR204" i="3"/>
  <c r="CF187" i="3"/>
  <c r="AP139" i="3"/>
  <c r="CF106" i="3"/>
  <c r="AS176" i="3"/>
  <c r="AO203" i="3"/>
  <c r="CF203" i="3"/>
  <c r="CF92" i="3"/>
  <c r="CD102" i="3"/>
  <c r="AQ129" i="3"/>
  <c r="CD186" i="3"/>
  <c r="AQ170" i="3"/>
  <c r="CD101" i="3"/>
  <c r="AP213" i="3"/>
  <c r="AQ119" i="3"/>
  <c r="CD156" i="3"/>
  <c r="BY169" i="3"/>
  <c r="AW155" i="3"/>
  <c r="AW153" i="3"/>
  <c r="AX144" i="3"/>
  <c r="AO162" i="3"/>
  <c r="AS100" i="3"/>
  <c r="AP201" i="3"/>
  <c r="AP115" i="3"/>
  <c r="CD213" i="3"/>
  <c r="AW184" i="3"/>
  <c r="AO135" i="3"/>
  <c r="AR122" i="3"/>
  <c r="F271" i="3"/>
  <c r="CB175" i="3"/>
  <c r="CF128" i="3"/>
  <c r="J206" i="5"/>
  <c r="AO120" i="3"/>
  <c r="AX174" i="3"/>
  <c r="CF163" i="3"/>
  <c r="AS173" i="3"/>
  <c r="CB123" i="3"/>
  <c r="AX138" i="3"/>
  <c r="AS98" i="3"/>
  <c r="AS195" i="3"/>
  <c r="CD211" i="3"/>
  <c r="E52" i="3" s="1"/>
  <c r="D52" i="3"/>
  <c r="AQ149" i="3"/>
  <c r="AY149" i="3" s="1"/>
  <c r="AZ149" i="3" s="1"/>
  <c r="CE103" i="3"/>
  <c r="AU201" i="3"/>
  <c r="CD201" i="3"/>
  <c r="BZ133" i="3"/>
  <c r="CF177" i="3"/>
  <c r="AQ121" i="3"/>
  <c r="AW181" i="3"/>
  <c r="AS130" i="3"/>
  <c r="CF134" i="3"/>
  <c r="AW97" i="3"/>
  <c r="AO192" i="3"/>
  <c r="AU115" i="3"/>
  <c r="E267" i="3"/>
  <c r="CC175" i="3" s="1"/>
  <c r="AO188" i="3"/>
  <c r="AP186" i="3"/>
  <c r="AQ128" i="3"/>
  <c r="AO101" i="3"/>
  <c r="H271" i="3"/>
  <c r="CG135" i="3" s="1"/>
  <c r="AO147" i="3"/>
  <c r="CC109" i="3"/>
  <c r="AS127" i="3"/>
  <c r="AQ193" i="3"/>
  <c r="D53" i="3"/>
  <c r="CF103" i="3"/>
  <c r="AR177" i="3"/>
  <c r="CB208" i="3"/>
  <c r="CD121" i="3"/>
  <c r="B52" i="6"/>
  <c r="D52" i="6" s="1"/>
  <c r="CD194" i="3"/>
  <c r="F267" i="3"/>
  <c r="AX213" i="3"/>
  <c r="J241" i="5"/>
  <c r="AO133" i="3"/>
  <c r="AO114" i="3"/>
  <c r="AY114" i="3" s="1"/>
  <c r="AZ114" i="3" s="1"/>
  <c r="CD125" i="3"/>
  <c r="AX131" i="3"/>
  <c r="AO122" i="3"/>
  <c r="CF202" i="3"/>
  <c r="CE214" i="3"/>
  <c r="CF196" i="3"/>
  <c r="AS115" i="3"/>
  <c r="CD199" i="3"/>
  <c r="AP152" i="3"/>
  <c r="AY152" i="3" s="1"/>
  <c r="AZ152" i="3" s="1"/>
  <c r="AQ90" i="3"/>
  <c r="AS146" i="3"/>
  <c r="AO200" i="3"/>
  <c r="AQ107" i="3"/>
  <c r="AO90" i="3"/>
  <c r="AS189" i="3"/>
  <c r="AY189" i="3" s="1"/>
  <c r="AZ189" i="3" s="1"/>
  <c r="AQ146" i="3"/>
  <c r="AR213" i="3"/>
  <c r="AS202" i="3"/>
  <c r="AP146" i="3"/>
  <c r="CF173" i="3"/>
  <c r="AS145" i="3"/>
  <c r="CF186" i="3"/>
  <c r="AR176" i="3"/>
  <c r="AS197" i="3"/>
  <c r="CF101" i="3"/>
  <c r="AQ124" i="3"/>
  <c r="CE118" i="3"/>
  <c r="CE200" i="3"/>
  <c r="AW186" i="3"/>
  <c r="AO123" i="3"/>
  <c r="BY188" i="3"/>
  <c r="AP185" i="3"/>
  <c r="AP135" i="3"/>
  <c r="CF213" i="3"/>
  <c r="F272" i="3"/>
  <c r="CH189" i="3" s="1"/>
  <c r="AS101" i="3"/>
  <c r="CE204" i="3"/>
  <c r="AW199" i="3"/>
  <c r="BY105" i="3"/>
  <c r="I271" i="3"/>
  <c r="CG162" i="3" s="1"/>
  <c r="CD175" i="3"/>
  <c r="AP147" i="3"/>
  <c r="CD215" i="3"/>
  <c r="J122" i="5"/>
  <c r="CD109" i="3"/>
  <c r="CD123" i="3"/>
  <c r="AX206" i="3"/>
  <c r="CB206" i="3"/>
  <c r="AR154" i="3"/>
  <c r="CF211" i="3"/>
  <c r="E54" i="3" s="1"/>
  <c r="D54" i="3"/>
  <c r="CF201" i="3"/>
  <c r="BY195" i="3"/>
  <c r="AQ186" i="3"/>
  <c r="J225" i="5"/>
  <c r="CE121" i="3"/>
  <c r="AS126" i="3"/>
  <c r="AW118" i="3"/>
  <c r="AR195" i="3"/>
  <c r="CE194" i="3"/>
  <c r="AO155" i="3"/>
  <c r="AR184" i="3"/>
  <c r="AR166" i="3"/>
  <c r="AO93" i="3"/>
  <c r="CD135" i="3"/>
  <c r="CB191" i="3"/>
  <c r="BY187" i="3"/>
  <c r="CD184" i="3"/>
  <c r="AQ180" i="3"/>
  <c r="AS131" i="3"/>
  <c r="CD209" i="3"/>
  <c r="AQ197" i="3"/>
  <c r="AQ92" i="3"/>
  <c r="AS124" i="3"/>
  <c r="AQ147" i="3"/>
  <c r="AY158" i="3"/>
  <c r="AZ158" i="3" s="1"/>
  <c r="B89" i="5"/>
  <c r="BY172" i="3"/>
  <c r="AQ172" i="3"/>
  <c r="CE181" i="3"/>
  <c r="AQ132" i="3"/>
  <c r="CA149" i="3"/>
  <c r="AQ213" i="3"/>
  <c r="AO181" i="3"/>
  <c r="AQ148" i="3"/>
  <c r="AR119" i="3"/>
  <c r="AS125" i="3"/>
  <c r="CD171" i="3"/>
  <c r="AS117" i="3"/>
  <c r="AS174" i="3"/>
  <c r="CF200" i="3"/>
  <c r="AO187" i="3"/>
  <c r="CB95" i="3"/>
  <c r="AS138" i="3"/>
  <c r="AR104" i="3"/>
  <c r="AP164" i="3"/>
  <c r="AY164" i="3" s="1"/>
  <c r="AZ164" i="3" s="1"/>
  <c r="AS191" i="3"/>
  <c r="AY191" i="3" s="1"/>
  <c r="AZ191" i="3" s="1"/>
  <c r="AP145" i="3"/>
  <c r="CB104" i="3"/>
  <c r="AP197" i="3"/>
  <c r="AS106" i="3"/>
  <c r="AX199" i="3"/>
  <c r="BZ185" i="3"/>
  <c r="AS112" i="3"/>
  <c r="AS122" i="3"/>
  <c r="AO215" i="3"/>
  <c r="K271" i="3"/>
  <c r="CG166" i="3" s="1"/>
  <c r="CE193" i="3"/>
  <c r="AW111" i="3"/>
  <c r="CE175" i="3"/>
  <c r="AR168" i="3"/>
  <c r="AW201" i="3"/>
  <c r="CE97" i="3"/>
  <c r="CE215" i="3"/>
  <c r="AP207" i="3"/>
  <c r="AX214" i="3"/>
  <c r="BY163" i="3"/>
  <c r="CE123" i="3"/>
  <c r="AR121" i="3"/>
  <c r="AP209" i="3"/>
  <c r="AP168" i="3"/>
  <c r="AO110" i="3"/>
  <c r="D55" i="3"/>
  <c r="CD208" i="3"/>
  <c r="AP133" i="3"/>
  <c r="AW178" i="3"/>
  <c r="CF121" i="3"/>
  <c r="AV193" i="3"/>
  <c r="CD189" i="3"/>
  <c r="AS162" i="3"/>
  <c r="CF194" i="3"/>
  <c r="AQ177" i="3"/>
  <c r="I267" i="3"/>
  <c r="CC110" i="3" s="1"/>
  <c r="AU117" i="3"/>
  <c r="J143" i="5"/>
  <c r="AV120" i="3"/>
  <c r="AS111" i="3"/>
  <c r="AY111" i="3" s="1"/>
  <c r="AZ111" i="3" s="1"/>
  <c r="CF125" i="3"/>
  <c r="O264" i="3"/>
  <c r="BZ100" i="3" s="1"/>
  <c r="CE191" i="3"/>
  <c r="P264" i="3"/>
  <c r="BZ215" i="3" s="1"/>
  <c r="F263" i="3"/>
  <c r="BY158" i="3" s="1"/>
  <c r="AS172" i="3"/>
  <c r="BZ187" i="3"/>
  <c r="CE184" i="3"/>
  <c r="CE209" i="3"/>
  <c r="CB100" i="3"/>
  <c r="CF181" i="3"/>
  <c r="CC153" i="3"/>
  <c r="CB178" i="3"/>
  <c r="AO186" i="3"/>
  <c r="AP193" i="3"/>
  <c r="AO204" i="3"/>
  <c r="CE171" i="3"/>
  <c r="AP148" i="3"/>
  <c r="AW139" i="3"/>
  <c r="AY139" i="3" s="1"/>
  <c r="AZ139" i="3" s="1"/>
  <c r="AQ202" i="3"/>
  <c r="CD91" i="3"/>
  <c r="AO190" i="3"/>
  <c r="AQ125" i="3"/>
  <c r="AX184" i="3"/>
  <c r="AW193" i="3"/>
  <c r="AW179" i="3"/>
  <c r="AQ143" i="3"/>
  <c r="L271" i="3"/>
  <c r="CG105" i="3" s="1"/>
  <c r="CF193" i="3"/>
  <c r="CF175" i="3"/>
  <c r="J132" i="5"/>
  <c r="CF97" i="3"/>
  <c r="CF215" i="3"/>
  <c r="CD129" i="3"/>
  <c r="CF109" i="3"/>
  <c r="CF123" i="3"/>
  <c r="AR186" i="3"/>
  <c r="CD206" i="3"/>
  <c r="D56" i="3"/>
  <c r="AP91" i="3"/>
  <c r="AP109" i="3"/>
  <c r="CE208" i="3"/>
  <c r="AV158" i="3"/>
  <c r="CD133" i="3"/>
  <c r="D74" i="6"/>
  <c r="J194" i="5"/>
  <c r="AW137" i="3"/>
  <c r="CB205" i="3"/>
  <c r="AR130" i="3"/>
  <c r="CB171" i="3"/>
  <c r="CF214" i="3"/>
  <c r="AQ199" i="3"/>
  <c r="BY198" i="3"/>
  <c r="H266" i="3"/>
  <c r="BY165" i="3"/>
  <c r="AO127" i="3"/>
  <c r="CD114" i="3"/>
  <c r="CF191" i="3"/>
  <c r="AS215" i="3"/>
  <c r="AS214" i="3"/>
  <c r="AO175" i="3"/>
  <c r="H263" i="3"/>
  <c r="BY153" i="3" s="1"/>
  <c r="CC159" i="3"/>
  <c r="CF184" i="3"/>
  <c r="CF209" i="3"/>
  <c r="AR187" i="3"/>
  <c r="CD143" i="3"/>
  <c r="CG181" i="3"/>
  <c r="AQ205" i="3"/>
  <c r="BY173" i="3"/>
  <c r="CB179" i="3"/>
  <c r="AQ190" i="3"/>
  <c r="AP172" i="3"/>
  <c r="AS134" i="3"/>
  <c r="CF171" i="3"/>
  <c r="AX173" i="3"/>
  <c r="AX127" i="3"/>
  <c r="CE91" i="3"/>
  <c r="CD169" i="3"/>
  <c r="AR174" i="3"/>
  <c r="AO151" i="3"/>
  <c r="CB188" i="3"/>
  <c r="J134" i="5"/>
  <c r="AP202" i="3"/>
  <c r="AY202" i="3" s="1"/>
  <c r="AZ202" i="3" s="1"/>
  <c r="AW146" i="3"/>
  <c r="CD104" i="3"/>
  <c r="AS212" i="3"/>
  <c r="AX126" i="3"/>
  <c r="CE113" i="3"/>
  <c r="AQ214" i="3"/>
  <c r="BY213" i="3"/>
  <c r="J126" i="5"/>
  <c r="B15" i="5" s="1" a="1"/>
  <c r="CB185" i="3"/>
  <c r="AO143" i="3"/>
  <c r="CB105" i="3"/>
  <c r="J237" i="5"/>
  <c r="J235" i="5"/>
  <c r="AW185" i="3"/>
  <c r="AO171" i="3"/>
  <c r="CE129" i="3"/>
  <c r="AS208" i="3"/>
  <c r="AY208" i="3" s="1"/>
  <c r="AW115" i="3"/>
  <c r="CE206" i="3"/>
  <c r="AS144" i="3"/>
  <c r="AP131" i="3"/>
  <c r="AR136" i="3"/>
  <c r="AY136" i="3" s="1"/>
  <c r="AZ136" i="3" s="1"/>
  <c r="AX204" i="3"/>
  <c r="CF208" i="3"/>
  <c r="CE133" i="3"/>
  <c r="D75" i="6"/>
  <c r="CB195" i="3"/>
  <c r="AO170" i="3"/>
  <c r="AR135" i="3"/>
  <c r="AU92" i="3"/>
  <c r="AS123" i="3"/>
  <c r="AW204" i="3"/>
  <c r="AQ167" i="3"/>
  <c r="CD94" i="3"/>
  <c r="CH125" i="3"/>
  <c r="B44" i="6"/>
  <c r="B46" i="6" s="1"/>
  <c r="BY132" i="3"/>
  <c r="CF199" i="3"/>
  <c r="I266" i="3"/>
  <c r="CB115" i="3" s="1"/>
  <c r="AS90" i="3"/>
  <c r="CE114" i="3"/>
  <c r="CH199" i="3"/>
  <c r="AY163" i="3"/>
  <c r="AZ163" i="3" s="1"/>
  <c r="AS180" i="3"/>
  <c r="AO183" i="3"/>
  <c r="AY183" i="3" s="1"/>
  <c r="AZ183" i="3" s="1"/>
  <c r="AQ115" i="3"/>
  <c r="I263" i="3"/>
  <c r="BY160" i="3" s="1"/>
  <c r="AX130" i="3"/>
  <c r="CD159" i="3"/>
  <c r="CD119" i="3"/>
  <c r="CD100" i="3"/>
  <c r="CB172" i="3"/>
  <c r="AW200" i="3"/>
  <c r="CD178" i="3"/>
  <c r="AX142" i="3"/>
  <c r="CD154" i="3"/>
  <c r="AQ209" i="3"/>
  <c r="AQ151" i="3"/>
  <c r="CD176" i="3"/>
  <c r="AR99" i="3"/>
  <c r="AX186" i="3"/>
  <c r="AS167" i="3"/>
  <c r="AP151" i="3"/>
  <c r="CF91" i="3"/>
  <c r="CD95" i="3"/>
  <c r="BY107" i="3"/>
  <c r="CD113" i="3"/>
  <c r="BY99" i="3"/>
  <c r="AU186" i="3"/>
  <c r="CC105" i="3"/>
  <c r="AP120" i="3"/>
  <c r="CH175" i="3"/>
  <c r="J221" i="5"/>
  <c r="J230" i="5"/>
  <c r="CF129" i="3"/>
  <c r="CB124" i="3"/>
  <c r="AQ133" i="3"/>
  <c r="CF206" i="3"/>
  <c r="CE192" i="3"/>
  <c r="CG208" i="3"/>
  <c r="CF133" i="3"/>
  <c r="CD210" i="3"/>
  <c r="E76" i="6" s="1"/>
  <c r="D76" i="6"/>
  <c r="BY164" i="3"/>
  <c r="BY194" i="3"/>
  <c r="CD205" i="3"/>
  <c r="CE94" i="3"/>
  <c r="CC178" i="3" l="1"/>
  <c r="CC191" i="3"/>
  <c r="CF139" i="3"/>
  <c r="CG191" i="3"/>
  <c r="AY195" i="3"/>
  <c r="AZ195" i="3" s="1"/>
  <c r="AY97" i="3"/>
  <c r="AZ97" i="3" s="1"/>
  <c r="CB155" i="3"/>
  <c r="CF157" i="3"/>
  <c r="CB109" i="3"/>
  <c r="AY212" i="3"/>
  <c r="B34" i="2"/>
  <c r="AY134" i="3"/>
  <c r="AZ134" i="3" s="1"/>
  <c r="CG95" i="3"/>
  <c r="BY212" i="3"/>
  <c r="AY93" i="3"/>
  <c r="AZ93" i="3" s="1"/>
  <c r="CE101" i="3"/>
  <c r="AY121" i="3"/>
  <c r="AZ121" i="3" s="1"/>
  <c r="CF210" i="3"/>
  <c r="E78" i="6" s="1"/>
  <c r="AY113" i="3"/>
  <c r="AZ113" i="3" s="1"/>
  <c r="CB165" i="3"/>
  <c r="AY108" i="3"/>
  <c r="AZ108" i="3" s="1"/>
  <c r="AY204" i="3"/>
  <c r="AZ204" i="3" s="1"/>
  <c r="AY187" i="3"/>
  <c r="AZ187" i="3" s="1"/>
  <c r="AY175" i="3"/>
  <c r="AZ175" i="3" s="1"/>
  <c r="CF107" i="3"/>
  <c r="CD111" i="3"/>
  <c r="CD173" i="3"/>
  <c r="AY166" i="3"/>
  <c r="AZ166" i="3" s="1"/>
  <c r="AY130" i="3"/>
  <c r="AZ130" i="3" s="1"/>
  <c r="CC176" i="3"/>
  <c r="CB210" i="3"/>
  <c r="E74" i="6" s="1"/>
  <c r="AY169" i="3"/>
  <c r="AZ169" i="3" s="1"/>
  <c r="BA169" i="3" s="1"/>
  <c r="CC206" i="3"/>
  <c r="AY112" i="3"/>
  <c r="AZ112" i="3" s="1"/>
  <c r="AY92" i="3"/>
  <c r="AZ92" i="3" s="1"/>
  <c r="CD110" i="3"/>
  <c r="AY133" i="3"/>
  <c r="AZ133" i="3" s="1"/>
  <c r="AY101" i="3"/>
  <c r="AZ101" i="3" s="1"/>
  <c r="AY213" i="3"/>
  <c r="CF130" i="3"/>
  <c r="C57" i="3"/>
  <c r="CF182" i="3"/>
  <c r="AY174" i="3"/>
  <c r="AZ174" i="3" s="1"/>
  <c r="CB132" i="3"/>
  <c r="CF195" i="3"/>
  <c r="CD212" i="3"/>
  <c r="AY150" i="3"/>
  <c r="AZ150" i="3" s="1"/>
  <c r="CD172" i="3"/>
  <c r="AY167" i="3"/>
  <c r="AZ167" i="3" s="1"/>
  <c r="CG123" i="3"/>
  <c r="CD97" i="3"/>
  <c r="AY176" i="3"/>
  <c r="AZ176" i="3" s="1"/>
  <c r="AY211" i="3"/>
  <c r="CE212" i="3"/>
  <c r="CC205" i="3"/>
  <c r="AY131" i="3"/>
  <c r="AZ131" i="3" s="1"/>
  <c r="CD196" i="3"/>
  <c r="CF192" i="3"/>
  <c r="AY104" i="3"/>
  <c r="AZ104" i="3" s="1"/>
  <c r="AY171" i="3"/>
  <c r="AZ171" i="3" s="1"/>
  <c r="AY181" i="3"/>
  <c r="AZ181" i="3" s="1"/>
  <c r="AY99" i="3"/>
  <c r="AZ99" i="3" s="1"/>
  <c r="CF99" i="3"/>
  <c r="CD117" i="3"/>
  <c r="CE107" i="3"/>
  <c r="CA213" i="3"/>
  <c r="CA208" i="3"/>
  <c r="CA106" i="3"/>
  <c r="CH131" i="3"/>
  <c r="CC137" i="3"/>
  <c r="CA115" i="3"/>
  <c r="CC195" i="3"/>
  <c r="CC179" i="3"/>
  <c r="CA212" i="3"/>
  <c r="CA172" i="3"/>
  <c r="CC185" i="3"/>
  <c r="CH198" i="3"/>
  <c r="CA198" i="3"/>
  <c r="BY125" i="3"/>
  <c r="CH124" i="3"/>
  <c r="CH205" i="3"/>
  <c r="CH122" i="3"/>
  <c r="CC144" i="3"/>
  <c r="BZ104" i="3"/>
  <c r="CG93" i="3"/>
  <c r="BY214" i="3"/>
  <c r="BY104" i="3"/>
  <c r="CA210" i="3"/>
  <c r="E73" i="6" s="1"/>
  <c r="CA100" i="3"/>
  <c r="CH123" i="3"/>
  <c r="CA199" i="3"/>
  <c r="CA195" i="3"/>
  <c r="BZ120" i="3"/>
  <c r="CC204" i="3"/>
  <c r="CA209" i="3"/>
  <c r="CH195" i="3"/>
  <c r="CF179" i="3"/>
  <c r="CC115" i="3"/>
  <c r="CG133" i="3"/>
  <c r="BY96" i="3"/>
  <c r="CH174" i="3"/>
  <c r="CA207" i="3"/>
  <c r="CA153" i="3"/>
  <c r="CA175" i="3"/>
  <c r="CH96" i="3"/>
  <c r="BZ118" i="3"/>
  <c r="CA121" i="3"/>
  <c r="BZ162" i="3"/>
  <c r="CC146" i="3"/>
  <c r="CB173" i="3"/>
  <c r="CA179" i="3"/>
  <c r="CC160" i="3"/>
  <c r="BY178" i="3"/>
  <c r="CF178" i="3"/>
  <c r="CA102" i="3"/>
  <c r="BZ169" i="3"/>
  <c r="CA154" i="3"/>
  <c r="CH173" i="3"/>
  <c r="CA132" i="3"/>
  <c r="CC211" i="3"/>
  <c r="E51" i="3" s="1"/>
  <c r="BZ167" i="3"/>
  <c r="CC147" i="3"/>
  <c r="CH211" i="3"/>
  <c r="E56" i="3" s="1"/>
  <c r="CH112" i="3"/>
  <c r="CA205" i="3"/>
  <c r="CA143" i="3"/>
  <c r="CC194" i="3"/>
  <c r="BZ168" i="3"/>
  <c r="CA171" i="3"/>
  <c r="CC170" i="3"/>
  <c r="CH194" i="3"/>
  <c r="CG125" i="3"/>
  <c r="CC104" i="3"/>
  <c r="CG106" i="3"/>
  <c r="CA108" i="3"/>
  <c r="CA177" i="3"/>
  <c r="CH188" i="3"/>
  <c r="BY162" i="3"/>
  <c r="BZ165" i="3"/>
  <c r="BY103" i="3"/>
  <c r="CA95" i="3"/>
  <c r="BY170" i="3"/>
  <c r="BY206" i="3"/>
  <c r="BY208" i="3"/>
  <c r="CI208" i="3" s="1"/>
  <c r="BY209" i="3"/>
  <c r="BY191" i="3"/>
  <c r="CA211" i="3"/>
  <c r="E49" i="3" s="1"/>
  <c r="BY179" i="3"/>
  <c r="CB96" i="3"/>
  <c r="CH206" i="3"/>
  <c r="CF100" i="3"/>
  <c r="CC136" i="3"/>
  <c r="CA184" i="3"/>
  <c r="BY176" i="3"/>
  <c r="CH176" i="3"/>
  <c r="CA215" i="3"/>
  <c r="CA194" i="3"/>
  <c r="CH171" i="3"/>
  <c r="CA122" i="3"/>
  <c r="CC126" i="3"/>
  <c r="CB190" i="3"/>
  <c r="BZ115" i="3"/>
  <c r="CA204" i="3"/>
  <c r="CA156" i="3"/>
  <c r="CG209" i="3"/>
  <c r="BZ196" i="3"/>
  <c r="CG215" i="3"/>
  <c r="CC154" i="3"/>
  <c r="CG194" i="3"/>
  <c r="CA188" i="3"/>
  <c r="CG156" i="3"/>
  <c r="CA159" i="3"/>
  <c r="CG160" i="3"/>
  <c r="CA124" i="3"/>
  <c r="CA166" i="3"/>
  <c r="BY124" i="3"/>
  <c r="CH105" i="3"/>
  <c r="BY199" i="3"/>
  <c r="CA174" i="3"/>
  <c r="CA168" i="3"/>
  <c r="CA178" i="3"/>
  <c r="CA110" i="3"/>
  <c r="CH177" i="3"/>
  <c r="CC171" i="3"/>
  <c r="CC209" i="3"/>
  <c r="CA206" i="3"/>
  <c r="CH132" i="3"/>
  <c r="CA123" i="3"/>
  <c r="CG161" i="3"/>
  <c r="BZ186" i="3"/>
  <c r="CH186" i="3"/>
  <c r="BZ99" i="3"/>
  <c r="CF149" i="3"/>
  <c r="CC143" i="3"/>
  <c r="CG171" i="3"/>
  <c r="CG199" i="3"/>
  <c r="BZ163" i="3"/>
  <c r="CC169" i="3"/>
  <c r="CA170" i="3"/>
  <c r="CC208" i="3"/>
  <c r="BZ143" i="3"/>
  <c r="BZ155" i="3"/>
  <c r="CH166" i="3"/>
  <c r="CA101" i="3"/>
  <c r="BY123" i="3"/>
  <c r="BY204" i="3"/>
  <c r="CA131" i="3"/>
  <c r="CA107" i="3"/>
  <c r="CB198" i="3"/>
  <c r="BY122" i="3"/>
  <c r="CF174" i="3"/>
  <c r="CA157" i="3"/>
  <c r="BZ119" i="3"/>
  <c r="CA109" i="3"/>
  <c r="CA125" i="3"/>
  <c r="CC167" i="3"/>
  <c r="CA176" i="3"/>
  <c r="CH95" i="3"/>
  <c r="BY166" i="3"/>
  <c r="CA165" i="3"/>
  <c r="CA173" i="3"/>
  <c r="BY174" i="3"/>
  <c r="BZ166" i="3"/>
  <c r="CA96" i="3"/>
  <c r="CA142" i="3"/>
  <c r="BZ93" i="3"/>
  <c r="CC210" i="3"/>
  <c r="E75" i="6" s="1"/>
  <c r="CA155" i="3"/>
  <c r="BZ92" i="3"/>
  <c r="BZ134" i="3"/>
  <c r="BZ170" i="3"/>
  <c r="CG202" i="3"/>
  <c r="CH178" i="3"/>
  <c r="CA214" i="3"/>
  <c r="CA186" i="3"/>
  <c r="CH172" i="3"/>
  <c r="CH204" i="3"/>
  <c r="BY186" i="3"/>
  <c r="BY171" i="3"/>
  <c r="BY149" i="3"/>
  <c r="CA114" i="3"/>
  <c r="CH139" i="3"/>
  <c r="CB141" i="3"/>
  <c r="CE157" i="3"/>
  <c r="CH106" i="3"/>
  <c r="CF165" i="3"/>
  <c r="CA104" i="3"/>
  <c r="CA193" i="3"/>
  <c r="CE131" i="3"/>
  <c r="CB184" i="3"/>
  <c r="CB97" i="3"/>
  <c r="CH102" i="3"/>
  <c r="CB196" i="3"/>
  <c r="CH208" i="3"/>
  <c r="CB98" i="3"/>
  <c r="CH101" i="3"/>
  <c r="CH164" i="3"/>
  <c r="CE115" i="3"/>
  <c r="CC92" i="3"/>
  <c r="CH110" i="3"/>
  <c r="CC164" i="3"/>
  <c r="CB122" i="3"/>
  <c r="CB150" i="3"/>
  <c r="CA202" i="3"/>
  <c r="CE153" i="3"/>
  <c r="CH162" i="3"/>
  <c r="CC100" i="3"/>
  <c r="CG167" i="3"/>
  <c r="CB128" i="3"/>
  <c r="CD157" i="3"/>
  <c r="CB121" i="3"/>
  <c r="CH143" i="3"/>
  <c r="CB126" i="3"/>
  <c r="CH170" i="3"/>
  <c r="CE164" i="3"/>
  <c r="CH212" i="3"/>
  <c r="BZ110" i="3"/>
  <c r="CH210" i="3"/>
  <c r="E80" i="6" s="1"/>
  <c r="CB183" i="3"/>
  <c r="CH145" i="3"/>
  <c r="CB129" i="3"/>
  <c r="CE110" i="3"/>
  <c r="CH154" i="3"/>
  <c r="CE104" i="3"/>
  <c r="CH214" i="3"/>
  <c r="BZ95" i="3"/>
  <c r="CG187" i="3"/>
  <c r="CE137" i="3"/>
  <c r="CE135" i="3"/>
  <c r="CB202" i="3"/>
  <c r="CH159" i="3"/>
  <c r="CE155" i="3"/>
  <c r="CB181" i="3"/>
  <c r="CA97" i="3"/>
  <c r="CH155" i="3"/>
  <c r="CB90" i="3"/>
  <c r="CA140" i="3"/>
  <c r="CB113" i="3"/>
  <c r="CH156" i="3"/>
  <c r="CB193" i="3"/>
  <c r="CD202" i="3"/>
  <c r="CG178" i="3"/>
  <c r="CE173" i="3"/>
  <c r="CB201" i="3"/>
  <c r="CD128" i="3"/>
  <c r="CD92" i="3"/>
  <c r="CB106" i="3"/>
  <c r="CB192" i="3"/>
  <c r="CB180" i="3"/>
  <c r="CB120" i="3"/>
  <c r="CG203" i="3"/>
  <c r="CG177" i="3"/>
  <c r="CH109" i="3"/>
  <c r="CA92" i="3"/>
  <c r="CH137" i="3"/>
  <c r="CC119" i="3"/>
  <c r="CC133" i="3"/>
  <c r="CF137" i="3"/>
  <c r="CG101" i="3"/>
  <c r="BY120" i="3"/>
  <c r="CC188" i="3"/>
  <c r="CH107" i="3"/>
  <c r="CB94" i="3"/>
  <c r="CH111" i="3"/>
  <c r="CE201" i="3"/>
  <c r="CD197" i="3"/>
  <c r="BY168" i="3"/>
  <c r="CF117" i="3"/>
  <c r="BZ191" i="3"/>
  <c r="CA116" i="3"/>
  <c r="CA135" i="3"/>
  <c r="CF168" i="3"/>
  <c r="CD182" i="3"/>
  <c r="CA139" i="3"/>
  <c r="BY102" i="3"/>
  <c r="BZ142" i="3"/>
  <c r="BY177" i="3"/>
  <c r="CF188" i="3"/>
  <c r="CG119" i="3"/>
  <c r="CC155" i="3"/>
  <c r="CB151" i="3"/>
  <c r="BZ107" i="3"/>
  <c r="BZ205" i="3"/>
  <c r="CB130" i="3"/>
  <c r="CH152" i="3"/>
  <c r="CH115" i="3"/>
  <c r="CA134" i="3"/>
  <c r="CC103" i="3"/>
  <c r="CB197" i="3"/>
  <c r="CH116" i="3"/>
  <c r="CH209" i="3"/>
  <c r="CD118" i="3"/>
  <c r="BY95" i="3"/>
  <c r="CB182" i="3"/>
  <c r="CF205" i="3"/>
  <c r="CF102" i="3"/>
  <c r="CC152" i="3"/>
  <c r="CH160" i="3"/>
  <c r="CE139" i="3"/>
  <c r="CB140" i="3"/>
  <c r="BZ132" i="3"/>
  <c r="CH108" i="3"/>
  <c r="CE176" i="3"/>
  <c r="CH146" i="3"/>
  <c r="CE109" i="3"/>
  <c r="B94" i="5"/>
  <c r="CC102" i="3"/>
  <c r="BY137" i="3"/>
  <c r="CH135" i="3"/>
  <c r="CH215" i="3"/>
  <c r="CE169" i="3"/>
  <c r="CG175" i="3"/>
  <c r="CF167" i="3"/>
  <c r="CB200" i="3"/>
  <c r="CF153" i="3"/>
  <c r="BY159" i="3"/>
  <c r="BY121" i="3"/>
  <c r="CE143" i="3"/>
  <c r="CA105" i="3"/>
  <c r="CB119" i="3"/>
  <c r="CE125" i="3"/>
  <c r="CB133" i="3"/>
  <c r="CD193" i="3"/>
  <c r="CA169" i="3"/>
  <c r="CA189" i="3"/>
  <c r="BZ91" i="3"/>
  <c r="CB118" i="3"/>
  <c r="CH168" i="3"/>
  <c r="CA118" i="3"/>
  <c r="BZ200" i="3"/>
  <c r="CD181" i="3"/>
  <c r="CA117" i="3"/>
  <c r="CC108" i="3"/>
  <c r="CC145" i="3"/>
  <c r="CH144" i="3"/>
  <c r="CH161" i="3"/>
  <c r="CB189" i="3"/>
  <c r="CH157" i="3"/>
  <c r="CB134" i="3"/>
  <c r="CC142" i="3"/>
  <c r="CA185" i="3"/>
  <c r="CA94" i="3"/>
  <c r="CF156" i="3"/>
  <c r="CF197" i="3"/>
  <c r="CE211" i="3"/>
  <c r="E53" i="3" s="1"/>
  <c r="CD106" i="3"/>
  <c r="CF138" i="3"/>
  <c r="CB114" i="3"/>
  <c r="CD190" i="3"/>
  <c r="CH207" i="3"/>
  <c r="BY211" i="3"/>
  <c r="CA128" i="3"/>
  <c r="BY100" i="3"/>
  <c r="CA111" i="3"/>
  <c r="BY131" i="3"/>
  <c r="CB93" i="3"/>
  <c r="CH136" i="3"/>
  <c r="CH213" i="3"/>
  <c r="CB92" i="3"/>
  <c r="CA119" i="3"/>
  <c r="CG212" i="3"/>
  <c r="CH138" i="3"/>
  <c r="CB158" i="3"/>
  <c r="CG189" i="3"/>
  <c r="CD200" i="3"/>
  <c r="CD134" i="3"/>
  <c r="CH153" i="3"/>
  <c r="CH148" i="3"/>
  <c r="CH147" i="3"/>
  <c r="CB142" i="3"/>
  <c r="CB91" i="3"/>
  <c r="CE156" i="3"/>
  <c r="CE161" i="3"/>
  <c r="CB117" i="3"/>
  <c r="BZ164" i="3"/>
  <c r="CE165" i="3"/>
  <c r="B51" i="5" a="1"/>
  <c r="B51" i="5" s="1"/>
  <c r="M173" i="2"/>
  <c r="N173" i="2"/>
  <c r="M104" i="2"/>
  <c r="N104" i="2"/>
  <c r="M128" i="2"/>
  <c r="N128" i="2"/>
  <c r="M133" i="2"/>
  <c r="N133" i="2"/>
  <c r="M79" i="2"/>
  <c r="N79" i="2"/>
  <c r="M145" i="2"/>
  <c r="N145" i="2"/>
  <c r="M80" i="2"/>
  <c r="N80" i="2"/>
  <c r="M64" i="2"/>
  <c r="N64" i="2"/>
  <c r="M178" i="2"/>
  <c r="N178" i="2"/>
  <c r="N175" i="2"/>
  <c r="M175" i="2"/>
  <c r="M107" i="2"/>
  <c r="N107" i="2"/>
  <c r="M82" i="2"/>
  <c r="N82" i="2"/>
  <c r="N75" i="2"/>
  <c r="M75" i="2"/>
  <c r="M120" i="2"/>
  <c r="N120" i="2"/>
  <c r="M111" i="2"/>
  <c r="N111" i="2"/>
  <c r="M94" i="2"/>
  <c r="N94" i="2"/>
  <c r="M58" i="2"/>
  <c r="N58" i="2"/>
  <c r="M157" i="2"/>
  <c r="N157" i="2"/>
  <c r="N159" i="2"/>
  <c r="M159" i="2"/>
  <c r="M146" i="2"/>
  <c r="N146" i="2"/>
  <c r="M165" i="2"/>
  <c r="N165" i="2"/>
  <c r="M127" i="2"/>
  <c r="N127" i="2"/>
  <c r="N65" i="2"/>
  <c r="M65" i="2"/>
  <c r="M98" i="2"/>
  <c r="N98" i="2"/>
  <c r="M78" i="2"/>
  <c r="N78" i="2"/>
  <c r="M129" i="2"/>
  <c r="N129" i="2"/>
  <c r="M177" i="2"/>
  <c r="N177" i="2"/>
  <c r="M140" i="2"/>
  <c r="N140" i="2"/>
  <c r="N176" i="2"/>
  <c r="M176" i="2"/>
  <c r="M136" i="2"/>
  <c r="N136" i="2"/>
  <c r="M119" i="2"/>
  <c r="N119" i="2"/>
  <c r="M61" i="2"/>
  <c r="N61" i="2"/>
  <c r="M83" i="2"/>
  <c r="N83" i="2"/>
  <c r="M62" i="2"/>
  <c r="N62" i="2"/>
  <c r="M130" i="2"/>
  <c r="N130" i="2"/>
  <c r="N142" i="2"/>
  <c r="M142" i="2"/>
  <c r="N155" i="2"/>
  <c r="M155" i="2"/>
  <c r="N160" i="2"/>
  <c r="M160" i="2"/>
  <c r="M74" i="2"/>
  <c r="N74" i="2"/>
  <c r="N88" i="2"/>
  <c r="M88" i="2"/>
  <c r="M112" i="2"/>
  <c r="N112" i="2"/>
  <c r="M67" i="2"/>
  <c r="N67" i="2"/>
  <c r="M117" i="2"/>
  <c r="N117" i="2"/>
  <c r="M161" i="2"/>
  <c r="N161" i="2"/>
  <c r="N153" i="2"/>
  <c r="M153" i="2"/>
  <c r="N134" i="2"/>
  <c r="M134" i="2"/>
  <c r="M172" i="2"/>
  <c r="N172" i="2"/>
  <c r="N81" i="2"/>
  <c r="M81" i="2"/>
  <c r="M109" i="2"/>
  <c r="N109" i="2"/>
  <c r="N56" i="2"/>
  <c r="M56" i="2"/>
  <c r="N101" i="2"/>
  <c r="M101" i="2"/>
  <c r="N125" i="2"/>
  <c r="M125" i="2"/>
  <c r="N164" i="2"/>
  <c r="M164" i="2"/>
  <c r="N151" i="2"/>
  <c r="M151" i="2"/>
  <c r="M90" i="2"/>
  <c r="N90" i="2"/>
  <c r="M156" i="2"/>
  <c r="N156" i="2"/>
  <c r="M118" i="2"/>
  <c r="N118" i="2"/>
  <c r="M99" i="2"/>
  <c r="N99" i="2"/>
  <c r="M70" i="2"/>
  <c r="N70" i="2"/>
  <c r="N85" i="2"/>
  <c r="M85" i="2"/>
  <c r="M162" i="2"/>
  <c r="N162" i="2"/>
  <c r="N149" i="2"/>
  <c r="M149" i="2"/>
  <c r="M167" i="2"/>
  <c r="N167" i="2"/>
  <c r="M152" i="2"/>
  <c r="N152" i="2"/>
  <c r="M110" i="2"/>
  <c r="N110" i="2"/>
  <c r="M91" i="2"/>
  <c r="N91" i="2"/>
  <c r="M54" i="2"/>
  <c r="N54" i="2"/>
  <c r="N69" i="2"/>
  <c r="M69" i="2"/>
  <c r="M166" i="2"/>
  <c r="N166" i="2"/>
  <c r="N137" i="2"/>
  <c r="M137" i="2"/>
  <c r="M122" i="2"/>
  <c r="N122" i="2"/>
  <c r="M150" i="2"/>
  <c r="N150" i="2"/>
  <c r="N73" i="2"/>
  <c r="M73" i="2"/>
  <c r="M63" i="2"/>
  <c r="N63" i="2"/>
  <c r="N116" i="2"/>
  <c r="M116" i="2"/>
  <c r="N53" i="2"/>
  <c r="M53" i="2"/>
  <c r="N89" i="2"/>
  <c r="M89" i="2"/>
  <c r="N123" i="2"/>
  <c r="M123" i="2"/>
  <c r="M86" i="2"/>
  <c r="N86" i="2"/>
  <c r="M143" i="2"/>
  <c r="N143" i="2"/>
  <c r="M55" i="2"/>
  <c r="N55" i="2"/>
  <c r="N59" i="2"/>
  <c r="M59" i="2"/>
  <c r="M100" i="2"/>
  <c r="N100" i="2"/>
  <c r="M124" i="2"/>
  <c r="N124" i="2"/>
  <c r="M102" i="2"/>
  <c r="N102" i="2"/>
  <c r="N132" i="2"/>
  <c r="M132" i="2"/>
  <c r="N97" i="2"/>
  <c r="M97" i="2"/>
  <c r="M174" i="2"/>
  <c r="N174" i="2"/>
  <c r="N121" i="2"/>
  <c r="M121" i="2"/>
  <c r="N72" i="2"/>
  <c r="M72" i="2"/>
  <c r="M77" i="2"/>
  <c r="N77" i="2"/>
  <c r="N84" i="2"/>
  <c r="M84" i="2"/>
  <c r="M108" i="2"/>
  <c r="N108" i="2"/>
  <c r="M95" i="2"/>
  <c r="N95" i="2"/>
  <c r="M171" i="2"/>
  <c r="N171" i="2"/>
  <c r="M158" i="2"/>
  <c r="N158" i="2"/>
  <c r="M163" i="2"/>
  <c r="N163" i="2"/>
  <c r="N71" i="2"/>
  <c r="M71" i="2"/>
  <c r="M154" i="2"/>
  <c r="N154" i="2"/>
  <c r="M68" i="2"/>
  <c r="N68" i="2"/>
  <c r="M92" i="2"/>
  <c r="N92" i="2"/>
  <c r="M147" i="2"/>
  <c r="N147" i="2"/>
  <c r="M168" i="2"/>
  <c r="N168" i="2"/>
  <c r="M144" i="2"/>
  <c r="N144" i="2"/>
  <c r="M148" i="2"/>
  <c r="N148" i="2"/>
  <c r="M93" i="2"/>
  <c r="N93" i="2"/>
  <c r="M115" i="2"/>
  <c r="N115" i="2"/>
  <c r="M138" i="2"/>
  <c r="N138" i="2"/>
  <c r="M66" i="2"/>
  <c r="N66" i="2"/>
  <c r="M76" i="2"/>
  <c r="N76" i="2"/>
  <c r="M139" i="2"/>
  <c r="N139" i="2"/>
  <c r="B33" i="2"/>
  <c r="B35" i="2"/>
  <c r="M135" i="2"/>
  <c r="N135" i="2"/>
  <c r="M126" i="2"/>
  <c r="N126" i="2"/>
  <c r="M141" i="2"/>
  <c r="N141" i="2"/>
  <c r="M87" i="2"/>
  <c r="N87" i="2"/>
  <c r="M106" i="2"/>
  <c r="N106" i="2"/>
  <c r="M114" i="2"/>
  <c r="N114" i="2"/>
  <c r="N57" i="2"/>
  <c r="M57" i="2"/>
  <c r="M60" i="2"/>
  <c r="N60" i="2"/>
  <c r="M169" i="2"/>
  <c r="N169" i="2"/>
  <c r="N113" i="2"/>
  <c r="M113" i="2"/>
  <c r="M131" i="2"/>
  <c r="N131" i="2"/>
  <c r="M170" i="2"/>
  <c r="N170" i="2"/>
  <c r="M103" i="2"/>
  <c r="N103" i="2"/>
  <c r="N105" i="2"/>
  <c r="M105" i="2"/>
  <c r="M96" i="2"/>
  <c r="N96" i="2"/>
  <c r="D56" i="6"/>
  <c r="D57" i="6" s="1"/>
  <c r="BB167" i="3"/>
  <c r="BA167" i="3"/>
  <c r="BB104" i="3"/>
  <c r="BA104" i="3"/>
  <c r="BB136" i="3"/>
  <c r="BA136" i="3"/>
  <c r="BB108" i="3"/>
  <c r="BA108" i="3"/>
  <c r="BB130" i="3"/>
  <c r="BA130" i="3"/>
  <c r="BB134" i="3"/>
  <c r="BA134" i="3"/>
  <c r="BB97" i="3"/>
  <c r="BA97" i="3"/>
  <c r="BB112" i="3"/>
  <c r="BA112" i="3"/>
  <c r="BB166" i="3"/>
  <c r="BA166" i="3"/>
  <c r="BB152" i="3"/>
  <c r="BA152" i="3"/>
  <c r="S13" i="6"/>
  <c r="G36" i="7" s="1"/>
  <c r="AZ213" i="3"/>
  <c r="BB98" i="3"/>
  <c r="BA98" i="3"/>
  <c r="BB196" i="3"/>
  <c r="BA196" i="3"/>
  <c r="BB113" i="3"/>
  <c r="BA113" i="3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B15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G17" i="5"/>
  <c r="G16" i="5"/>
  <c r="G15" i="5"/>
  <c r="G30" i="5"/>
  <c r="G29" i="5"/>
  <c r="G28" i="5"/>
  <c r="G27" i="5"/>
  <c r="G26" i="5"/>
  <c r="G25" i="5"/>
  <c r="G24" i="5"/>
  <c r="G23" i="5"/>
  <c r="G22" i="5"/>
  <c r="G21" i="5"/>
  <c r="G20" i="5"/>
  <c r="G18" i="5"/>
  <c r="G19" i="5"/>
  <c r="BB99" i="3"/>
  <c r="BA99" i="3"/>
  <c r="BB139" i="3"/>
  <c r="BA139" i="3"/>
  <c r="BB174" i="3"/>
  <c r="BA174" i="3"/>
  <c r="BB131" i="3"/>
  <c r="BA131" i="3"/>
  <c r="BB121" i="3"/>
  <c r="BA121" i="3"/>
  <c r="S8" i="6"/>
  <c r="G31" i="7" s="1"/>
  <c r="AZ208" i="3"/>
  <c r="BB202" i="3"/>
  <c r="BA202" i="3"/>
  <c r="BB92" i="3"/>
  <c r="BA92" i="3"/>
  <c r="BB179" i="3"/>
  <c r="BA179" i="3"/>
  <c r="BB195" i="3"/>
  <c r="BA195" i="3"/>
  <c r="BA161" i="3"/>
  <c r="BB161" i="3"/>
  <c r="BB111" i="3"/>
  <c r="BA111" i="3"/>
  <c r="BB191" i="3"/>
  <c r="BA191" i="3"/>
  <c r="CH127" i="3"/>
  <c r="S12" i="6"/>
  <c r="G35" i="7" s="1"/>
  <c r="AZ212" i="3"/>
  <c r="BB150" i="3"/>
  <c r="BA150" i="3"/>
  <c r="BY190" i="3"/>
  <c r="G11" i="6"/>
  <c r="D34" i="7" s="1"/>
  <c r="K15" i="6"/>
  <c r="E38" i="7" s="1"/>
  <c r="CG200" i="3"/>
  <c r="BZ172" i="3"/>
  <c r="CH158" i="3"/>
  <c r="CG158" i="3"/>
  <c r="BY111" i="3"/>
  <c r="CA91" i="3"/>
  <c r="BZ94" i="3"/>
  <c r="AY188" i="3"/>
  <c r="AZ188" i="3" s="1"/>
  <c r="CH94" i="3"/>
  <c r="CG149" i="3"/>
  <c r="CG174" i="3"/>
  <c r="CG122" i="3"/>
  <c r="CE203" i="3"/>
  <c r="CF111" i="3"/>
  <c r="S11" i="6"/>
  <c r="G34" i="7" s="1"/>
  <c r="AZ211" i="3"/>
  <c r="BZ124" i="3"/>
  <c r="BZ175" i="3"/>
  <c r="CI175" i="3" s="1"/>
  <c r="CJ175" i="3" s="1"/>
  <c r="BZ140" i="3"/>
  <c r="CA200" i="3"/>
  <c r="BY154" i="3"/>
  <c r="BZ125" i="3"/>
  <c r="BY155" i="3"/>
  <c r="CF162" i="3"/>
  <c r="CA197" i="3"/>
  <c r="CH93" i="3"/>
  <c r="CG155" i="3"/>
  <c r="CA113" i="3"/>
  <c r="CA167" i="3"/>
  <c r="E71" i="6"/>
  <c r="CA203" i="3"/>
  <c r="CE199" i="3"/>
  <c r="CG195" i="3"/>
  <c r="CF140" i="3"/>
  <c r="BY143" i="3"/>
  <c r="CE124" i="3"/>
  <c r="AY100" i="3"/>
  <c r="AZ100" i="3" s="1"/>
  <c r="CA138" i="3"/>
  <c r="CG186" i="3"/>
  <c r="CD93" i="3"/>
  <c r="CE120" i="3"/>
  <c r="CE185" i="3"/>
  <c r="AY124" i="3"/>
  <c r="AZ124" i="3" s="1"/>
  <c r="CG143" i="3"/>
  <c r="CC93" i="3"/>
  <c r="CC120" i="3"/>
  <c r="CG193" i="3"/>
  <c r="CG121" i="3"/>
  <c r="CG201" i="3"/>
  <c r="CG213" i="3"/>
  <c r="CC91" i="3"/>
  <c r="BB93" i="3"/>
  <c r="BA93" i="3"/>
  <c r="BB114" i="3"/>
  <c r="BA114" i="3"/>
  <c r="CC193" i="3"/>
  <c r="CC149" i="3"/>
  <c r="CC174" i="3"/>
  <c r="CC122" i="3"/>
  <c r="CG130" i="3"/>
  <c r="AY135" i="3"/>
  <c r="AZ135" i="3" s="1"/>
  <c r="CB110" i="3"/>
  <c r="CG190" i="3"/>
  <c r="BZ123" i="3"/>
  <c r="CC113" i="3"/>
  <c r="CG92" i="3"/>
  <c r="CE190" i="3"/>
  <c r="CC203" i="3"/>
  <c r="AY184" i="3"/>
  <c r="AZ184" i="3" s="1"/>
  <c r="CH193" i="3"/>
  <c r="CB139" i="3"/>
  <c r="CD165" i="3"/>
  <c r="CE151" i="3"/>
  <c r="CE150" i="3"/>
  <c r="CE149" i="3"/>
  <c r="CA163" i="3"/>
  <c r="BZ158" i="3"/>
  <c r="CH118" i="3"/>
  <c r="CC181" i="3"/>
  <c r="CC199" i="3"/>
  <c r="CE213" i="3"/>
  <c r="CA130" i="3"/>
  <c r="CG118" i="3"/>
  <c r="CE134" i="3"/>
  <c r="AY214" i="3"/>
  <c r="CH169" i="3"/>
  <c r="CH114" i="3"/>
  <c r="BZ97" i="3"/>
  <c r="AY201" i="3"/>
  <c r="AZ201" i="3" s="1"/>
  <c r="BZ161" i="3"/>
  <c r="BZ157" i="3"/>
  <c r="CH191" i="3"/>
  <c r="BZ147" i="3"/>
  <c r="BZ144" i="3"/>
  <c r="BZ146" i="3"/>
  <c r="BZ136" i="3"/>
  <c r="BZ145" i="3"/>
  <c r="BZ183" i="3"/>
  <c r="BZ126" i="3"/>
  <c r="BY109" i="3"/>
  <c r="BY193" i="3"/>
  <c r="BZ122" i="3"/>
  <c r="BZ174" i="3"/>
  <c r="BZ149" i="3"/>
  <c r="AY185" i="3"/>
  <c r="AZ185" i="3" s="1"/>
  <c r="CG110" i="3"/>
  <c r="CA183" i="3"/>
  <c r="CA151" i="3"/>
  <c r="CA180" i="3"/>
  <c r="CA90" i="3"/>
  <c r="CA141" i="3"/>
  <c r="CA98" i="3"/>
  <c r="CG139" i="3"/>
  <c r="CE183" i="3"/>
  <c r="CE98" i="3"/>
  <c r="CE122" i="3"/>
  <c r="CE174" i="3"/>
  <c r="CE90" i="3"/>
  <c r="CE141" i="3"/>
  <c r="CE180" i="3"/>
  <c r="BZ129" i="3"/>
  <c r="AY115" i="3"/>
  <c r="AZ115" i="3" s="1"/>
  <c r="BY113" i="3"/>
  <c r="AY209" i="3"/>
  <c r="CF185" i="3"/>
  <c r="CC173" i="3"/>
  <c r="BZ184" i="3"/>
  <c r="AY173" i="3"/>
  <c r="AZ173" i="3" s="1"/>
  <c r="CE205" i="3"/>
  <c r="CD149" i="3"/>
  <c r="CD122" i="3"/>
  <c r="CD174" i="3"/>
  <c r="CD188" i="3"/>
  <c r="CE154" i="3"/>
  <c r="CE119" i="3"/>
  <c r="CF114" i="3"/>
  <c r="BB116" i="3"/>
  <c r="BA116" i="3"/>
  <c r="BB133" i="3"/>
  <c r="BA133" i="3"/>
  <c r="BB176" i="3"/>
  <c r="BA176" i="3"/>
  <c r="BB163" i="3"/>
  <c r="BA163" i="3"/>
  <c r="G14" i="6"/>
  <c r="D37" i="7" s="1"/>
  <c r="AY127" i="3"/>
  <c r="AZ127" i="3" s="1"/>
  <c r="CG137" i="3"/>
  <c r="BZ193" i="3"/>
  <c r="CE99" i="3"/>
  <c r="AY125" i="3"/>
  <c r="AZ125" i="3" s="1"/>
  <c r="CA129" i="3"/>
  <c r="CG207" i="3"/>
  <c r="CC161" i="3"/>
  <c r="CC157" i="3"/>
  <c r="CE127" i="3"/>
  <c r="BZ177" i="3"/>
  <c r="CI177" i="3" s="1"/>
  <c r="CJ177" i="3" s="1"/>
  <c r="CB215" i="3"/>
  <c r="CG204" i="3"/>
  <c r="BZ139" i="3"/>
  <c r="CB161" i="3"/>
  <c r="CH100" i="3"/>
  <c r="CB164" i="3"/>
  <c r="CB162" i="3"/>
  <c r="CG102" i="3"/>
  <c r="CC127" i="3"/>
  <c r="CG169" i="3"/>
  <c r="AY193" i="3"/>
  <c r="AZ193" i="3" s="1"/>
  <c r="CE170" i="3"/>
  <c r="C81" i="6"/>
  <c r="BZ194" i="3"/>
  <c r="CI194" i="3" s="1"/>
  <c r="CJ194" i="3" s="1"/>
  <c r="CD179" i="3"/>
  <c r="CA127" i="3"/>
  <c r="BB158" i="3"/>
  <c r="BA158" i="3"/>
  <c r="BY142" i="3"/>
  <c r="BZ109" i="3"/>
  <c r="BY182" i="3"/>
  <c r="B47" i="6"/>
  <c r="CA93" i="3"/>
  <c r="CG109" i="3"/>
  <c r="BZ202" i="3"/>
  <c r="AY151" i="3"/>
  <c r="AZ151" i="3" s="1"/>
  <c r="CA120" i="3"/>
  <c r="CG211" i="3"/>
  <c r="E55" i="3" s="1"/>
  <c r="AY155" i="3"/>
  <c r="AZ155" i="3" s="1"/>
  <c r="CH128" i="3"/>
  <c r="AY120" i="3"/>
  <c r="AZ120" i="3" s="1"/>
  <c r="CE158" i="3"/>
  <c r="CG117" i="3"/>
  <c r="BZ116" i="3"/>
  <c r="CE177" i="3"/>
  <c r="CE163" i="3"/>
  <c r="AY137" i="3"/>
  <c r="AZ137" i="3" s="1"/>
  <c r="AY128" i="3"/>
  <c r="AZ128" i="3" s="1"/>
  <c r="CC198" i="3"/>
  <c r="CG107" i="3"/>
  <c r="CF161" i="3"/>
  <c r="CC106" i="3"/>
  <c r="CC163" i="3"/>
  <c r="BY140" i="3"/>
  <c r="AY144" i="3"/>
  <c r="AZ144" i="3" s="1"/>
  <c r="BZ156" i="3"/>
  <c r="BY201" i="3"/>
  <c r="CC215" i="3"/>
  <c r="CF155" i="3"/>
  <c r="CC99" i="3"/>
  <c r="CG172" i="3"/>
  <c r="CD168" i="3"/>
  <c r="CE106" i="3"/>
  <c r="BZ117" i="3"/>
  <c r="CG159" i="3"/>
  <c r="CC165" i="3"/>
  <c r="CA164" i="3"/>
  <c r="CA182" i="3"/>
  <c r="AY210" i="3"/>
  <c r="AY91" i="3"/>
  <c r="AZ91" i="3" s="1"/>
  <c r="CG129" i="3"/>
  <c r="CH184" i="3"/>
  <c r="AY110" i="3"/>
  <c r="AZ110" i="3" s="1"/>
  <c r="BB164" i="3"/>
  <c r="BA164" i="3"/>
  <c r="BZ154" i="3"/>
  <c r="CC180" i="3"/>
  <c r="CC98" i="3"/>
  <c r="CC141" i="3"/>
  <c r="CC90" i="3"/>
  <c r="CC151" i="3"/>
  <c r="CC183" i="3"/>
  <c r="CC150" i="3"/>
  <c r="CC200" i="3"/>
  <c r="BB149" i="3"/>
  <c r="BA149" i="3"/>
  <c r="BY133" i="3"/>
  <c r="CC177" i="3"/>
  <c r="BZ204" i="3"/>
  <c r="CC130" i="3"/>
  <c r="BZ102" i="3"/>
  <c r="AY117" i="3"/>
  <c r="AZ117" i="3" s="1"/>
  <c r="CG140" i="3"/>
  <c r="CE196" i="3"/>
  <c r="CE186" i="3"/>
  <c r="CD112" i="3"/>
  <c r="CD145" i="3"/>
  <c r="CD146" i="3"/>
  <c r="CD148" i="3"/>
  <c r="CD144" i="3"/>
  <c r="CD152" i="3"/>
  <c r="CD147" i="3"/>
  <c r="CD136" i="3"/>
  <c r="CD160" i="3"/>
  <c r="CC107" i="3"/>
  <c r="CC96" i="3"/>
  <c r="CA190" i="3"/>
  <c r="BY128" i="3"/>
  <c r="CE207" i="3"/>
  <c r="CH165" i="3"/>
  <c r="CG113" i="3"/>
  <c r="AY205" i="3"/>
  <c r="AZ205" i="3" s="1"/>
  <c r="CB116" i="3"/>
  <c r="CB108" i="3"/>
  <c r="BY215" i="3"/>
  <c r="CE95" i="3"/>
  <c r="AY160" i="3"/>
  <c r="AZ160" i="3" s="1"/>
  <c r="CA196" i="3"/>
  <c r="CC148" i="3"/>
  <c r="CC112" i="3"/>
  <c r="CG157" i="3"/>
  <c r="BY147" i="3"/>
  <c r="BY146" i="3"/>
  <c r="BY148" i="3"/>
  <c r="BY150" i="3"/>
  <c r="BY126" i="3"/>
  <c r="BY136" i="3"/>
  <c r="BY112" i="3"/>
  <c r="BY145" i="3"/>
  <c r="BY152" i="3"/>
  <c r="BY144" i="3"/>
  <c r="CB154" i="3"/>
  <c r="CG197" i="3"/>
  <c r="AY90" i="3"/>
  <c r="AZ90" i="3" s="1"/>
  <c r="K7" i="6"/>
  <c r="E30" i="7" s="1"/>
  <c r="AY192" i="3"/>
  <c r="AZ192" i="3" s="1"/>
  <c r="CB207" i="3"/>
  <c r="CC118" i="3"/>
  <c r="AY203" i="3"/>
  <c r="AZ203" i="3" s="1"/>
  <c r="CG111" i="3"/>
  <c r="BZ208" i="3"/>
  <c r="AY148" i="3"/>
  <c r="AZ148" i="3" s="1"/>
  <c r="CG94" i="3"/>
  <c r="CC202" i="3"/>
  <c r="CG96" i="3"/>
  <c r="CE111" i="3"/>
  <c r="AY109" i="3"/>
  <c r="AZ109" i="3" s="1"/>
  <c r="CC139" i="3"/>
  <c r="CA160" i="3"/>
  <c r="CA152" i="3"/>
  <c r="CA112" i="3"/>
  <c r="CA136" i="3"/>
  <c r="BZ210" i="3"/>
  <c r="E72" i="6" s="1"/>
  <c r="CB163" i="3"/>
  <c r="CE162" i="3"/>
  <c r="BZ113" i="3"/>
  <c r="CE197" i="3"/>
  <c r="CH201" i="3"/>
  <c r="CG120" i="3"/>
  <c r="CB138" i="3"/>
  <c r="AY95" i="3"/>
  <c r="AZ95" i="3" s="1"/>
  <c r="CH119" i="3"/>
  <c r="CG210" i="3"/>
  <c r="E79" i="6" s="1"/>
  <c r="BZ130" i="3"/>
  <c r="AY107" i="3"/>
  <c r="AZ107" i="3" s="1"/>
  <c r="CA99" i="3"/>
  <c r="CF118" i="3"/>
  <c r="CA181" i="3"/>
  <c r="CG214" i="3"/>
  <c r="CE195" i="3"/>
  <c r="CD124" i="3"/>
  <c r="CF154" i="3"/>
  <c r="BZ96" i="3"/>
  <c r="CG91" i="3"/>
  <c r="CE159" i="3"/>
  <c r="CG144" i="3"/>
  <c r="CG126" i="3"/>
  <c r="CG150" i="3"/>
  <c r="CG148" i="3"/>
  <c r="CG146" i="3"/>
  <c r="CG152" i="3"/>
  <c r="CG147" i="3"/>
  <c r="CG136" i="3"/>
  <c r="CG112" i="3"/>
  <c r="CG145" i="3"/>
  <c r="CH121" i="3"/>
  <c r="AY143" i="3"/>
  <c r="AZ143" i="3" s="1"/>
  <c r="BY196" i="3"/>
  <c r="AY186" i="3"/>
  <c r="AZ186" i="3" s="1"/>
  <c r="BB187" i="3"/>
  <c r="BA187" i="3"/>
  <c r="K14" i="6"/>
  <c r="E37" i="7" s="1"/>
  <c r="G12" i="6"/>
  <c r="D35" i="7" s="1"/>
  <c r="AY170" i="3"/>
  <c r="AZ170" i="3" s="1"/>
  <c r="BB175" i="3"/>
  <c r="BA175" i="3"/>
  <c r="AY190" i="3"/>
  <c r="AZ190" i="3" s="1"/>
  <c r="CB159" i="3"/>
  <c r="CC189" i="3"/>
  <c r="AY123" i="3"/>
  <c r="AZ123" i="3" s="1"/>
  <c r="CC123" i="3"/>
  <c r="CC201" i="3"/>
  <c r="CC186" i="3"/>
  <c r="BZ209" i="3"/>
  <c r="BY127" i="3"/>
  <c r="BA102" i="3"/>
  <c r="BB102" i="3"/>
  <c r="AY165" i="3"/>
  <c r="AZ165" i="3" s="1"/>
  <c r="BB156" i="3"/>
  <c r="BA156" i="3"/>
  <c r="CA201" i="3"/>
  <c r="CC129" i="3"/>
  <c r="CG168" i="3"/>
  <c r="CG127" i="3"/>
  <c r="CE145" i="3"/>
  <c r="CE146" i="3"/>
  <c r="CE144" i="3"/>
  <c r="CE148" i="3"/>
  <c r="CE126" i="3"/>
  <c r="CD138" i="3"/>
  <c r="BZ197" i="3"/>
  <c r="CA192" i="3"/>
  <c r="AY140" i="3"/>
  <c r="AZ140" i="3" s="1"/>
  <c r="BZ106" i="3"/>
  <c r="AY199" i="3"/>
  <c r="AZ199" i="3" s="1"/>
  <c r="BZ153" i="3"/>
  <c r="CG179" i="3"/>
  <c r="CE140" i="3"/>
  <c r="CI166" i="3"/>
  <c r="CJ166" i="3" s="1"/>
  <c r="CD191" i="3"/>
  <c r="CG104" i="3"/>
  <c r="CE179" i="3"/>
  <c r="BY138" i="3"/>
  <c r="AY157" i="3"/>
  <c r="AZ157" i="3" s="1"/>
  <c r="BY157" i="3"/>
  <c r="CG196" i="3"/>
  <c r="L8" i="6"/>
  <c r="C58" i="3"/>
  <c r="C59" i="3"/>
  <c r="CB148" i="3"/>
  <c r="CB145" i="3"/>
  <c r="CB144" i="3"/>
  <c r="CB146" i="3"/>
  <c r="BY93" i="3"/>
  <c r="CC184" i="3"/>
  <c r="CG134" i="3"/>
  <c r="CG170" i="3"/>
  <c r="BZ151" i="3"/>
  <c r="BZ148" i="3"/>
  <c r="BZ150" i="3"/>
  <c r="BZ141" i="3"/>
  <c r="BZ160" i="3"/>
  <c r="BZ112" i="3"/>
  <c r="BZ152" i="3"/>
  <c r="CC156" i="3"/>
  <c r="CG154" i="3"/>
  <c r="CG165" i="3"/>
  <c r="BZ98" i="3"/>
  <c r="BZ90" i="3"/>
  <c r="BZ180" i="3"/>
  <c r="K12" i="6"/>
  <c r="E35" i="7" s="1"/>
  <c r="CC187" i="3"/>
  <c r="CB167" i="3"/>
  <c r="CC117" i="3"/>
  <c r="CF108" i="3"/>
  <c r="CH120" i="3"/>
  <c r="CE116" i="3"/>
  <c r="CE108" i="3"/>
  <c r="BZ103" i="3"/>
  <c r="CG188" i="3"/>
  <c r="CD155" i="3"/>
  <c r="CH113" i="3"/>
  <c r="CE172" i="3"/>
  <c r="CF135" i="3"/>
  <c r="CA137" i="3"/>
  <c r="CA162" i="3"/>
  <c r="AY94" i="3"/>
  <c r="AZ94" i="3" s="1"/>
  <c r="CC212" i="3"/>
  <c r="CF158" i="3"/>
  <c r="BZ121" i="3"/>
  <c r="CG192" i="3"/>
  <c r="CD185" i="3"/>
  <c r="CE178" i="3"/>
  <c r="CC207" i="3"/>
  <c r="BB204" i="3"/>
  <c r="BA204" i="3"/>
  <c r="BZ127" i="3"/>
  <c r="BY197" i="3"/>
  <c r="G15" i="6"/>
  <c r="D38" i="7" s="1"/>
  <c r="K10" i="6"/>
  <c r="E33" i="7" s="1"/>
  <c r="BY92" i="3"/>
  <c r="CB153" i="3"/>
  <c r="CH187" i="3"/>
  <c r="CG142" i="3"/>
  <c r="BZ108" i="3"/>
  <c r="CG138" i="3"/>
  <c r="BY91" i="3"/>
  <c r="BB169" i="3"/>
  <c r="AY178" i="3"/>
  <c r="AZ178" i="3" s="1"/>
  <c r="CC196" i="3"/>
  <c r="CG103" i="3"/>
  <c r="CF152" i="3"/>
  <c r="CF160" i="3"/>
  <c r="CF112" i="3"/>
  <c r="CF148" i="3"/>
  <c r="BZ101" i="3"/>
  <c r="BZ214" i="3"/>
  <c r="CI214" i="3" s="1"/>
  <c r="CA158" i="3"/>
  <c r="BY200" i="3"/>
  <c r="CC111" i="3"/>
  <c r="CF189" i="3"/>
  <c r="E47" i="3"/>
  <c r="CC97" i="3"/>
  <c r="CE198" i="3"/>
  <c r="CC182" i="3"/>
  <c r="CG185" i="3"/>
  <c r="CD151" i="3"/>
  <c r="CD150" i="3"/>
  <c r="CD126" i="3"/>
  <c r="CD141" i="3"/>
  <c r="CD183" i="3"/>
  <c r="BY139" i="3"/>
  <c r="BZ171" i="3"/>
  <c r="CI171" i="3" s="1"/>
  <c r="CJ171" i="3" s="1"/>
  <c r="CF170" i="3"/>
  <c r="CG128" i="3"/>
  <c r="CH133" i="3"/>
  <c r="BZ190" i="3"/>
  <c r="AY194" i="3"/>
  <c r="AZ194" i="3" s="1"/>
  <c r="CH117" i="3"/>
  <c r="CC134" i="3"/>
  <c r="CG153" i="3"/>
  <c r="CD137" i="3"/>
  <c r="BZ173" i="3"/>
  <c r="G7" i="6"/>
  <c r="D30" i="7" s="1"/>
  <c r="CG97" i="3"/>
  <c r="BZ212" i="3"/>
  <c r="CC94" i="3"/>
  <c r="CC95" i="3"/>
  <c r="BZ105" i="3"/>
  <c r="CI105" i="3" s="1"/>
  <c r="CJ105" i="3" s="1"/>
  <c r="BZ188" i="3"/>
  <c r="K11" i="6"/>
  <c r="E34" i="7" s="1"/>
  <c r="BZ159" i="3"/>
  <c r="AY147" i="3"/>
  <c r="AZ147" i="3" s="1"/>
  <c r="BZ206" i="3"/>
  <c r="CI206" i="3" s="1"/>
  <c r="CJ206" i="3" s="1"/>
  <c r="CA191" i="3"/>
  <c r="BZ189" i="3"/>
  <c r="CH182" i="3"/>
  <c r="CG132" i="3"/>
  <c r="CB214" i="3"/>
  <c r="AY145" i="3"/>
  <c r="AZ145" i="3" s="1"/>
  <c r="CB156" i="3"/>
  <c r="BY110" i="3"/>
  <c r="BZ135" i="3"/>
  <c r="BZ201" i="3"/>
  <c r="BZ213" i="3"/>
  <c r="CI213" i="3" s="1"/>
  <c r="AY172" i="3"/>
  <c r="AZ172" i="3" s="1"/>
  <c r="CG115" i="3"/>
  <c r="CF151" i="3"/>
  <c r="CF141" i="3"/>
  <c r="CF180" i="3"/>
  <c r="CF98" i="3"/>
  <c r="CF183" i="3"/>
  <c r="CF126" i="3"/>
  <c r="CF90" i="3"/>
  <c r="CF150" i="3"/>
  <c r="CE168" i="3"/>
  <c r="BY119" i="3"/>
  <c r="AY126" i="3"/>
  <c r="AZ126" i="3" s="1"/>
  <c r="CE189" i="3"/>
  <c r="BZ192" i="3"/>
  <c r="BY129" i="3"/>
  <c r="CH104" i="3"/>
  <c r="CA161" i="3"/>
  <c r="CG100" i="3"/>
  <c r="CI100" i="3" s="1"/>
  <c r="CJ100" i="3" s="1"/>
  <c r="BY130" i="3"/>
  <c r="BY117" i="3"/>
  <c r="CE142" i="3"/>
  <c r="BY97" i="3"/>
  <c r="CH99" i="3"/>
  <c r="AY132" i="3"/>
  <c r="AZ132" i="3" s="1"/>
  <c r="BY181" i="3"/>
  <c r="CH150" i="3"/>
  <c r="CH126" i="3"/>
  <c r="CH183" i="3"/>
  <c r="CH141" i="3"/>
  <c r="CH90" i="3"/>
  <c r="CH180" i="3"/>
  <c r="CH98" i="3"/>
  <c r="CH151" i="3"/>
  <c r="CG184" i="3"/>
  <c r="G10" i="6"/>
  <c r="CB143" i="3"/>
  <c r="CH130" i="3"/>
  <c r="BB101" i="3"/>
  <c r="BA101" i="3"/>
  <c r="CG141" i="3"/>
  <c r="CG180" i="3"/>
  <c r="CG151" i="3"/>
  <c r="CG183" i="3"/>
  <c r="CG90" i="3"/>
  <c r="CG98" i="3"/>
  <c r="BY114" i="3"/>
  <c r="CB135" i="3"/>
  <c r="BY108" i="3"/>
  <c r="AY138" i="3"/>
  <c r="AZ138" i="3" s="1"/>
  <c r="CH91" i="3"/>
  <c r="AY153" i="3"/>
  <c r="AZ153" i="3" s="1"/>
  <c r="CH196" i="3"/>
  <c r="BZ179" i="3"/>
  <c r="CC131" i="3"/>
  <c r="CG198" i="3"/>
  <c r="CF144" i="3"/>
  <c r="CF145" i="3"/>
  <c r="CF146" i="3"/>
  <c r="CF136" i="3"/>
  <c r="CF147" i="3"/>
  <c r="BY118" i="3"/>
  <c r="CG124" i="3"/>
  <c r="CB111" i="3"/>
  <c r="K13" i="6"/>
  <c r="E36" i="7" s="1"/>
  <c r="CB157" i="3"/>
  <c r="CG205" i="3"/>
  <c r="CB137" i="3"/>
  <c r="BZ111" i="3"/>
  <c r="CB209" i="3"/>
  <c r="AY105" i="3"/>
  <c r="AZ105" i="3" s="1"/>
  <c r="CD90" i="3"/>
  <c r="CD180" i="3"/>
  <c r="CD98" i="3"/>
  <c r="CC140" i="3"/>
  <c r="CF143" i="3"/>
  <c r="CH181" i="3"/>
  <c r="BY183" i="3"/>
  <c r="BY180" i="3"/>
  <c r="BY90" i="3"/>
  <c r="BY141" i="3"/>
  <c r="BY98" i="3"/>
  <c r="BY151" i="3"/>
  <c r="BY134" i="3"/>
  <c r="CH92" i="3"/>
  <c r="BY135" i="3"/>
  <c r="G13" i="6"/>
  <c r="D36" i="7" s="1"/>
  <c r="CH200" i="3"/>
  <c r="BY202" i="3"/>
  <c r="BY115" i="3"/>
  <c r="AY215" i="3"/>
  <c r="CH134" i="3"/>
  <c r="CH163" i="3"/>
  <c r="CB168" i="3"/>
  <c r="CG163" i="3"/>
  <c r="CC125" i="3"/>
  <c r="CI125" i="3" s="1"/>
  <c r="CJ125" i="3" s="1"/>
  <c r="AY162" i="3"/>
  <c r="AZ162" i="3" s="1"/>
  <c r="CC213" i="3"/>
  <c r="CE92" i="3"/>
  <c r="BY189" i="3"/>
  <c r="CC158" i="3"/>
  <c r="CE132" i="3"/>
  <c r="CF127" i="3"/>
  <c r="CE182" i="3"/>
  <c r="CD164" i="3"/>
  <c r="AY197" i="3"/>
  <c r="AZ197" i="3" s="1"/>
  <c r="AY180" i="3"/>
  <c r="AZ180" i="3" s="1"/>
  <c r="AY182" i="3"/>
  <c r="AZ182" i="3" s="1"/>
  <c r="CF93" i="3"/>
  <c r="AY207" i="3"/>
  <c r="AY119" i="3"/>
  <c r="AZ119" i="3" s="1"/>
  <c r="BZ131" i="3"/>
  <c r="AY106" i="3"/>
  <c r="AZ106" i="3" s="1"/>
  <c r="AY206" i="3"/>
  <c r="AZ206" i="3" s="1"/>
  <c r="CG176" i="3"/>
  <c r="CD115" i="3"/>
  <c r="CG131" i="3"/>
  <c r="BY184" i="3"/>
  <c r="BZ199" i="3"/>
  <c r="CI199" i="3" s="1"/>
  <c r="CJ199" i="3" s="1"/>
  <c r="CD195" i="3"/>
  <c r="CG206" i="3"/>
  <c r="BZ182" i="3"/>
  <c r="CF113" i="3"/>
  <c r="G8" i="6"/>
  <c r="D31" i="7" s="1"/>
  <c r="BB181" i="3"/>
  <c r="BA181" i="3"/>
  <c r="CH97" i="3"/>
  <c r="CB147" i="3"/>
  <c r="CB112" i="3"/>
  <c r="CB160" i="3"/>
  <c r="CB152" i="3"/>
  <c r="CB136" i="3"/>
  <c r="AY122" i="3"/>
  <c r="AZ122" i="3" s="1"/>
  <c r="BB141" i="3"/>
  <c r="BA141" i="3"/>
  <c r="AY168" i="3"/>
  <c r="AZ168" i="3" s="1"/>
  <c r="CG182" i="3"/>
  <c r="CB213" i="3"/>
  <c r="CH167" i="3"/>
  <c r="CE112" i="3"/>
  <c r="CE147" i="3"/>
  <c r="CE136" i="3"/>
  <c r="CE160" i="3"/>
  <c r="CE152" i="3"/>
  <c r="CF164" i="3"/>
  <c r="AY96" i="3"/>
  <c r="AZ96" i="3" s="1"/>
  <c r="CG108" i="3"/>
  <c r="CD99" i="3"/>
  <c r="CD161" i="3"/>
  <c r="AY103" i="3"/>
  <c r="AZ103" i="3" s="1"/>
  <c r="CC138" i="3"/>
  <c r="BY156" i="3"/>
  <c r="CC132" i="3"/>
  <c r="CF115" i="3"/>
  <c r="BZ128" i="3"/>
  <c r="CD116" i="3"/>
  <c r="CD108" i="3"/>
  <c r="BY192" i="3"/>
  <c r="AY198" i="3"/>
  <c r="AZ198" i="3" s="1"/>
  <c r="AY154" i="3"/>
  <c r="AZ154" i="3" s="1"/>
  <c r="CH142" i="3"/>
  <c r="CH129" i="3"/>
  <c r="AY159" i="3"/>
  <c r="AZ159" i="3" s="1"/>
  <c r="CG114" i="3"/>
  <c r="CF104" i="3"/>
  <c r="CC172" i="3"/>
  <c r="CB212" i="3"/>
  <c r="CI103" i="3"/>
  <c r="CJ103" i="3" s="1"/>
  <c r="G9" i="6"/>
  <c r="D32" i="7" s="1"/>
  <c r="BB171" i="3"/>
  <c r="BA171" i="3"/>
  <c r="CH197" i="3"/>
  <c r="CH202" i="3"/>
  <c r="BZ178" i="3"/>
  <c r="AY200" i="3"/>
  <c r="AZ200" i="3" s="1"/>
  <c r="BY94" i="3"/>
  <c r="BB183" i="3"/>
  <c r="BA183" i="3"/>
  <c r="BZ198" i="3"/>
  <c r="CC192" i="3"/>
  <c r="CB170" i="3"/>
  <c r="BZ195" i="3"/>
  <c r="CB169" i="3"/>
  <c r="BB189" i="3"/>
  <c r="BA189" i="3"/>
  <c r="BY185" i="3"/>
  <c r="CH203" i="3"/>
  <c r="CA133" i="3"/>
  <c r="CH190" i="3"/>
  <c r="CE202" i="3"/>
  <c r="CG99" i="3"/>
  <c r="CC197" i="3"/>
  <c r="BY116" i="3"/>
  <c r="CG164" i="3"/>
  <c r="CB211" i="3"/>
  <c r="E50" i="3" s="1"/>
  <c r="BZ207" i="3"/>
  <c r="CE117" i="3"/>
  <c r="AY177" i="3"/>
  <c r="AZ177" i="3" s="1"/>
  <c r="CC128" i="3"/>
  <c r="AY129" i="3"/>
  <c r="AZ129" i="3" s="1"/>
  <c r="CG116" i="3"/>
  <c r="CC114" i="3"/>
  <c r="AY142" i="3"/>
  <c r="AZ142" i="3" s="1"/>
  <c r="BZ211" i="3"/>
  <c r="E48" i="3" s="1"/>
  <c r="CH140" i="3"/>
  <c r="BZ176" i="3"/>
  <c r="CA144" i="3"/>
  <c r="CA146" i="3"/>
  <c r="CA145" i="3"/>
  <c r="CA126" i="3"/>
  <c r="CA150" i="3"/>
  <c r="CA148" i="3"/>
  <c r="CA147" i="3"/>
  <c r="CC190" i="3"/>
  <c r="CH185" i="3"/>
  <c r="CA187" i="3"/>
  <c r="CD127" i="3"/>
  <c r="K9" i="6"/>
  <c r="E32" i="7" s="1"/>
  <c r="CC121" i="3"/>
  <c r="CC162" i="3"/>
  <c r="BZ203" i="3"/>
  <c r="CE93" i="3"/>
  <c r="CF120" i="3"/>
  <c r="CC168" i="3"/>
  <c r="AY118" i="3"/>
  <c r="AZ118" i="3" s="1"/>
  <c r="BZ114" i="3"/>
  <c r="CH192" i="3"/>
  <c r="BZ138" i="3"/>
  <c r="AY146" i="3"/>
  <c r="AZ146" i="3" s="1"/>
  <c r="BZ181" i="3"/>
  <c r="CF159" i="3"/>
  <c r="CC124" i="3"/>
  <c r="BZ137" i="3"/>
  <c r="BY161" i="3"/>
  <c r="CD170" i="3"/>
  <c r="CD142" i="3"/>
  <c r="CI191" i="3" l="1"/>
  <c r="CJ191" i="3" s="1"/>
  <c r="CI186" i="3"/>
  <c r="CJ186" i="3" s="1"/>
  <c r="CI124" i="3"/>
  <c r="CJ124" i="3" s="1"/>
  <c r="CI169" i="3"/>
  <c r="CJ169" i="3" s="1"/>
  <c r="CI195" i="3"/>
  <c r="CJ195" i="3" s="1"/>
  <c r="CI172" i="3"/>
  <c r="CJ172" i="3" s="1"/>
  <c r="CI167" i="3"/>
  <c r="CJ167" i="3" s="1"/>
  <c r="CI121" i="3"/>
  <c r="CJ121" i="3" s="1"/>
  <c r="CI95" i="3"/>
  <c r="CJ95" i="3" s="1"/>
  <c r="CI107" i="3"/>
  <c r="CJ107" i="3" s="1"/>
  <c r="CI204" i="3"/>
  <c r="CJ204" i="3" s="1"/>
  <c r="CK204" i="3" s="1"/>
  <c r="CI104" i="3"/>
  <c r="CJ104" i="3" s="1"/>
  <c r="CI176" i="3"/>
  <c r="CJ176" i="3" s="1"/>
  <c r="CK176" i="3" s="1"/>
  <c r="CI168" i="3"/>
  <c r="CJ168" i="3" s="1"/>
  <c r="CK168" i="3" s="1"/>
  <c r="CI165" i="3"/>
  <c r="CJ165" i="3" s="1"/>
  <c r="CL165" i="3" s="1"/>
  <c r="CI161" i="3"/>
  <c r="CJ161" i="3" s="1"/>
  <c r="CI205" i="3"/>
  <c r="CJ205" i="3" s="1"/>
  <c r="CI132" i="3"/>
  <c r="CJ132" i="3" s="1"/>
  <c r="CL132" i="3" s="1"/>
  <c r="CI110" i="3"/>
  <c r="CJ110" i="3" s="1"/>
  <c r="CI212" i="3"/>
  <c r="CI139" i="3"/>
  <c r="CJ139" i="3" s="1"/>
  <c r="CI101" i="3"/>
  <c r="CJ101" i="3" s="1"/>
  <c r="CI162" i="3"/>
  <c r="CJ162" i="3" s="1"/>
  <c r="CL162" i="3" s="1"/>
  <c r="CI160" i="3"/>
  <c r="CJ160" i="3" s="1"/>
  <c r="CI187" i="3"/>
  <c r="CJ187" i="3" s="1"/>
  <c r="CI156" i="3"/>
  <c r="CJ156" i="3" s="1"/>
  <c r="CL156" i="3" s="1"/>
  <c r="CI149" i="3"/>
  <c r="CJ149" i="3" s="1"/>
  <c r="CI158" i="3"/>
  <c r="CJ158" i="3" s="1"/>
  <c r="CL158" i="3" s="1"/>
  <c r="CI174" i="3"/>
  <c r="CJ174" i="3" s="1"/>
  <c r="CL174" i="3" s="1"/>
  <c r="CI170" i="3"/>
  <c r="CJ170" i="3" s="1"/>
  <c r="CK170" i="3" s="1"/>
  <c r="CI164" i="3"/>
  <c r="CJ164" i="3" s="1"/>
  <c r="CL164" i="3" s="1"/>
  <c r="CI122" i="3"/>
  <c r="CJ122" i="3" s="1"/>
  <c r="CL122" i="3" s="1"/>
  <c r="CI106" i="3"/>
  <c r="CJ106" i="3" s="1"/>
  <c r="CL106" i="3" s="1"/>
  <c r="CI188" i="3"/>
  <c r="CJ188" i="3" s="1"/>
  <c r="CI193" i="3"/>
  <c r="CJ193" i="3" s="1"/>
  <c r="CL193" i="3" s="1"/>
  <c r="CI99" i="3"/>
  <c r="CJ99" i="3" s="1"/>
  <c r="CI198" i="3"/>
  <c r="CJ198" i="3" s="1"/>
  <c r="CI179" i="3"/>
  <c r="CJ179" i="3" s="1"/>
  <c r="CL179" i="3" s="1"/>
  <c r="CI173" i="3"/>
  <c r="CJ173" i="3" s="1"/>
  <c r="CL173" i="3" s="1"/>
  <c r="CI153" i="3"/>
  <c r="CJ153" i="3" s="1"/>
  <c r="CL153" i="3" s="1"/>
  <c r="CI207" i="3"/>
  <c r="W7" i="6" s="1"/>
  <c r="H30" i="7" s="1"/>
  <c r="CI120" i="3"/>
  <c r="CJ120" i="3" s="1"/>
  <c r="CL120" i="3" s="1"/>
  <c r="CI117" i="3"/>
  <c r="CJ117" i="3" s="1"/>
  <c r="CI94" i="3"/>
  <c r="CJ94" i="3" s="1"/>
  <c r="CK94" i="3" s="1"/>
  <c r="CI151" i="3"/>
  <c r="CJ151" i="3" s="1"/>
  <c r="CL151" i="3" s="1"/>
  <c r="CI209" i="3"/>
  <c r="W9" i="6" s="1"/>
  <c r="H32" i="7" s="1"/>
  <c r="CI137" i="3"/>
  <c r="CJ137" i="3" s="1"/>
  <c r="CL137" i="3" s="1"/>
  <c r="CI203" i="3"/>
  <c r="CJ203" i="3" s="1"/>
  <c r="CL203" i="3" s="1"/>
  <c r="CI131" i="3"/>
  <c r="CJ131" i="3" s="1"/>
  <c r="CI159" i="3"/>
  <c r="CJ159" i="3" s="1"/>
  <c r="CL159" i="3" s="1"/>
  <c r="CI91" i="3"/>
  <c r="CJ91" i="3" s="1"/>
  <c r="CL91" i="3" s="1"/>
  <c r="CI123" i="3"/>
  <c r="CJ123" i="3" s="1"/>
  <c r="CK123" i="3" s="1"/>
  <c r="CI178" i="3"/>
  <c r="CJ178" i="3" s="1"/>
  <c r="CI96" i="3"/>
  <c r="CJ96" i="3" s="1"/>
  <c r="CI163" i="3"/>
  <c r="CJ163" i="3" s="1"/>
  <c r="CL163" i="3" s="1"/>
  <c r="CI102" i="3"/>
  <c r="CJ102" i="3" s="1"/>
  <c r="CK102" i="3" s="1"/>
  <c r="B56" i="5"/>
  <c r="B58" i="5"/>
  <c r="B59" i="5"/>
  <c r="B60" i="5"/>
  <c r="B61" i="5"/>
  <c r="B62" i="5"/>
  <c r="B64" i="5"/>
  <c r="B65" i="5"/>
  <c r="B66" i="5"/>
  <c r="B55" i="5"/>
  <c r="B57" i="5"/>
  <c r="B52" i="5"/>
  <c r="B53" i="5"/>
  <c r="B54" i="5"/>
  <c r="B63" i="5"/>
  <c r="B19" i="2"/>
  <c r="E5" i="7" s="1"/>
  <c r="B16" i="2"/>
  <c r="B36" i="2"/>
  <c r="C37" i="2"/>
  <c r="C46" i="6"/>
  <c r="D33" i="7"/>
  <c r="W14" i="6"/>
  <c r="H37" i="7" s="1"/>
  <c r="CJ214" i="3"/>
  <c r="CL123" i="3"/>
  <c r="W12" i="6"/>
  <c r="H35" i="7" s="1"/>
  <c r="CJ212" i="3"/>
  <c r="CL101" i="3"/>
  <c r="CK101" i="3"/>
  <c r="CL102" i="3"/>
  <c r="CL194" i="3"/>
  <c r="CK194" i="3"/>
  <c r="CL177" i="3"/>
  <c r="CK177" i="3"/>
  <c r="CL188" i="3"/>
  <c r="CK188" i="3"/>
  <c r="CL125" i="3"/>
  <c r="CK125" i="3"/>
  <c r="CL187" i="3"/>
  <c r="CK187" i="3"/>
  <c r="CK153" i="3"/>
  <c r="CK162" i="3"/>
  <c r="CL96" i="3"/>
  <c r="CK96" i="3"/>
  <c r="CL149" i="3"/>
  <c r="CK149" i="3"/>
  <c r="CL131" i="3"/>
  <c r="CK131" i="3"/>
  <c r="CL178" i="3"/>
  <c r="CK178" i="3"/>
  <c r="CL160" i="3"/>
  <c r="CK160" i="3"/>
  <c r="CL175" i="3"/>
  <c r="CK175" i="3"/>
  <c r="CL100" i="3"/>
  <c r="CK100" i="3"/>
  <c r="CK173" i="3"/>
  <c r="CL105" i="3"/>
  <c r="CK105" i="3"/>
  <c r="CL186" i="3"/>
  <c r="CK186" i="3"/>
  <c r="CL195" i="3"/>
  <c r="CK195" i="3"/>
  <c r="CL198" i="3"/>
  <c r="CK198" i="3"/>
  <c r="CL171" i="3"/>
  <c r="CK171" i="3"/>
  <c r="CL199" i="3"/>
  <c r="CK199" i="3"/>
  <c r="CL99" i="3"/>
  <c r="CK99" i="3"/>
  <c r="CL205" i="3"/>
  <c r="CK205" i="3"/>
  <c r="BB192" i="3"/>
  <c r="BA192" i="3"/>
  <c r="CL169" i="3"/>
  <c r="CK169" i="3"/>
  <c r="T12" i="6"/>
  <c r="T8" i="6"/>
  <c r="CL172" i="3"/>
  <c r="CK172" i="3"/>
  <c r="CI184" i="3"/>
  <c r="CJ184" i="3" s="1"/>
  <c r="BB182" i="3"/>
  <c r="BA182" i="3"/>
  <c r="CI189" i="3"/>
  <c r="CJ189" i="3" s="1"/>
  <c r="CI114" i="3"/>
  <c r="CJ114" i="3" s="1"/>
  <c r="CI119" i="3"/>
  <c r="CJ119" i="3" s="1"/>
  <c r="BB172" i="3"/>
  <c r="BA172" i="3"/>
  <c r="N8" i="6"/>
  <c r="M8" i="6"/>
  <c r="AB8" i="6" s="1"/>
  <c r="BB205" i="3"/>
  <c r="BA205" i="3"/>
  <c r="C82" i="6"/>
  <c r="BB188" i="3"/>
  <c r="BA188" i="3"/>
  <c r="CL124" i="3"/>
  <c r="CK124" i="3"/>
  <c r="BB159" i="3"/>
  <c r="BA159" i="3"/>
  <c r="CK156" i="3"/>
  <c r="L12" i="6"/>
  <c r="BB107" i="3"/>
  <c r="BA107" i="3"/>
  <c r="CI144" i="3"/>
  <c r="CJ144" i="3" s="1"/>
  <c r="H14" i="6"/>
  <c r="BB100" i="3"/>
  <c r="BA100" i="3"/>
  <c r="H11" i="6"/>
  <c r="BB129" i="3"/>
  <c r="BA129" i="3"/>
  <c r="L13" i="6"/>
  <c r="CI182" i="3"/>
  <c r="CJ182" i="3" s="1"/>
  <c r="BA177" i="3"/>
  <c r="BB177" i="3"/>
  <c r="BB197" i="3"/>
  <c r="BA197" i="3"/>
  <c r="CI130" i="3"/>
  <c r="CJ130" i="3" s="1"/>
  <c r="CI157" i="3"/>
  <c r="CJ157" i="3" s="1"/>
  <c r="L14" i="6"/>
  <c r="K16" i="6"/>
  <c r="L7" i="6"/>
  <c r="CI145" i="3"/>
  <c r="CJ145" i="3" s="1"/>
  <c r="BB155" i="3"/>
  <c r="BA155" i="3"/>
  <c r="BB193" i="3"/>
  <c r="BA193" i="3"/>
  <c r="S9" i="6"/>
  <c r="G32" i="7" s="1"/>
  <c r="AZ209" i="3"/>
  <c r="CI111" i="3"/>
  <c r="CJ111" i="3" s="1"/>
  <c r="BB213" i="3"/>
  <c r="BA213" i="3"/>
  <c r="H13" i="6"/>
  <c r="CK110" i="3"/>
  <c r="CL110" i="3"/>
  <c r="CI92" i="3"/>
  <c r="CJ92" i="3" s="1"/>
  <c r="BA94" i="3"/>
  <c r="BB94" i="3"/>
  <c r="BB90" i="3"/>
  <c r="BA90" i="3"/>
  <c r="CI112" i="3"/>
  <c r="CJ112" i="3" s="1"/>
  <c r="CI143" i="3"/>
  <c r="CJ143" i="3" s="1"/>
  <c r="T13" i="6"/>
  <c r="BB126" i="3"/>
  <c r="BA126" i="3"/>
  <c r="W13" i="6"/>
  <c r="H36" i="7" s="1"/>
  <c r="CJ213" i="3"/>
  <c r="CL161" i="3"/>
  <c r="CK161" i="3"/>
  <c r="CI152" i="3"/>
  <c r="CJ152" i="3" s="1"/>
  <c r="CL176" i="3"/>
  <c r="BB199" i="3"/>
  <c r="BA199" i="3"/>
  <c r="CI185" i="3"/>
  <c r="CJ185" i="3" s="1"/>
  <c r="BB154" i="3"/>
  <c r="BA154" i="3"/>
  <c r="BB103" i="3"/>
  <c r="BA103" i="3"/>
  <c r="BB157" i="3"/>
  <c r="BA157" i="3"/>
  <c r="BB190" i="3"/>
  <c r="BA190" i="3"/>
  <c r="CI136" i="3"/>
  <c r="CJ136" i="3" s="1"/>
  <c r="BB128" i="3"/>
  <c r="BA128" i="3"/>
  <c r="CI109" i="3"/>
  <c r="CJ109" i="3" s="1"/>
  <c r="S14" i="6"/>
  <c r="G37" i="7" s="1"/>
  <c r="AZ214" i="3"/>
  <c r="BB211" i="3"/>
  <c r="BA211" i="3"/>
  <c r="CI190" i="3"/>
  <c r="CJ190" i="3" s="1"/>
  <c r="T11" i="6"/>
  <c r="BB118" i="3"/>
  <c r="BA118" i="3"/>
  <c r="CL103" i="3"/>
  <c r="CK103" i="3"/>
  <c r="CL167" i="3"/>
  <c r="CK167" i="3"/>
  <c r="CL104" i="3"/>
  <c r="CK104" i="3"/>
  <c r="CL117" i="3"/>
  <c r="CK117" i="3"/>
  <c r="BB198" i="3"/>
  <c r="BA198" i="3"/>
  <c r="CL206" i="3"/>
  <c r="CK206" i="3"/>
  <c r="BB148" i="3"/>
  <c r="BA148" i="3"/>
  <c r="CI126" i="3"/>
  <c r="CJ126" i="3" s="1"/>
  <c r="CI201" i="3"/>
  <c r="CJ201" i="3" s="1"/>
  <c r="L9" i="6"/>
  <c r="BB200" i="3"/>
  <c r="BA200" i="3"/>
  <c r="CI192" i="3"/>
  <c r="CJ192" i="3" s="1"/>
  <c r="BB106" i="3"/>
  <c r="BA106" i="3"/>
  <c r="CI134" i="3"/>
  <c r="CJ134" i="3" s="1"/>
  <c r="G16" i="6"/>
  <c r="H7" i="6"/>
  <c r="E57" i="3"/>
  <c r="W8" i="6"/>
  <c r="H31" i="7" s="1"/>
  <c r="CJ208" i="3"/>
  <c r="BB140" i="3"/>
  <c r="BA140" i="3"/>
  <c r="CI150" i="3"/>
  <c r="CJ150" i="3" s="1"/>
  <c r="BB137" i="3"/>
  <c r="BA137" i="3"/>
  <c r="CI142" i="3"/>
  <c r="CJ142" i="3" s="1"/>
  <c r="CI113" i="3"/>
  <c r="CJ113" i="3" s="1"/>
  <c r="H12" i="6"/>
  <c r="H10" i="6"/>
  <c r="BB194" i="3"/>
  <c r="BA194" i="3"/>
  <c r="S15" i="6"/>
  <c r="G38" i="7" s="1"/>
  <c r="AZ215" i="3"/>
  <c r="CI138" i="3"/>
  <c r="CJ138" i="3" s="1"/>
  <c r="CI115" i="3"/>
  <c r="CJ115" i="3" s="1"/>
  <c r="BA153" i="3"/>
  <c r="BB153" i="3"/>
  <c r="BB147" i="3"/>
  <c r="BA147" i="3"/>
  <c r="CI211" i="3"/>
  <c r="L10" i="6"/>
  <c r="BB95" i="3"/>
  <c r="BA95" i="3"/>
  <c r="CI148" i="3"/>
  <c r="CJ148" i="3" s="1"/>
  <c r="CI128" i="3"/>
  <c r="CJ128" i="3" s="1"/>
  <c r="BB115" i="3"/>
  <c r="BA115" i="3"/>
  <c r="BB124" i="3"/>
  <c r="BA124" i="3"/>
  <c r="BB206" i="3"/>
  <c r="BA206" i="3"/>
  <c r="CL191" i="3"/>
  <c r="CK191" i="3"/>
  <c r="CI98" i="3"/>
  <c r="CJ98" i="3" s="1"/>
  <c r="BB105" i="3"/>
  <c r="BA105" i="3"/>
  <c r="CL121" i="3"/>
  <c r="CK121" i="3"/>
  <c r="BB168" i="3"/>
  <c r="BA168" i="3"/>
  <c r="CL95" i="3"/>
  <c r="CK95" i="3"/>
  <c r="BB162" i="3"/>
  <c r="BA162" i="3"/>
  <c r="CI202" i="3"/>
  <c r="CJ202" i="3" s="1"/>
  <c r="CI141" i="3"/>
  <c r="CJ141" i="3" s="1"/>
  <c r="BB138" i="3"/>
  <c r="BA138" i="3"/>
  <c r="CI181" i="3"/>
  <c r="CJ181" i="3" s="1"/>
  <c r="BB145" i="3"/>
  <c r="BA145" i="3"/>
  <c r="BB165" i="3"/>
  <c r="BA165" i="3"/>
  <c r="BB186" i="3"/>
  <c r="BA186" i="3"/>
  <c r="CI147" i="3"/>
  <c r="CJ147" i="3" s="1"/>
  <c r="BB160" i="3"/>
  <c r="BA160" i="3"/>
  <c r="BA185" i="3"/>
  <c r="BB185" i="3"/>
  <c r="CI155" i="3"/>
  <c r="CJ155" i="3" s="1"/>
  <c r="E56" i="6"/>
  <c r="BB132" i="3"/>
  <c r="BA132" i="3"/>
  <c r="BB178" i="3"/>
  <c r="BA178" i="3"/>
  <c r="BB170" i="3"/>
  <c r="BA170" i="3"/>
  <c r="CI196" i="3"/>
  <c r="CJ196" i="3" s="1"/>
  <c r="CI133" i="3"/>
  <c r="CJ133" i="3" s="1"/>
  <c r="H8" i="6"/>
  <c r="CI118" i="3"/>
  <c r="CJ118" i="3" s="1"/>
  <c r="CI129" i="3"/>
  <c r="CJ129" i="3" s="1"/>
  <c r="BB142" i="3"/>
  <c r="BA142" i="3"/>
  <c r="BB96" i="3"/>
  <c r="BA96" i="3"/>
  <c r="BB123" i="3"/>
  <c r="BA123" i="3"/>
  <c r="BB109" i="3"/>
  <c r="BA109" i="3"/>
  <c r="BB203" i="3"/>
  <c r="BA203" i="3"/>
  <c r="CI215" i="3"/>
  <c r="BB91" i="3"/>
  <c r="BA91" i="3"/>
  <c r="BB151" i="3"/>
  <c r="BA151" i="3"/>
  <c r="BB125" i="3"/>
  <c r="BA125" i="3"/>
  <c r="BB135" i="3"/>
  <c r="BA135" i="3"/>
  <c r="E81" i="6"/>
  <c r="L15" i="6"/>
  <c r="B33" i="5" a="1"/>
  <c r="CI93" i="3"/>
  <c r="CJ93" i="3" s="1"/>
  <c r="BB146" i="3"/>
  <c r="BA146" i="3"/>
  <c r="CI116" i="3"/>
  <c r="CJ116" i="3" s="1"/>
  <c r="CI108" i="3"/>
  <c r="CJ108" i="3" s="1"/>
  <c r="S7" i="6"/>
  <c r="G30" i="7" s="1"/>
  <c r="AZ207" i="3"/>
  <c r="CI180" i="3"/>
  <c r="CJ180" i="3" s="1"/>
  <c r="CI135" i="3"/>
  <c r="CJ135" i="3" s="1"/>
  <c r="CI183" i="3"/>
  <c r="CJ183" i="3" s="1"/>
  <c r="CI97" i="3"/>
  <c r="CJ97" i="3" s="1"/>
  <c r="CI200" i="3"/>
  <c r="CJ200" i="3" s="1"/>
  <c r="CL166" i="3"/>
  <c r="CK166" i="3"/>
  <c r="BB143" i="3"/>
  <c r="BA143" i="3"/>
  <c r="BB117" i="3"/>
  <c r="BA117" i="3"/>
  <c r="BB110" i="3"/>
  <c r="BA110" i="3"/>
  <c r="S10" i="6"/>
  <c r="G33" i="7" s="1"/>
  <c r="AZ210" i="3"/>
  <c r="BB144" i="3"/>
  <c r="BA144" i="3"/>
  <c r="CI210" i="3"/>
  <c r="CI154" i="3"/>
  <c r="CJ154" i="3" s="1"/>
  <c r="BB180" i="3"/>
  <c r="BA180" i="3"/>
  <c r="CL139" i="3"/>
  <c r="CK139" i="3"/>
  <c r="CI146" i="3"/>
  <c r="CJ146" i="3" s="1"/>
  <c r="BB119" i="3"/>
  <c r="BA119" i="3"/>
  <c r="CI90" i="3"/>
  <c r="CJ90" i="3" s="1"/>
  <c r="H9" i="6"/>
  <c r="BB122" i="3"/>
  <c r="BA122" i="3"/>
  <c r="L11" i="6"/>
  <c r="CL107" i="3"/>
  <c r="CK107" i="3"/>
  <c r="H15" i="6"/>
  <c r="CI197" i="3"/>
  <c r="CJ197" i="3" s="1"/>
  <c r="CI127" i="3"/>
  <c r="CJ127" i="3" s="1"/>
  <c r="CI140" i="3"/>
  <c r="CJ140" i="3" s="1"/>
  <c r="BB120" i="3"/>
  <c r="BA120" i="3"/>
  <c r="BB127" i="3"/>
  <c r="BA127" i="3"/>
  <c r="BB173" i="3"/>
  <c r="BA173" i="3"/>
  <c r="BB201" i="3"/>
  <c r="BA201" i="3"/>
  <c r="BB184" i="3"/>
  <c r="BA184" i="3"/>
  <c r="E6" i="7"/>
  <c r="BB212" i="3"/>
  <c r="BA212" i="3"/>
  <c r="BB208" i="3"/>
  <c r="BA208" i="3"/>
  <c r="CL168" i="3" l="1"/>
  <c r="CK165" i="3"/>
  <c r="CJ207" i="3"/>
  <c r="CL170" i="3"/>
  <c r="CL204" i="3"/>
  <c r="CK193" i="3"/>
  <c r="CK91" i="3"/>
  <c r="CK132" i="3"/>
  <c r="CK159" i="3"/>
  <c r="CK203" i="3"/>
  <c r="CK137" i="3"/>
  <c r="CK122" i="3"/>
  <c r="CK164" i="3"/>
  <c r="CK174" i="3"/>
  <c r="CK158" i="3"/>
  <c r="CK106" i="3"/>
  <c r="CJ209" i="3"/>
  <c r="CL209" i="3" s="1"/>
  <c r="CL94" i="3"/>
  <c r="CK151" i="3"/>
  <c r="CK120" i="3"/>
  <c r="CK163" i="3"/>
  <c r="CK179" i="3"/>
  <c r="B18" i="2"/>
  <c r="E21" i="2" s="1"/>
  <c r="B20" i="2"/>
  <c r="F5" i="7" s="1"/>
  <c r="CK134" i="3"/>
  <c r="CL134" i="3"/>
  <c r="T10" i="6"/>
  <c r="W15" i="6"/>
  <c r="H38" i="7" s="1"/>
  <c r="CJ215" i="3"/>
  <c r="CL155" i="3"/>
  <c r="CK155" i="3"/>
  <c r="CL114" i="3"/>
  <c r="CK114" i="3"/>
  <c r="J9" i="6"/>
  <c r="I9" i="6"/>
  <c r="AA9" i="6" s="1"/>
  <c r="C43" i="7" s="1"/>
  <c r="J8" i="6"/>
  <c r="I8" i="6"/>
  <c r="AA8" i="6" s="1"/>
  <c r="CL141" i="3"/>
  <c r="CK141" i="3"/>
  <c r="W11" i="6"/>
  <c r="H34" i="7" s="1"/>
  <c r="CJ211" i="3"/>
  <c r="CL208" i="3"/>
  <c r="CK208" i="3"/>
  <c r="N9" i="6"/>
  <c r="M9" i="6"/>
  <c r="AB9" i="6" s="1"/>
  <c r="CL213" i="3"/>
  <c r="CK213" i="3"/>
  <c r="BB209" i="3"/>
  <c r="BA209" i="3"/>
  <c r="CL97" i="3"/>
  <c r="CK97" i="3"/>
  <c r="CL202" i="3"/>
  <c r="CK202" i="3"/>
  <c r="I10" i="6"/>
  <c r="AA10" i="6" s="1"/>
  <c r="C44" i="7" s="1"/>
  <c r="J10" i="6"/>
  <c r="X8" i="6"/>
  <c r="BB214" i="3"/>
  <c r="BA214" i="3"/>
  <c r="X13" i="6"/>
  <c r="T9" i="6"/>
  <c r="CL189" i="3"/>
  <c r="CK189" i="3"/>
  <c r="CL214" i="3"/>
  <c r="CK214" i="3"/>
  <c r="CL183" i="3"/>
  <c r="CK183" i="3"/>
  <c r="CL201" i="3"/>
  <c r="CK201" i="3"/>
  <c r="T14" i="6"/>
  <c r="CL92" i="3"/>
  <c r="CK92" i="3"/>
  <c r="J14" i="6"/>
  <c r="I14" i="6"/>
  <c r="AA14" i="6" s="1"/>
  <c r="X14" i="6"/>
  <c r="M15" i="6"/>
  <c r="AB15" i="6" s="1"/>
  <c r="N15" i="6"/>
  <c r="E58" i="3"/>
  <c r="E59" i="3"/>
  <c r="C83" i="6"/>
  <c r="CL184" i="3"/>
  <c r="CK184" i="3"/>
  <c r="X7" i="6"/>
  <c r="CL90" i="3"/>
  <c r="CK90" i="3"/>
  <c r="CL109" i="3"/>
  <c r="CK109" i="3"/>
  <c r="J12" i="6"/>
  <c r="I12" i="6"/>
  <c r="AA12" i="6" s="1"/>
  <c r="CL146" i="3"/>
  <c r="CK146" i="3"/>
  <c r="CL133" i="3"/>
  <c r="CK133" i="3"/>
  <c r="H16" i="6"/>
  <c r="B27" i="6" s="1"/>
  <c r="J7" i="6"/>
  <c r="I7" i="6"/>
  <c r="B20" i="6"/>
  <c r="V13" i="6"/>
  <c r="U13" i="6"/>
  <c r="AD13" i="6" s="1"/>
  <c r="J13" i="6"/>
  <c r="I13" i="6"/>
  <c r="AA13" i="6" s="1"/>
  <c r="CL144" i="3"/>
  <c r="CK144" i="3"/>
  <c r="CK212" i="3"/>
  <c r="CL212" i="3"/>
  <c r="CL197" i="3"/>
  <c r="CK197" i="3"/>
  <c r="CL147" i="3"/>
  <c r="CK147" i="3"/>
  <c r="D5" i="7"/>
  <c r="CL185" i="3"/>
  <c r="CK185" i="3"/>
  <c r="CL145" i="3"/>
  <c r="CK145" i="3"/>
  <c r="CL182" i="3"/>
  <c r="CK182" i="3"/>
  <c r="X12" i="6"/>
  <c r="O48" i="5"/>
  <c r="O47" i="5"/>
  <c r="O46" i="5"/>
  <c r="O45" i="5"/>
  <c r="O44" i="5"/>
  <c r="O43" i="5"/>
  <c r="O42" i="5"/>
  <c r="O41" i="5"/>
  <c r="O40" i="5"/>
  <c r="O39" i="5"/>
  <c r="O38" i="5"/>
  <c r="O37" i="5"/>
  <c r="E48" i="5"/>
  <c r="D47" i="5"/>
  <c r="C46" i="5"/>
  <c r="B45" i="5"/>
  <c r="Q43" i="5"/>
  <c r="P42" i="5"/>
  <c r="N41" i="5"/>
  <c r="M40" i="5"/>
  <c r="L39" i="5"/>
  <c r="K38" i="5"/>
  <c r="J37" i="5"/>
  <c r="J36" i="5"/>
  <c r="J35" i="5"/>
  <c r="J34" i="5"/>
  <c r="J33" i="5"/>
  <c r="D48" i="5"/>
  <c r="C47" i="5"/>
  <c r="B46" i="5"/>
  <c r="Q44" i="5"/>
  <c r="P43" i="5"/>
  <c r="N42" i="5"/>
  <c r="M41" i="5"/>
  <c r="L40" i="5"/>
  <c r="K39" i="5"/>
  <c r="J38" i="5"/>
  <c r="I37" i="5"/>
  <c r="I36" i="5"/>
  <c r="I35" i="5"/>
  <c r="I34" i="5"/>
  <c r="I33" i="5"/>
  <c r="C48" i="5"/>
  <c r="B47" i="5"/>
  <c r="Q45" i="5"/>
  <c r="P44" i="5"/>
  <c r="N43" i="5"/>
  <c r="M42" i="5"/>
  <c r="L41" i="5"/>
  <c r="K40" i="5"/>
  <c r="J39" i="5"/>
  <c r="I38" i="5"/>
  <c r="H37" i="5"/>
  <c r="H36" i="5"/>
  <c r="H35" i="5"/>
  <c r="H34" i="5"/>
  <c r="H33" i="5"/>
  <c r="B48" i="5"/>
  <c r="Q46" i="5"/>
  <c r="P45" i="5"/>
  <c r="N44" i="5"/>
  <c r="M43" i="5"/>
  <c r="L42" i="5"/>
  <c r="K41" i="5"/>
  <c r="J40" i="5"/>
  <c r="I39" i="5"/>
  <c r="H38" i="5"/>
  <c r="G37" i="5"/>
  <c r="G36" i="5"/>
  <c r="G35" i="5"/>
  <c r="G34" i="5"/>
  <c r="G33" i="5"/>
  <c r="Q48" i="5"/>
  <c r="P47" i="5"/>
  <c r="N46" i="5"/>
  <c r="M45" i="5"/>
  <c r="L44" i="5"/>
  <c r="K43" i="5"/>
  <c r="J42" i="5"/>
  <c r="I41" i="5"/>
  <c r="H40" i="5"/>
  <c r="G39" i="5"/>
  <c r="F38" i="5"/>
  <c r="E37" i="5"/>
  <c r="E36" i="5"/>
  <c r="E35" i="5"/>
  <c r="E34" i="5"/>
  <c r="E33" i="5"/>
  <c r="P48" i="5"/>
  <c r="N47" i="5"/>
  <c r="M46" i="5"/>
  <c r="L45" i="5"/>
  <c r="K44" i="5"/>
  <c r="J43" i="5"/>
  <c r="I42" i="5"/>
  <c r="H41" i="5"/>
  <c r="G40" i="5"/>
  <c r="F39" i="5"/>
  <c r="E38" i="5"/>
  <c r="D37" i="5"/>
  <c r="D36" i="5"/>
  <c r="D35" i="5"/>
  <c r="D34" i="5"/>
  <c r="D33" i="5"/>
  <c r="N48" i="5"/>
  <c r="M47" i="5"/>
  <c r="L46" i="5"/>
  <c r="K45" i="5"/>
  <c r="J44" i="5"/>
  <c r="I43" i="5"/>
  <c r="H42" i="5"/>
  <c r="G41" i="5"/>
  <c r="F40" i="5"/>
  <c r="E39" i="5"/>
  <c r="D38" i="5"/>
  <c r="C37" i="5"/>
  <c r="C36" i="5"/>
  <c r="C35" i="5"/>
  <c r="C34" i="5"/>
  <c r="C33" i="5"/>
  <c r="M48" i="5"/>
  <c r="L47" i="5"/>
  <c r="K46" i="5"/>
  <c r="J45" i="5"/>
  <c r="I44" i="5"/>
  <c r="H43" i="5"/>
  <c r="G42" i="5"/>
  <c r="F41" i="5"/>
  <c r="E40" i="5"/>
  <c r="D39" i="5"/>
  <c r="C38" i="5"/>
  <c r="B37" i="5"/>
  <c r="B36" i="5"/>
  <c r="B35" i="5"/>
  <c r="B34" i="5"/>
  <c r="L48" i="5"/>
  <c r="K47" i="5"/>
  <c r="J46" i="5"/>
  <c r="I45" i="5"/>
  <c r="H44" i="5"/>
  <c r="G43" i="5"/>
  <c r="F42" i="5"/>
  <c r="E41" i="5"/>
  <c r="D40" i="5"/>
  <c r="C39" i="5"/>
  <c r="B38" i="5"/>
  <c r="Q36" i="5"/>
  <c r="Q35" i="5"/>
  <c r="Q34" i="5"/>
  <c r="Q33" i="5"/>
  <c r="B33" i="5"/>
  <c r="K48" i="5"/>
  <c r="J47" i="5"/>
  <c r="I46" i="5"/>
  <c r="H45" i="5"/>
  <c r="G44" i="5"/>
  <c r="F43" i="5"/>
  <c r="E42" i="5"/>
  <c r="D41" i="5"/>
  <c r="C40" i="5"/>
  <c r="B39" i="5"/>
  <c r="Q37" i="5"/>
  <c r="P36" i="5"/>
  <c r="P35" i="5"/>
  <c r="P34" i="5"/>
  <c r="P33" i="5"/>
  <c r="J48" i="5"/>
  <c r="I47" i="5"/>
  <c r="H46" i="5"/>
  <c r="G45" i="5"/>
  <c r="F44" i="5"/>
  <c r="E43" i="5"/>
  <c r="D42" i="5"/>
  <c r="C41" i="5"/>
  <c r="B40" i="5"/>
  <c r="Q38" i="5"/>
  <c r="P37" i="5"/>
  <c r="O36" i="5"/>
  <c r="O35" i="5"/>
  <c r="O34" i="5"/>
  <c r="O33" i="5"/>
  <c r="I48" i="5"/>
  <c r="H47" i="5"/>
  <c r="G46" i="5"/>
  <c r="F45" i="5"/>
  <c r="E44" i="5"/>
  <c r="D43" i="5"/>
  <c r="C42" i="5"/>
  <c r="B41" i="5"/>
  <c r="Q39" i="5"/>
  <c r="P38" i="5"/>
  <c r="N37" i="5"/>
  <c r="N36" i="5"/>
  <c r="N35" i="5"/>
  <c r="N34" i="5"/>
  <c r="N33" i="5"/>
  <c r="H48" i="5"/>
  <c r="G47" i="5"/>
  <c r="F46" i="5"/>
  <c r="E45" i="5"/>
  <c r="D44" i="5"/>
  <c r="C43" i="5"/>
  <c r="B42" i="5"/>
  <c r="Q40" i="5"/>
  <c r="P39" i="5"/>
  <c r="N38" i="5"/>
  <c r="M37" i="5"/>
  <c r="M36" i="5"/>
  <c r="M35" i="5"/>
  <c r="M34" i="5"/>
  <c r="M33" i="5"/>
  <c r="G48" i="5"/>
  <c r="F47" i="5"/>
  <c r="E46" i="5"/>
  <c r="D45" i="5"/>
  <c r="C44" i="5"/>
  <c r="B43" i="5"/>
  <c r="Q41" i="5"/>
  <c r="P40" i="5"/>
  <c r="N39" i="5"/>
  <c r="M38" i="5"/>
  <c r="L37" i="5"/>
  <c r="L36" i="5"/>
  <c r="L35" i="5"/>
  <c r="L34" i="5"/>
  <c r="L33" i="5"/>
  <c r="F48" i="5"/>
  <c r="E47" i="5"/>
  <c r="D46" i="5"/>
  <c r="C45" i="5"/>
  <c r="B44" i="5"/>
  <c r="Q42" i="5"/>
  <c r="P41" i="5"/>
  <c r="N40" i="5"/>
  <c r="M39" i="5"/>
  <c r="L38" i="5"/>
  <c r="K37" i="5"/>
  <c r="K36" i="5"/>
  <c r="K35" i="5"/>
  <c r="K34" i="5"/>
  <c r="K33" i="5"/>
  <c r="F35" i="5"/>
  <c r="F34" i="5"/>
  <c r="F33" i="5"/>
  <c r="Q47" i="5"/>
  <c r="P46" i="5"/>
  <c r="N45" i="5"/>
  <c r="M44" i="5"/>
  <c r="L43" i="5"/>
  <c r="K42" i="5"/>
  <c r="J41" i="5"/>
  <c r="I40" i="5"/>
  <c r="H39" i="5"/>
  <c r="G38" i="5"/>
  <c r="F36" i="5"/>
  <c r="F37" i="5"/>
  <c r="CL207" i="3"/>
  <c r="CK207" i="3"/>
  <c r="CL127" i="3"/>
  <c r="CK127" i="3"/>
  <c r="CL180" i="3"/>
  <c r="CK180" i="3"/>
  <c r="CL115" i="3"/>
  <c r="CK115" i="3"/>
  <c r="CL113" i="3"/>
  <c r="CK113" i="3"/>
  <c r="CL136" i="3"/>
  <c r="CK136" i="3"/>
  <c r="CL143" i="3"/>
  <c r="CK143" i="3"/>
  <c r="L16" i="6"/>
  <c r="C27" i="6" s="1"/>
  <c r="N7" i="6"/>
  <c r="M7" i="6"/>
  <c r="C20" i="6"/>
  <c r="V8" i="6"/>
  <c r="U8" i="6"/>
  <c r="AD8" i="6" s="1"/>
  <c r="E82" i="6"/>
  <c r="J15" i="6"/>
  <c r="I15" i="6"/>
  <c r="AA15" i="6" s="1"/>
  <c r="C49" i="7" s="1"/>
  <c r="BB207" i="3"/>
  <c r="BA207" i="3"/>
  <c r="CK196" i="3"/>
  <c r="CL196" i="3"/>
  <c r="S16" i="6"/>
  <c r="T7" i="6"/>
  <c r="CK142" i="3"/>
  <c r="CL142" i="3"/>
  <c r="CL93" i="3"/>
  <c r="CK93" i="3"/>
  <c r="CK126" i="3"/>
  <c r="CL126" i="3"/>
  <c r="CL138" i="3"/>
  <c r="CK138" i="3"/>
  <c r="CK209" i="3"/>
  <c r="CL154" i="3"/>
  <c r="CK154" i="3"/>
  <c r="CL128" i="3"/>
  <c r="CK128" i="3"/>
  <c r="CL111" i="3"/>
  <c r="CK111" i="3"/>
  <c r="CK150" i="3"/>
  <c r="CL150" i="3"/>
  <c r="X9" i="6"/>
  <c r="V12" i="6"/>
  <c r="U12" i="6"/>
  <c r="AD12" i="6" s="1"/>
  <c r="CL108" i="3"/>
  <c r="CK108" i="3"/>
  <c r="CL148" i="3"/>
  <c r="CK148" i="3"/>
  <c r="N14" i="6"/>
  <c r="M14" i="6"/>
  <c r="AB14" i="6" s="1"/>
  <c r="CL116" i="3"/>
  <c r="CK116" i="3"/>
  <c r="BB215" i="3"/>
  <c r="BA215" i="3"/>
  <c r="CL152" i="3"/>
  <c r="CK152" i="3"/>
  <c r="CL112" i="3"/>
  <c r="CK112" i="3"/>
  <c r="CL129" i="3"/>
  <c r="CK129" i="3"/>
  <c r="CL181" i="3"/>
  <c r="CK181" i="3"/>
  <c r="T15" i="6"/>
  <c r="CL192" i="3"/>
  <c r="CK192" i="3"/>
  <c r="CL190" i="3"/>
  <c r="CK190" i="3"/>
  <c r="B32" i="3"/>
  <c r="E8" i="7" s="1"/>
  <c r="CL157" i="3"/>
  <c r="CK157" i="3"/>
  <c r="J11" i="6"/>
  <c r="I11" i="6"/>
  <c r="AA11" i="6" s="1"/>
  <c r="F6" i="7"/>
  <c r="D6" i="7"/>
  <c r="CL135" i="3"/>
  <c r="CK135" i="3"/>
  <c r="V11" i="6"/>
  <c r="U11" i="6"/>
  <c r="AD11" i="6" s="1"/>
  <c r="N13" i="6"/>
  <c r="M13" i="6"/>
  <c r="AB13" i="6" s="1"/>
  <c r="M12" i="6"/>
  <c r="AB12" i="6" s="1"/>
  <c r="D46" i="7" s="1"/>
  <c r="N12" i="6"/>
  <c r="N11" i="6"/>
  <c r="M11" i="6"/>
  <c r="AB11" i="6" s="1"/>
  <c r="W10" i="6"/>
  <c r="H33" i="7" s="1"/>
  <c r="CJ210" i="3"/>
  <c r="CL140" i="3"/>
  <c r="CK140" i="3"/>
  <c r="BB210" i="3"/>
  <c r="BA210" i="3"/>
  <c r="CL200" i="3"/>
  <c r="CK200" i="3"/>
  <c r="CK118" i="3"/>
  <c r="CL118" i="3"/>
  <c r="CL98" i="3"/>
  <c r="CK98" i="3"/>
  <c r="N10" i="6"/>
  <c r="M10" i="6"/>
  <c r="AB10" i="6" s="1"/>
  <c r="D44" i="7" s="1"/>
  <c r="B29" i="3"/>
  <c r="CL130" i="3"/>
  <c r="CK130" i="3"/>
  <c r="CL119" i="3"/>
  <c r="CK119" i="3"/>
  <c r="C48" i="7" l="1"/>
  <c r="D48" i="7"/>
  <c r="D45" i="7"/>
  <c r="F45" i="7"/>
  <c r="C45" i="7"/>
  <c r="C46" i="7"/>
  <c r="D47" i="7"/>
  <c r="C42" i="7"/>
  <c r="D49" i="7"/>
  <c r="C47" i="7"/>
  <c r="D42" i="7"/>
  <c r="E83" i="6"/>
  <c r="J16" i="6"/>
  <c r="B21" i="6" s="1"/>
  <c r="G5" i="7" s="1"/>
  <c r="V9" i="6"/>
  <c r="U9" i="6"/>
  <c r="AD9" i="6" s="1"/>
  <c r="C51" i="5" a="1"/>
  <c r="L5" i="7"/>
  <c r="B32" i="6"/>
  <c r="Q5" i="7" s="1"/>
  <c r="CL215" i="3"/>
  <c r="CK215" i="3"/>
  <c r="V15" i="6"/>
  <c r="U15" i="6"/>
  <c r="AD15" i="6" s="1"/>
  <c r="F49" i="7" s="1"/>
  <c r="C32" i="3"/>
  <c r="E9" i="7" s="1"/>
  <c r="Y13" i="6"/>
  <c r="AE13" i="6" s="1"/>
  <c r="Z13" i="6"/>
  <c r="X15" i="6"/>
  <c r="B31" i="3"/>
  <c r="D8" i="7" s="1"/>
  <c r="B33" i="3"/>
  <c r="F8" i="7" s="1"/>
  <c r="C29" i="3"/>
  <c r="V14" i="6"/>
  <c r="U14" i="6"/>
  <c r="AD14" i="6" s="1"/>
  <c r="V10" i="6"/>
  <c r="U10" i="6"/>
  <c r="AD10" i="6" s="1"/>
  <c r="F44" i="7" s="1"/>
  <c r="CL210" i="3"/>
  <c r="CK210" i="3"/>
  <c r="V7" i="6"/>
  <c r="T16" i="6"/>
  <c r="E27" i="6" s="1"/>
  <c r="E20" i="6"/>
  <c r="U7" i="6"/>
  <c r="X10" i="6"/>
  <c r="Z8" i="6"/>
  <c r="Y8" i="6"/>
  <c r="AE8" i="6" s="1"/>
  <c r="Z9" i="6"/>
  <c r="Y9" i="6"/>
  <c r="AE9" i="6" s="1"/>
  <c r="Z7" i="6"/>
  <c r="Y7" i="6"/>
  <c r="AB7" i="6"/>
  <c r="M16" i="6"/>
  <c r="N16" i="6"/>
  <c r="C21" i="6" s="1"/>
  <c r="G6" i="7" s="1"/>
  <c r="Z12" i="6"/>
  <c r="Y12" i="6"/>
  <c r="AE12" i="6" s="1"/>
  <c r="C32" i="6"/>
  <c r="Q6" i="7" s="1"/>
  <c r="L6" i="7"/>
  <c r="W16" i="6"/>
  <c r="Z14" i="6"/>
  <c r="Y14" i="6"/>
  <c r="AE14" i="6" s="1"/>
  <c r="CL211" i="3"/>
  <c r="CK211" i="3"/>
  <c r="X11" i="6"/>
  <c r="I16" i="6"/>
  <c r="D43" i="7" l="1"/>
  <c r="F47" i="7"/>
  <c r="F48" i="7"/>
  <c r="F42" i="7"/>
  <c r="G46" i="7"/>
  <c r="F46" i="7"/>
  <c r="D41" i="7"/>
  <c r="C41" i="7"/>
  <c r="V16" i="6"/>
  <c r="E21" i="6" s="1"/>
  <c r="G8" i="7" s="1"/>
  <c r="B25" i="6"/>
  <c r="J5" i="7" s="1"/>
  <c r="B23" i="6"/>
  <c r="I5" i="7" s="1"/>
  <c r="B22" i="7" s="1"/>
  <c r="C26" i="6"/>
  <c r="K6" i="7" s="1"/>
  <c r="C22" i="6"/>
  <c r="H6" i="7" s="1"/>
  <c r="F22" i="7" s="1"/>
  <c r="Y10" i="6"/>
  <c r="AE10" i="6" s="1"/>
  <c r="G44" i="7" s="1"/>
  <c r="Z10" i="6"/>
  <c r="C31" i="6"/>
  <c r="P6" i="7" s="1"/>
  <c r="O6" i="7"/>
  <c r="C62" i="5"/>
  <c r="B81" i="5" s="1"/>
  <c r="C81" i="5" s="1"/>
  <c r="R116" i="5" s="1"/>
  <c r="C55" i="5"/>
  <c r="B74" i="5" s="1"/>
  <c r="C74" i="5" s="1"/>
  <c r="K116" i="5" s="1"/>
  <c r="C54" i="5"/>
  <c r="B73" i="5" s="1"/>
  <c r="C73" i="5" s="1"/>
  <c r="C53" i="5"/>
  <c r="B72" i="5" s="1"/>
  <c r="C72" i="5" s="1"/>
  <c r="C52" i="5"/>
  <c r="B71" i="5" s="1"/>
  <c r="C71" i="5" s="1"/>
  <c r="C66" i="5"/>
  <c r="B85" i="5" s="1"/>
  <c r="C85" i="5" s="1"/>
  <c r="V116" i="5" s="1"/>
  <c r="C65" i="5"/>
  <c r="B84" i="5" s="1"/>
  <c r="C84" i="5" s="1"/>
  <c r="U116" i="5" s="1"/>
  <c r="C64" i="5"/>
  <c r="B83" i="5" s="1"/>
  <c r="C83" i="5" s="1"/>
  <c r="T116" i="5" s="1"/>
  <c r="C63" i="5"/>
  <c r="B82" i="5" s="1"/>
  <c r="C82" i="5" s="1"/>
  <c r="S116" i="5" s="1"/>
  <c r="C61" i="5"/>
  <c r="B80" i="5" s="1"/>
  <c r="C80" i="5" s="1"/>
  <c r="Q116" i="5" s="1"/>
  <c r="C60" i="5"/>
  <c r="B79" i="5" s="1"/>
  <c r="C79" i="5" s="1"/>
  <c r="P116" i="5" s="1"/>
  <c r="C59" i="5"/>
  <c r="B78" i="5" s="1"/>
  <c r="C78" i="5" s="1"/>
  <c r="O116" i="5" s="1"/>
  <c r="C58" i="5"/>
  <c r="B77" i="5" s="1"/>
  <c r="C77" i="5" s="1"/>
  <c r="N116" i="5" s="1"/>
  <c r="C57" i="5"/>
  <c r="B76" i="5" s="1"/>
  <c r="C76" i="5" s="1"/>
  <c r="M116" i="5" s="1"/>
  <c r="C56" i="5"/>
  <c r="B75" i="5" s="1"/>
  <c r="C75" i="5" s="1"/>
  <c r="L116" i="5" s="1"/>
  <c r="C51" i="5"/>
  <c r="B70" i="5" s="1"/>
  <c r="AD7" i="6"/>
  <c r="U16" i="6"/>
  <c r="C23" i="6"/>
  <c r="I6" i="7" s="1"/>
  <c r="C22" i="7" s="1"/>
  <c r="C25" i="6"/>
  <c r="J6" i="7" s="1"/>
  <c r="C31" i="3"/>
  <c r="D9" i="7" s="1"/>
  <c r="C33" i="3"/>
  <c r="F9" i="7" s="1"/>
  <c r="L8" i="7"/>
  <c r="E32" i="6"/>
  <c r="Q8" i="7" s="1"/>
  <c r="Z11" i="6"/>
  <c r="Y11" i="6"/>
  <c r="AE11" i="6" s="1"/>
  <c r="B26" i="6"/>
  <c r="K5" i="7" s="1"/>
  <c r="B22" i="6"/>
  <c r="H5" i="7" s="1"/>
  <c r="O5" i="7"/>
  <c r="B31" i="6"/>
  <c r="P5" i="7" s="1"/>
  <c r="AE7" i="6"/>
  <c r="E25" i="6"/>
  <c r="J8" i="7" s="1"/>
  <c r="E23" i="6"/>
  <c r="I8" i="7" s="1"/>
  <c r="B24" i="7" s="1"/>
  <c r="F20" i="6"/>
  <c r="Z15" i="6"/>
  <c r="Z16" i="6" s="1"/>
  <c r="F21" i="6" s="1"/>
  <c r="G9" i="7" s="1"/>
  <c r="Y15" i="6"/>
  <c r="AE15" i="6" s="1"/>
  <c r="G49" i="7" s="1"/>
  <c r="X16" i="6"/>
  <c r="F27" i="6" s="1"/>
  <c r="G43" i="7" l="1"/>
  <c r="F43" i="7"/>
  <c r="G42" i="7"/>
  <c r="G45" i="7"/>
  <c r="G48" i="7"/>
  <c r="G47" i="7"/>
  <c r="F41" i="7"/>
  <c r="G41" i="7"/>
  <c r="C70" i="5"/>
  <c r="B23" i="7"/>
  <c r="E22" i="7"/>
  <c r="E23" i="7"/>
  <c r="G22" i="7"/>
  <c r="D22" i="7"/>
  <c r="H22" i="7"/>
  <c r="F23" i="6"/>
  <c r="I9" i="7" s="1"/>
  <c r="C24" i="7" s="1"/>
  <c r="F25" i="6"/>
  <c r="J9" i="7" s="1"/>
  <c r="B62" i="6"/>
  <c r="D62" i="6" s="1"/>
  <c r="AB243" i="5"/>
  <c r="AB235" i="5"/>
  <c r="AB242" i="5"/>
  <c r="AB234" i="5"/>
  <c r="AB241" i="5"/>
  <c r="AB233" i="5"/>
  <c r="AB240" i="5"/>
  <c r="AB239" i="5"/>
  <c r="AB238" i="5"/>
  <c r="AB244" i="5"/>
  <c r="AB236" i="5"/>
  <c r="AB220" i="5"/>
  <c r="AB212" i="5"/>
  <c r="AB204" i="5"/>
  <c r="AB227" i="5"/>
  <c r="AB223" i="5"/>
  <c r="AB215" i="5"/>
  <c r="AB207" i="5"/>
  <c r="AB218" i="5"/>
  <c r="AB210" i="5"/>
  <c r="AB237" i="5"/>
  <c r="AB221" i="5"/>
  <c r="AB213" i="5"/>
  <c r="AB205" i="5"/>
  <c r="AB230" i="5"/>
  <c r="AB229" i="5"/>
  <c r="AB226" i="5"/>
  <c r="AB224" i="5"/>
  <c r="AB216" i="5"/>
  <c r="AB231" i="5"/>
  <c r="AB232" i="5"/>
  <c r="AB228" i="5"/>
  <c r="AB222" i="5"/>
  <c r="AB194" i="5"/>
  <c r="AB206" i="5"/>
  <c r="AB201" i="5"/>
  <c r="AB193" i="5"/>
  <c r="AB188" i="5"/>
  <c r="AB186" i="5"/>
  <c r="AB211" i="5"/>
  <c r="AB202" i="5"/>
  <c r="AB200" i="5"/>
  <c r="AB190" i="5"/>
  <c r="AB203" i="5"/>
  <c r="AB214" i="5"/>
  <c r="AB199" i="5"/>
  <c r="AB219" i="5"/>
  <c r="AB208" i="5"/>
  <c r="AB198" i="5"/>
  <c r="AB192" i="5"/>
  <c r="AB217" i="5"/>
  <c r="AB197" i="5"/>
  <c r="AB225" i="5"/>
  <c r="AB196" i="5"/>
  <c r="AB189" i="5"/>
  <c r="AB187" i="5"/>
  <c r="AB181" i="5"/>
  <c r="AB185" i="5"/>
  <c r="AB182" i="5"/>
  <c r="AB172" i="5"/>
  <c r="AB209" i="5"/>
  <c r="AB195" i="5"/>
  <c r="AB160" i="5"/>
  <c r="AB159" i="5"/>
  <c r="AB158" i="5"/>
  <c r="AB157" i="5"/>
  <c r="AB156" i="5"/>
  <c r="AB155" i="5"/>
  <c r="AB154" i="5"/>
  <c r="AB153" i="5"/>
  <c r="AB152" i="5"/>
  <c r="AB151" i="5"/>
  <c r="AB150" i="5"/>
  <c r="AB149" i="5"/>
  <c r="AB148" i="5"/>
  <c r="AB147" i="5"/>
  <c r="AB146" i="5"/>
  <c r="AB145" i="5"/>
  <c r="AB144" i="5"/>
  <c r="AB143" i="5"/>
  <c r="AB142" i="5"/>
  <c r="AB141" i="5"/>
  <c r="AB140" i="5"/>
  <c r="AB139" i="5"/>
  <c r="AB169" i="5"/>
  <c r="AB167" i="5"/>
  <c r="AB165" i="5"/>
  <c r="AB163" i="5"/>
  <c r="AB161" i="5"/>
  <c r="AB191" i="5"/>
  <c r="AB183" i="5"/>
  <c r="AB177" i="5"/>
  <c r="AB176" i="5"/>
  <c r="AB178" i="5"/>
  <c r="AB166" i="5"/>
  <c r="AB174" i="5"/>
  <c r="AB171" i="5"/>
  <c r="AB184" i="5"/>
  <c r="AB162" i="5"/>
  <c r="AB134" i="5"/>
  <c r="AB133" i="5"/>
  <c r="AB132" i="5"/>
  <c r="AB131" i="5"/>
  <c r="AB130" i="5"/>
  <c r="AB129" i="5"/>
  <c r="AB128" i="5"/>
  <c r="AB127" i="5"/>
  <c r="AB126" i="5"/>
  <c r="AB125" i="5"/>
  <c r="AB124" i="5"/>
  <c r="AB123" i="5"/>
  <c r="AB122" i="5"/>
  <c r="AB121" i="5"/>
  <c r="AB120" i="5"/>
  <c r="AB119" i="5"/>
  <c r="AB135" i="5"/>
  <c r="AB168" i="5"/>
  <c r="AB180" i="5"/>
  <c r="AB175" i="5"/>
  <c r="AB164" i="5"/>
  <c r="AB179" i="5"/>
  <c r="AB173" i="5"/>
  <c r="AB170" i="5"/>
  <c r="AB136" i="5"/>
  <c r="AB137" i="5"/>
  <c r="AB138" i="5"/>
  <c r="F31" i="6"/>
  <c r="P9" i="7" s="1"/>
  <c r="O9" i="7"/>
  <c r="B63" i="6"/>
  <c r="D63" i="6" s="1"/>
  <c r="AC242" i="5"/>
  <c r="AC241" i="5"/>
  <c r="AC230" i="5"/>
  <c r="AC240" i="5"/>
  <c r="AC239" i="5"/>
  <c r="AC232" i="5"/>
  <c r="AC228" i="5"/>
  <c r="AC227" i="5"/>
  <c r="AC226" i="5"/>
  <c r="AC225" i="5"/>
  <c r="AC224" i="5"/>
  <c r="AC223" i="5"/>
  <c r="AC222" i="5"/>
  <c r="AC221" i="5"/>
  <c r="AC220" i="5"/>
  <c r="AC219" i="5"/>
  <c r="AC218" i="5"/>
  <c r="AC217" i="5"/>
  <c r="AC216" i="5"/>
  <c r="AC215" i="5"/>
  <c r="AC214" i="5"/>
  <c r="AC213" i="5"/>
  <c r="AC212" i="5"/>
  <c r="AC211" i="5"/>
  <c r="AC210" i="5"/>
  <c r="AC209" i="5"/>
  <c r="AC208" i="5"/>
  <c r="AC207" i="5"/>
  <c r="AC206" i="5"/>
  <c r="AC205" i="5"/>
  <c r="AC204" i="5"/>
  <c r="AC203" i="5"/>
  <c r="AC238" i="5"/>
  <c r="AC244" i="5"/>
  <c r="AC231" i="5"/>
  <c r="AC236" i="5"/>
  <c r="AC243" i="5"/>
  <c r="AC234" i="5"/>
  <c r="AC237" i="5"/>
  <c r="AC229" i="5"/>
  <c r="AC235" i="5"/>
  <c r="AC233" i="5"/>
  <c r="AC194" i="5"/>
  <c r="AC201" i="5"/>
  <c r="AC193" i="5"/>
  <c r="AC188" i="5"/>
  <c r="AC186" i="5"/>
  <c r="AC202" i="5"/>
  <c r="AC200" i="5"/>
  <c r="AC190" i="5"/>
  <c r="AC199" i="5"/>
  <c r="AC198" i="5"/>
  <c r="AC192" i="5"/>
  <c r="AC184" i="5"/>
  <c r="AC183" i="5"/>
  <c r="AC182" i="5"/>
  <c r="AC181" i="5"/>
  <c r="AC180" i="5"/>
  <c r="AC179" i="5"/>
  <c r="AC178" i="5"/>
  <c r="AC177" i="5"/>
  <c r="AC176" i="5"/>
  <c r="AC175" i="5"/>
  <c r="AC174" i="5"/>
  <c r="AC173" i="5"/>
  <c r="AC172" i="5"/>
  <c r="AC171" i="5"/>
  <c r="AC170" i="5"/>
  <c r="AC169" i="5"/>
  <c r="AC168" i="5"/>
  <c r="AC167" i="5"/>
  <c r="AC166" i="5"/>
  <c r="AC165" i="5"/>
  <c r="AC164" i="5"/>
  <c r="AC163" i="5"/>
  <c r="AC162" i="5"/>
  <c r="AC161" i="5"/>
  <c r="AC197" i="5"/>
  <c r="AC195" i="5"/>
  <c r="AC191" i="5"/>
  <c r="AC189" i="5"/>
  <c r="AC187" i="5"/>
  <c r="AC185" i="5"/>
  <c r="AC160" i="5"/>
  <c r="AC159" i="5"/>
  <c r="AC151" i="5"/>
  <c r="AC139" i="5"/>
  <c r="AC157" i="5"/>
  <c r="AC156" i="5"/>
  <c r="AC153" i="5"/>
  <c r="AC134" i="5"/>
  <c r="AC133" i="5"/>
  <c r="AC132" i="5"/>
  <c r="AC131" i="5"/>
  <c r="AC130" i="5"/>
  <c r="AC129" i="5"/>
  <c r="AC128" i="5"/>
  <c r="AC135" i="5"/>
  <c r="AC150" i="5"/>
  <c r="AC148" i="5"/>
  <c r="AC146" i="5"/>
  <c r="AC144" i="5"/>
  <c r="AC142" i="5"/>
  <c r="AC140" i="5"/>
  <c r="AC136" i="5"/>
  <c r="AC155" i="5"/>
  <c r="AC196" i="5"/>
  <c r="AC152" i="5"/>
  <c r="AC126" i="5"/>
  <c r="AC124" i="5"/>
  <c r="AC122" i="5"/>
  <c r="AC120" i="5"/>
  <c r="AC149" i="5"/>
  <c r="AC147" i="5"/>
  <c r="AC141" i="5"/>
  <c r="AC158" i="5"/>
  <c r="AC154" i="5"/>
  <c r="AC145" i="5"/>
  <c r="AC137" i="5"/>
  <c r="AC138" i="5"/>
  <c r="AC125" i="5"/>
  <c r="AC123" i="5"/>
  <c r="AC121" i="5"/>
  <c r="AC119" i="5"/>
  <c r="AC127" i="5"/>
  <c r="AC143" i="5"/>
  <c r="Y16" i="6"/>
  <c r="E22" i="6"/>
  <c r="H8" i="7" s="1"/>
  <c r="E24" i="7" s="1"/>
  <c r="E26" i="6"/>
  <c r="K8" i="7" s="1"/>
  <c r="B64" i="6"/>
  <c r="D64" i="6" s="1"/>
  <c r="AD242" i="5"/>
  <c r="AD234" i="5"/>
  <c r="AD241" i="5"/>
  <c r="AD233" i="5"/>
  <c r="AD240" i="5"/>
  <c r="AD239" i="5"/>
  <c r="AD238" i="5"/>
  <c r="AD237" i="5"/>
  <c r="AD229" i="5"/>
  <c r="AD244" i="5"/>
  <c r="AD243" i="5"/>
  <c r="AD235" i="5"/>
  <c r="AD227" i="5"/>
  <c r="AD223" i="5"/>
  <c r="AD215" i="5"/>
  <c r="AD207" i="5"/>
  <c r="AD218" i="5"/>
  <c r="AD210" i="5"/>
  <c r="AD221" i="5"/>
  <c r="AD213" i="5"/>
  <c r="AD205" i="5"/>
  <c r="AD230" i="5"/>
  <c r="AD226" i="5"/>
  <c r="AD224" i="5"/>
  <c r="AD216" i="5"/>
  <c r="AD208" i="5"/>
  <c r="AD231" i="5"/>
  <c r="AD219" i="5"/>
  <c r="AD211" i="5"/>
  <c r="AD202" i="5"/>
  <c r="AD201" i="5"/>
  <c r="AD232" i="5"/>
  <c r="AD228" i="5"/>
  <c r="AD222" i="5"/>
  <c r="AD225" i="5"/>
  <c r="AD217" i="5"/>
  <c r="AD220" i="5"/>
  <c r="AD206" i="5"/>
  <c r="AD236" i="5"/>
  <c r="AD193" i="5"/>
  <c r="AD188" i="5"/>
  <c r="AD186" i="5"/>
  <c r="AD200" i="5"/>
  <c r="AD190" i="5"/>
  <c r="AD203" i="5"/>
  <c r="AD199" i="5"/>
  <c r="AD214" i="5"/>
  <c r="AD198" i="5"/>
  <c r="AD192" i="5"/>
  <c r="AD184" i="5"/>
  <c r="AD183" i="5"/>
  <c r="AD182" i="5"/>
  <c r="AD181" i="5"/>
  <c r="AD180" i="5"/>
  <c r="AD179" i="5"/>
  <c r="AD178" i="5"/>
  <c r="AD177" i="5"/>
  <c r="AD197" i="5"/>
  <c r="AD189" i="5"/>
  <c r="AD204" i="5"/>
  <c r="AD196" i="5"/>
  <c r="AD212" i="5"/>
  <c r="AD209" i="5"/>
  <c r="AD185" i="5"/>
  <c r="AD172" i="5"/>
  <c r="AD160" i="5"/>
  <c r="AD159" i="5"/>
  <c r="AD158" i="5"/>
  <c r="AD157" i="5"/>
  <c r="AD156" i="5"/>
  <c r="AD155" i="5"/>
  <c r="AD154" i="5"/>
  <c r="AD153" i="5"/>
  <c r="AD152" i="5"/>
  <c r="AD151" i="5"/>
  <c r="AD195" i="5"/>
  <c r="AD169" i="5"/>
  <c r="AD167" i="5"/>
  <c r="AD165" i="5"/>
  <c r="AD163" i="5"/>
  <c r="AD161" i="5"/>
  <c r="AD191" i="5"/>
  <c r="AD194" i="5"/>
  <c r="AD166" i="5"/>
  <c r="AD174" i="5"/>
  <c r="AD171" i="5"/>
  <c r="AD162" i="5"/>
  <c r="AD134" i="5"/>
  <c r="AD133" i="5"/>
  <c r="AD132" i="5"/>
  <c r="AD131" i="5"/>
  <c r="AD130" i="5"/>
  <c r="AD129" i="5"/>
  <c r="AD135" i="5"/>
  <c r="AD150" i="5"/>
  <c r="AD148" i="5"/>
  <c r="AD146" i="5"/>
  <c r="AD144" i="5"/>
  <c r="AD142" i="5"/>
  <c r="AD140" i="5"/>
  <c r="AD136" i="5"/>
  <c r="AD168" i="5"/>
  <c r="AD175" i="5"/>
  <c r="AD164" i="5"/>
  <c r="AD187" i="5"/>
  <c r="AD173" i="5"/>
  <c r="AD126" i="5"/>
  <c r="AD124" i="5"/>
  <c r="AD122" i="5"/>
  <c r="AD120" i="5"/>
  <c r="AD149" i="5"/>
  <c r="AD147" i="5"/>
  <c r="AD141" i="5"/>
  <c r="AD128" i="5"/>
  <c r="AD176" i="5"/>
  <c r="AD170" i="5"/>
  <c r="AD145" i="5"/>
  <c r="AD137" i="5"/>
  <c r="AD138" i="5"/>
  <c r="AD125" i="5"/>
  <c r="AD123" i="5"/>
  <c r="AD121" i="5"/>
  <c r="AD119" i="5"/>
  <c r="AD127" i="5"/>
  <c r="AD143" i="5"/>
  <c r="AD139" i="5"/>
  <c r="E31" i="6"/>
  <c r="P8" i="7" s="1"/>
  <c r="O8" i="7"/>
  <c r="AE178" i="5"/>
  <c r="AE177" i="5"/>
  <c r="AE175" i="5"/>
  <c r="W175" i="5" s="1"/>
  <c r="X175" i="5" s="1"/>
  <c r="AE176" i="5"/>
  <c r="AE174" i="5"/>
  <c r="AE243" i="5"/>
  <c r="W243" i="5" s="1"/>
  <c r="AE170" i="5"/>
  <c r="AE232" i="5"/>
  <c r="W232" i="5" s="1"/>
  <c r="X232" i="5" s="1"/>
  <c r="AE205" i="5"/>
  <c r="W205" i="5" s="1"/>
  <c r="X205" i="5" s="1"/>
  <c r="AE128" i="5"/>
  <c r="W128" i="5" s="1"/>
  <c r="X128" i="5" s="1"/>
  <c r="AE238" i="5"/>
  <c r="W238" i="5" s="1"/>
  <c r="AE190" i="5"/>
  <c r="W190" i="5" s="1"/>
  <c r="X190" i="5" s="1"/>
  <c r="AE241" i="5"/>
  <c r="W241" i="5" s="1"/>
  <c r="AE147" i="5"/>
  <c r="W147" i="5" s="1"/>
  <c r="X147" i="5" s="1"/>
  <c r="AE158" i="5"/>
  <c r="W158" i="5" s="1"/>
  <c r="X158" i="5" s="1"/>
  <c r="AE185" i="5"/>
  <c r="W185" i="5" s="1"/>
  <c r="X185" i="5" s="1"/>
  <c r="AE151" i="5"/>
  <c r="W151" i="5" s="1"/>
  <c r="X151" i="5" s="1"/>
  <c r="AE162" i="5"/>
  <c r="AE193" i="5"/>
  <c r="W193" i="5" s="1"/>
  <c r="X193" i="5" s="1"/>
  <c r="AE195" i="5"/>
  <c r="W195" i="5" s="1"/>
  <c r="X195" i="5" s="1"/>
  <c r="AE187" i="5"/>
  <c r="AE242" i="5"/>
  <c r="W242" i="5" s="1"/>
  <c r="AE191" i="5"/>
  <c r="W191" i="5" s="1"/>
  <c r="X191" i="5" s="1"/>
  <c r="AE230" i="5"/>
  <c r="W230" i="5" s="1"/>
  <c r="X230" i="5" s="1"/>
  <c r="AE202" i="5"/>
  <c r="W202" i="5" s="1"/>
  <c r="X202" i="5" s="1"/>
  <c r="AE132" i="5"/>
  <c r="W132" i="5" s="1"/>
  <c r="X132" i="5" s="1"/>
  <c r="AE155" i="5"/>
  <c r="W155" i="5" s="1"/>
  <c r="X155" i="5" s="1"/>
  <c r="AE222" i="5"/>
  <c r="W222" i="5" s="1"/>
  <c r="X222" i="5" s="1"/>
  <c r="AE236" i="5"/>
  <c r="W236" i="5" s="1"/>
  <c r="AE216" i="5"/>
  <c r="W216" i="5" s="1"/>
  <c r="X216" i="5" s="1"/>
  <c r="AE153" i="5"/>
  <c r="W153" i="5" s="1"/>
  <c r="X153" i="5" s="1"/>
  <c r="AE173" i="5"/>
  <c r="W173" i="5" s="1"/>
  <c r="X173" i="5" s="1"/>
  <c r="AE229" i="5"/>
  <c r="AE152" i="5"/>
  <c r="AE164" i="5"/>
  <c r="W164" i="5" s="1"/>
  <c r="X164" i="5" s="1"/>
  <c r="AE213" i="5"/>
  <c r="AE156" i="5"/>
  <c r="AE207" i="5"/>
  <c r="AE224" i="5"/>
  <c r="W224" i="5" s="1"/>
  <c r="X224" i="5" s="1"/>
  <c r="AE199" i="5"/>
  <c r="W199" i="5" s="1"/>
  <c r="X199" i="5" s="1"/>
  <c r="AE127" i="5"/>
  <c r="W127" i="5" s="1"/>
  <c r="X127" i="5" s="1"/>
  <c r="AE167" i="5"/>
  <c r="W167" i="5" s="1"/>
  <c r="X167" i="5" s="1"/>
  <c r="AE141" i="5"/>
  <c r="W141" i="5" s="1"/>
  <c r="X141" i="5" s="1"/>
  <c r="AE124" i="5"/>
  <c r="W124" i="5" s="1"/>
  <c r="X124" i="5" s="1"/>
  <c r="AE145" i="5"/>
  <c r="W145" i="5" s="1"/>
  <c r="X145" i="5" s="1"/>
  <c r="AE136" i="5"/>
  <c r="W136" i="5" s="1"/>
  <c r="X136" i="5" s="1"/>
  <c r="AE171" i="5"/>
  <c r="W171" i="5" s="1"/>
  <c r="X171" i="5" s="1"/>
  <c r="AE220" i="5"/>
  <c r="W220" i="5" s="1"/>
  <c r="X220" i="5" s="1"/>
  <c r="AE228" i="5"/>
  <c r="AE163" i="5"/>
  <c r="AE211" i="5"/>
  <c r="W211" i="5" s="1"/>
  <c r="X211" i="5" s="1"/>
  <c r="AE223" i="5"/>
  <c r="AE130" i="5"/>
  <c r="W130" i="5" s="1"/>
  <c r="X130" i="5" s="1"/>
  <c r="AE181" i="5"/>
  <c r="W181" i="5" s="1"/>
  <c r="X181" i="5" s="1"/>
  <c r="AE135" i="5"/>
  <c r="W135" i="5" s="1"/>
  <c r="X135" i="5" s="1"/>
  <c r="AE237" i="5"/>
  <c r="W237" i="5" s="1"/>
  <c r="AE126" i="5"/>
  <c r="W126" i="5" s="1"/>
  <c r="X126" i="5" s="1"/>
  <c r="AE204" i="5"/>
  <c r="W204" i="5" s="1"/>
  <c r="X204" i="5" s="1"/>
  <c r="AE198" i="5"/>
  <c r="W198" i="5" s="1"/>
  <c r="X198" i="5" s="1"/>
  <c r="AE161" i="5"/>
  <c r="W161" i="5" s="1"/>
  <c r="X161" i="5" s="1"/>
  <c r="AE159" i="5"/>
  <c r="W159" i="5" s="1"/>
  <c r="X159" i="5" s="1"/>
  <c r="AE140" i="5"/>
  <c r="W140" i="5" s="1"/>
  <c r="X140" i="5" s="1"/>
  <c r="AE183" i="5"/>
  <c r="W183" i="5" s="1"/>
  <c r="X183" i="5" s="1"/>
  <c r="AE121" i="5"/>
  <c r="W121" i="5" s="1"/>
  <c r="X121" i="5" s="1"/>
  <c r="AE139" i="5"/>
  <c r="W139" i="5" s="1"/>
  <c r="X139" i="5" s="1"/>
  <c r="AE201" i="5"/>
  <c r="AE179" i="5"/>
  <c r="W179" i="5" s="1"/>
  <c r="X179" i="5" s="1"/>
  <c r="AE194" i="5"/>
  <c r="W194" i="5" s="1"/>
  <c r="X194" i="5" s="1"/>
  <c r="AE154" i="5"/>
  <c r="W154" i="5" s="1"/>
  <c r="X154" i="5" s="1"/>
  <c r="AE203" i="5"/>
  <c r="W203" i="5" s="1"/>
  <c r="X203" i="5" s="1"/>
  <c r="AE142" i="5"/>
  <c r="AE137" i="5"/>
  <c r="AE186" i="5"/>
  <c r="W186" i="5" s="1"/>
  <c r="X186" i="5" s="1"/>
  <c r="AE166" i="5"/>
  <c r="W166" i="5" s="1"/>
  <c r="X166" i="5" s="1"/>
  <c r="AE138" i="5"/>
  <c r="W138" i="5" s="1"/>
  <c r="X138" i="5" s="1"/>
  <c r="AE133" i="5"/>
  <c r="W133" i="5" s="1"/>
  <c r="X133" i="5" s="1"/>
  <c r="AE129" i="5"/>
  <c r="W129" i="5" s="1"/>
  <c r="X129" i="5" s="1"/>
  <c r="AE143" i="5"/>
  <c r="W143" i="5" s="1"/>
  <c r="X143" i="5" s="1"/>
  <c r="AE192" i="5"/>
  <c r="W192" i="5" s="1"/>
  <c r="X192" i="5" s="1"/>
  <c r="AE235" i="5"/>
  <c r="W235" i="5" s="1"/>
  <c r="X235" i="5" s="1"/>
  <c r="AE172" i="5"/>
  <c r="AE150" i="5"/>
  <c r="AE165" i="5"/>
  <c r="W165" i="5" s="1"/>
  <c r="X165" i="5" s="1"/>
  <c r="AE214" i="5"/>
  <c r="AE122" i="5"/>
  <c r="W122" i="5" s="1"/>
  <c r="X122" i="5" s="1"/>
  <c r="AE234" i="5"/>
  <c r="W234" i="5" s="1"/>
  <c r="X234" i="5" s="1"/>
  <c r="AE208" i="5"/>
  <c r="W208" i="5" s="1"/>
  <c r="X208" i="5" s="1"/>
  <c r="AE131" i="5"/>
  <c r="W131" i="5" s="1"/>
  <c r="X131" i="5" s="1"/>
  <c r="AE227" i="5"/>
  <c r="W227" i="5" s="1"/>
  <c r="X227" i="5" s="1"/>
  <c r="AE189" i="5"/>
  <c r="W189" i="5" s="1"/>
  <c r="X189" i="5" s="1"/>
  <c r="AE219" i="5"/>
  <c r="W219" i="5" s="1"/>
  <c r="X219" i="5" s="1"/>
  <c r="AE180" i="5"/>
  <c r="W180" i="5" s="1"/>
  <c r="X180" i="5" s="1"/>
  <c r="AE160" i="5"/>
  <c r="W160" i="5" s="1"/>
  <c r="X160" i="5" s="1"/>
  <c r="AE188" i="5"/>
  <c r="W188" i="5" s="1"/>
  <c r="X188" i="5" s="1"/>
  <c r="AE239" i="5"/>
  <c r="D65" i="6" s="1"/>
  <c r="AE144" i="5"/>
  <c r="W144" i="5" s="1"/>
  <c r="X144" i="5" s="1"/>
  <c r="AE244" i="5"/>
  <c r="W244" i="5" s="1"/>
  <c r="AE221" i="5"/>
  <c r="W221" i="5" s="1"/>
  <c r="X221" i="5" s="1"/>
  <c r="AE148" i="5"/>
  <c r="W148" i="5" s="1"/>
  <c r="X148" i="5" s="1"/>
  <c r="AE157" i="5"/>
  <c r="AE120" i="5"/>
  <c r="W120" i="5" s="1"/>
  <c r="X120" i="5" s="1"/>
  <c r="AE209" i="5"/>
  <c r="AE200" i="5"/>
  <c r="W200" i="5" s="1"/>
  <c r="X200" i="5" s="1"/>
  <c r="AE218" i="5"/>
  <c r="W218" i="5" s="1"/>
  <c r="X218" i="5" s="1"/>
  <c r="AE225" i="5"/>
  <c r="W225" i="5" s="1"/>
  <c r="X225" i="5" s="1"/>
  <c r="AE240" i="5"/>
  <c r="W240" i="5" s="1"/>
  <c r="AE206" i="5"/>
  <c r="W206" i="5" s="1"/>
  <c r="X206" i="5" s="1"/>
  <c r="AE212" i="5"/>
  <c r="W212" i="5" s="1"/>
  <c r="X212" i="5" s="1"/>
  <c r="AE182" i="5"/>
  <c r="W182" i="5" s="1"/>
  <c r="X182" i="5" s="1"/>
  <c r="AE149" i="5"/>
  <c r="W149" i="5" s="1"/>
  <c r="X149" i="5" s="1"/>
  <c r="AE184" i="5"/>
  <c r="W184" i="5" s="1"/>
  <c r="X184" i="5" s="1"/>
  <c r="AE169" i="5"/>
  <c r="W169" i="5" s="1"/>
  <c r="X169" i="5" s="1"/>
  <c r="AE125" i="5"/>
  <c r="W125" i="5" s="1"/>
  <c r="X125" i="5" s="1"/>
  <c r="AE134" i="5"/>
  <c r="AE226" i="5"/>
  <c r="W226" i="5" s="1"/>
  <c r="X226" i="5" s="1"/>
  <c r="AE210" i="5"/>
  <c r="AE146" i="5"/>
  <c r="AE168" i="5"/>
  <c r="W168" i="5" s="1"/>
  <c r="X168" i="5" s="1"/>
  <c r="AE123" i="5"/>
  <c r="W123" i="5" s="1"/>
  <c r="X123" i="5" s="1"/>
  <c r="AE196" i="5"/>
  <c r="W196" i="5" s="1"/>
  <c r="X196" i="5" s="1"/>
  <c r="AE231" i="5"/>
  <c r="W231" i="5" s="1"/>
  <c r="X231" i="5" s="1"/>
  <c r="AE197" i="5"/>
  <c r="W197" i="5" s="1"/>
  <c r="X197" i="5" s="1"/>
  <c r="AE217" i="5"/>
  <c r="W217" i="5" s="1"/>
  <c r="X217" i="5" s="1"/>
  <c r="AE215" i="5"/>
  <c r="W215" i="5" s="1"/>
  <c r="X215" i="5" s="1"/>
  <c r="AE119" i="5"/>
  <c r="W119" i="5" s="1"/>
  <c r="X119" i="5" s="1"/>
  <c r="AE233" i="5"/>
  <c r="W233" i="5" s="1"/>
  <c r="X233" i="5" s="1"/>
  <c r="B61" i="6"/>
  <c r="D61" i="6" s="1"/>
  <c r="W229" i="5"/>
  <c r="X229" i="5" s="1"/>
  <c r="W228" i="5"/>
  <c r="X228" i="5" s="1"/>
  <c r="W201" i="5"/>
  <c r="X201" i="5" s="1"/>
  <c r="W214" i="5"/>
  <c r="X214" i="5" s="1"/>
  <c r="W209" i="5"/>
  <c r="X209" i="5" s="1"/>
  <c r="W223" i="5"/>
  <c r="X223" i="5" s="1"/>
  <c r="W207" i="5"/>
  <c r="X207" i="5" s="1"/>
  <c r="W210" i="5"/>
  <c r="X210" i="5" s="1"/>
  <c r="W187" i="5"/>
  <c r="X187" i="5" s="1"/>
  <c r="W213" i="5"/>
  <c r="X213" i="5" s="1"/>
  <c r="W178" i="5"/>
  <c r="X178" i="5" s="1"/>
  <c r="W174" i="5"/>
  <c r="X174" i="5" s="1"/>
  <c r="W170" i="5"/>
  <c r="X170" i="5" s="1"/>
  <c r="W162" i="5"/>
  <c r="X162" i="5" s="1"/>
  <c r="W157" i="5"/>
  <c r="X157" i="5" s="1"/>
  <c r="W176" i="5"/>
  <c r="X176" i="5" s="1"/>
  <c r="W156" i="5"/>
  <c r="X156" i="5" s="1"/>
  <c r="W163" i="5"/>
  <c r="X163" i="5" s="1"/>
  <c r="W172" i="5"/>
  <c r="X172" i="5" s="1"/>
  <c r="W150" i="5"/>
  <c r="X150" i="5" s="1"/>
  <c r="W146" i="5"/>
  <c r="X146" i="5" s="1"/>
  <c r="W142" i="5"/>
  <c r="X142" i="5" s="1"/>
  <c r="W177" i="5"/>
  <c r="X177" i="5" s="1"/>
  <c r="W137" i="5"/>
  <c r="X137" i="5" s="1"/>
  <c r="W152" i="5"/>
  <c r="X152" i="5" s="1"/>
  <c r="W134" i="5"/>
  <c r="X134" i="5" s="1"/>
  <c r="L9" i="7"/>
  <c r="F32" i="6"/>
  <c r="Q9" i="7" s="1"/>
  <c r="D66" i="6" l="1"/>
  <c r="W239" i="5"/>
  <c r="X239" i="5" s="1"/>
  <c r="D24" i="7"/>
  <c r="H24" i="7"/>
  <c r="Z221" i="5"/>
  <c r="Y221" i="5"/>
  <c r="Z197" i="5"/>
  <c r="Y197" i="5"/>
  <c r="O11" i="6"/>
  <c r="F34" i="7" s="1"/>
  <c r="X240" i="5"/>
  <c r="Z231" i="5"/>
  <c r="Y231" i="5"/>
  <c r="Y205" i="5"/>
  <c r="Z205" i="5"/>
  <c r="Z131" i="5"/>
  <c r="Y131" i="5"/>
  <c r="Z227" i="5"/>
  <c r="Y227" i="5"/>
  <c r="Z202" i="5"/>
  <c r="Y202" i="5"/>
  <c r="Z225" i="5"/>
  <c r="Y225" i="5"/>
  <c r="Z186" i="5"/>
  <c r="Y186" i="5"/>
  <c r="Z127" i="5"/>
  <c r="Y127" i="5"/>
  <c r="Y196" i="5"/>
  <c r="Z196" i="5"/>
  <c r="Z126" i="5"/>
  <c r="Y126" i="5"/>
  <c r="Z218" i="5"/>
  <c r="Y218" i="5"/>
  <c r="Z169" i="5"/>
  <c r="Y169" i="5"/>
  <c r="Z143" i="5"/>
  <c r="Y143" i="5"/>
  <c r="Z135" i="5"/>
  <c r="Y135" i="5"/>
  <c r="Z137" i="5"/>
  <c r="Y137" i="5"/>
  <c r="Z176" i="5"/>
  <c r="Y176" i="5"/>
  <c r="Z181" i="5"/>
  <c r="Y181" i="5"/>
  <c r="Z211" i="5"/>
  <c r="Y211" i="5"/>
  <c r="Z215" i="5"/>
  <c r="Y215" i="5"/>
  <c r="Z199" i="5"/>
  <c r="Y199" i="5"/>
  <c r="O8" i="6"/>
  <c r="F31" i="7" s="1"/>
  <c r="X237" i="5"/>
  <c r="Z128" i="5"/>
  <c r="Y128" i="5"/>
  <c r="Z177" i="5"/>
  <c r="Y177" i="5"/>
  <c r="Z151" i="5"/>
  <c r="Y151" i="5"/>
  <c r="Z180" i="5"/>
  <c r="Y180" i="5"/>
  <c r="Z188" i="5"/>
  <c r="Y188" i="5"/>
  <c r="Z204" i="5"/>
  <c r="Y204" i="5"/>
  <c r="Z201" i="5"/>
  <c r="Y201" i="5"/>
  <c r="O10" i="6"/>
  <c r="F33" i="7" s="1"/>
  <c r="Z173" i="5"/>
  <c r="Y173" i="5"/>
  <c r="Z120" i="5"/>
  <c r="Y120" i="5"/>
  <c r="Z142" i="5"/>
  <c r="Y142" i="5"/>
  <c r="Z157" i="5"/>
  <c r="Y157" i="5"/>
  <c r="Z162" i="5"/>
  <c r="Y162" i="5"/>
  <c r="Z193" i="5"/>
  <c r="Y193" i="5"/>
  <c r="Z212" i="5"/>
  <c r="Y212" i="5"/>
  <c r="Z122" i="5"/>
  <c r="Y122" i="5"/>
  <c r="Z144" i="5"/>
  <c r="Y144" i="5"/>
  <c r="Z141" i="5"/>
  <c r="Y141" i="5"/>
  <c r="Z164" i="5"/>
  <c r="Y164" i="5"/>
  <c r="Z191" i="5"/>
  <c r="Y191" i="5"/>
  <c r="Z220" i="5"/>
  <c r="Y220" i="5"/>
  <c r="Z203" i="5"/>
  <c r="Y203" i="5"/>
  <c r="O12" i="6"/>
  <c r="F35" i="7" s="1"/>
  <c r="X241" i="5"/>
  <c r="O9" i="6"/>
  <c r="F32" i="7" s="1"/>
  <c r="X238" i="5"/>
  <c r="Z134" i="5"/>
  <c r="Y134" i="5"/>
  <c r="Z166" i="5"/>
  <c r="Y166" i="5"/>
  <c r="Z217" i="5"/>
  <c r="Y217" i="5"/>
  <c r="Z147" i="5"/>
  <c r="Y147" i="5"/>
  <c r="Z206" i="5"/>
  <c r="Y206" i="5"/>
  <c r="Z172" i="5"/>
  <c r="Y172" i="5"/>
  <c r="Z214" i="5"/>
  <c r="Y214" i="5"/>
  <c r="Z223" i="5"/>
  <c r="Y223" i="5"/>
  <c r="Z146" i="5"/>
  <c r="Y146" i="5"/>
  <c r="O13" i="6"/>
  <c r="F36" i="7" s="1"/>
  <c r="X242" i="5"/>
  <c r="Z148" i="5"/>
  <c r="Y148" i="5"/>
  <c r="Z187" i="5"/>
  <c r="Y187" i="5"/>
  <c r="Z149" i="5"/>
  <c r="Y149" i="5"/>
  <c r="E66" i="6"/>
  <c r="D67" i="6"/>
  <c r="Z119" i="5"/>
  <c r="Y119" i="5"/>
  <c r="C106" i="5"/>
  <c r="Z130" i="5"/>
  <c r="Y130" i="5"/>
  <c r="Y154" i="5"/>
  <c r="Z154" i="5"/>
  <c r="Z174" i="5"/>
  <c r="Y174" i="5"/>
  <c r="Z230" i="5"/>
  <c r="Y230" i="5"/>
  <c r="Z121" i="5"/>
  <c r="Y121" i="5"/>
  <c r="Z153" i="5"/>
  <c r="Y153" i="5"/>
  <c r="Z158" i="5"/>
  <c r="Y158" i="5"/>
  <c r="Z175" i="5"/>
  <c r="Y175" i="5"/>
  <c r="Z216" i="5"/>
  <c r="Y216" i="5"/>
  <c r="Z222" i="5"/>
  <c r="Y222" i="5"/>
  <c r="F22" i="6"/>
  <c r="H9" i="7" s="1"/>
  <c r="F24" i="7" s="1"/>
  <c r="G24" i="7" s="1"/>
  <c r="F26" i="6"/>
  <c r="K9" i="7" s="1"/>
  <c r="Z200" i="5"/>
  <c r="Y200" i="5"/>
  <c r="Z124" i="5"/>
  <c r="Y124" i="5"/>
  <c r="Z209" i="5"/>
  <c r="Y209" i="5"/>
  <c r="Z185" i="5"/>
  <c r="Y185" i="5"/>
  <c r="Z150" i="5"/>
  <c r="Y150" i="5"/>
  <c r="Z228" i="5"/>
  <c r="Y228" i="5"/>
  <c r="Z183" i="5"/>
  <c r="Y183" i="5"/>
  <c r="Z189" i="5"/>
  <c r="Y189" i="5"/>
  <c r="Z123" i="5"/>
  <c r="Y123" i="5"/>
  <c r="Z138" i="5"/>
  <c r="Y138" i="5"/>
  <c r="Z194" i="5"/>
  <c r="Y194" i="5"/>
  <c r="Z125" i="5"/>
  <c r="Y125" i="5"/>
  <c r="Z155" i="5"/>
  <c r="Y155" i="5"/>
  <c r="Z171" i="5"/>
  <c r="Y171" i="5"/>
  <c r="Z161" i="5"/>
  <c r="Y161" i="5"/>
  <c r="Z192" i="5"/>
  <c r="Y192" i="5"/>
  <c r="Z195" i="5"/>
  <c r="Y195" i="5"/>
  <c r="Z233" i="5"/>
  <c r="Y233" i="5"/>
  <c r="Z139" i="5"/>
  <c r="Y139" i="5"/>
  <c r="Z213" i="5"/>
  <c r="Y213" i="5"/>
  <c r="Z168" i="5"/>
  <c r="Y168" i="5"/>
  <c r="Y179" i="5"/>
  <c r="Z179" i="5"/>
  <c r="Z163" i="5"/>
  <c r="Y163" i="5"/>
  <c r="Z224" i="5"/>
  <c r="Y224" i="5"/>
  <c r="Y140" i="5"/>
  <c r="Z140" i="5"/>
  <c r="Z184" i="5"/>
  <c r="Y184" i="5"/>
  <c r="Z159" i="5"/>
  <c r="Y159" i="5"/>
  <c r="Z208" i="5"/>
  <c r="Y208" i="5"/>
  <c r="Z210" i="5"/>
  <c r="Y210" i="5"/>
  <c r="Z234" i="5"/>
  <c r="Y234" i="5"/>
  <c r="Z133" i="5"/>
  <c r="Y133" i="5"/>
  <c r="Z132" i="5"/>
  <c r="Y132" i="5"/>
  <c r="Z156" i="5"/>
  <c r="Y156" i="5"/>
  <c r="Z160" i="5"/>
  <c r="Y160" i="5"/>
  <c r="Y219" i="5"/>
  <c r="Z219" i="5"/>
  <c r="Z235" i="5"/>
  <c r="Y235" i="5"/>
  <c r="Z226" i="5"/>
  <c r="Y226" i="5"/>
  <c r="Z145" i="5"/>
  <c r="Y145" i="5"/>
  <c r="O14" i="6"/>
  <c r="F37" i="7" s="1"/>
  <c r="X243" i="5"/>
  <c r="Z129" i="5"/>
  <c r="Y129" i="5"/>
  <c r="Z170" i="5"/>
  <c r="Y170" i="5"/>
  <c r="O15" i="6"/>
  <c r="F38" i="7" s="1"/>
  <c r="X244" i="5"/>
  <c r="Z165" i="5"/>
  <c r="Y165" i="5"/>
  <c r="Z229" i="5"/>
  <c r="Y229" i="5"/>
  <c r="Z152" i="5"/>
  <c r="Y152" i="5"/>
  <c r="Z178" i="5"/>
  <c r="Y178" i="5"/>
  <c r="Z232" i="5"/>
  <c r="Y232" i="5"/>
  <c r="Z136" i="5"/>
  <c r="Y136" i="5"/>
  <c r="B105" i="5"/>
  <c r="Z167" i="5"/>
  <c r="Y167" i="5"/>
  <c r="Z182" i="5"/>
  <c r="Y182" i="5"/>
  <c r="Z190" i="5"/>
  <c r="Y190" i="5"/>
  <c r="Z207" i="5"/>
  <c r="Y207" i="5"/>
  <c r="Z198" i="5"/>
  <c r="Y198" i="5"/>
  <c r="O7" i="6"/>
  <c r="F30" i="7" s="1"/>
  <c r="X236" i="5"/>
  <c r="Z238" i="5" l="1"/>
  <c r="Y238" i="5"/>
  <c r="Z236" i="5"/>
  <c r="Y236" i="5"/>
  <c r="O16" i="6"/>
  <c r="P7" i="6"/>
  <c r="Z244" i="5"/>
  <c r="Y244" i="5"/>
  <c r="Z237" i="5"/>
  <c r="Y237" i="5"/>
  <c r="P15" i="6"/>
  <c r="P8" i="6"/>
  <c r="Z239" i="5"/>
  <c r="Y239" i="5"/>
  <c r="P10" i="6"/>
  <c r="P9" i="6"/>
  <c r="Z240" i="5"/>
  <c r="Y240" i="5"/>
  <c r="Z243" i="5"/>
  <c r="Y243" i="5"/>
  <c r="Z242" i="5"/>
  <c r="Y242" i="5"/>
  <c r="P11" i="6"/>
  <c r="P14" i="6"/>
  <c r="B91" i="5"/>
  <c r="E7" i="7" s="1"/>
  <c r="P13" i="6"/>
  <c r="B88" i="5"/>
  <c r="Z241" i="5"/>
  <c r="Y241" i="5"/>
  <c r="P12" i="6"/>
  <c r="R10" i="6" l="1"/>
  <c r="Q10" i="6"/>
  <c r="AC10" i="6" s="1"/>
  <c r="E44" i="7" s="1"/>
  <c r="R15" i="6"/>
  <c r="Q15" i="6"/>
  <c r="AC15" i="6" s="1"/>
  <c r="R9" i="6"/>
  <c r="Q9" i="6"/>
  <c r="AC9" i="6" s="1"/>
  <c r="R14" i="6"/>
  <c r="Q14" i="6"/>
  <c r="AC14" i="6" s="1"/>
  <c r="E48" i="7" s="1"/>
  <c r="R12" i="6"/>
  <c r="Q12" i="6"/>
  <c r="AC12" i="6" s="1"/>
  <c r="E46" i="7" s="1"/>
  <c r="P16" i="6"/>
  <c r="D27" i="6" s="1"/>
  <c r="D20" i="6"/>
  <c r="R7" i="6"/>
  <c r="Q7" i="6"/>
  <c r="R11" i="6"/>
  <c r="Q11" i="6"/>
  <c r="AC11" i="6" s="1"/>
  <c r="Q8" i="6"/>
  <c r="AC8" i="6" s="1"/>
  <c r="R8" i="6"/>
  <c r="B92" i="5"/>
  <c r="F7" i="7" s="1"/>
  <c r="B90" i="5"/>
  <c r="D7" i="7" s="1"/>
  <c r="R13" i="6"/>
  <c r="Q13" i="6"/>
  <c r="AC13" i="6" s="1"/>
  <c r="E45" i="7" l="1"/>
  <c r="E47" i="7"/>
  <c r="E49" i="7"/>
  <c r="E42" i="7"/>
  <c r="B93" i="5"/>
  <c r="C94" i="5"/>
  <c r="AC7" i="6"/>
  <c r="Q16" i="6"/>
  <c r="R16" i="6"/>
  <c r="D21" i="6" s="1"/>
  <c r="G7" i="7" s="1"/>
  <c r="D32" i="6"/>
  <c r="Q7" i="7" s="1"/>
  <c r="L7" i="7"/>
  <c r="E43" i="7" l="1"/>
  <c r="E41" i="7"/>
  <c r="D26" i="6"/>
  <c r="K7" i="7" s="1"/>
  <c r="D22" i="6"/>
  <c r="H7" i="7" s="1"/>
  <c r="F23" i="7" s="1"/>
  <c r="G23" i="7" s="1"/>
  <c r="D31" i="6"/>
  <c r="P7" i="7" s="1"/>
  <c r="O7" i="7"/>
  <c r="B17" i="7" s="1"/>
  <c r="B18" i="7" s="1"/>
  <c r="D25" i="6"/>
  <c r="J7" i="7" s="1"/>
  <c r="D23" i="6"/>
  <c r="I7" i="7" s="1"/>
  <c r="C23" i="7" l="1"/>
  <c r="B16" i="7"/>
  <c r="H23" i="7" l="1"/>
  <c r="D23" i="7"/>
  <c r="N9" i="7" l="1"/>
  <c r="N7" i="7"/>
  <c r="N5" i="7"/>
  <c r="N6" i="7"/>
  <c r="N8" i="7"/>
  <c r="M7" i="7"/>
  <c r="M5" i="7"/>
  <c r="M6" i="7"/>
  <c r="M8" i="7"/>
  <c r="M9" i="7"/>
  <c r="B14" i="7" l="1"/>
  <c r="B13" i="7"/>
  <c r="B15" i="7" l="1"/>
</calcChain>
</file>

<file path=xl/sharedStrings.xml><?xml version="1.0" encoding="utf-8"?>
<sst xmlns="http://schemas.openxmlformats.org/spreadsheetml/2006/main" count="1250" uniqueCount="561">
  <si>
    <t>DATASETS – MMDA AADT and MMARAS crash counts, NCR roads, 2015–2024, with previous-year crashes (Prev) and road size</t>
  </si>
  <si>
    <t>All AADT, crash, length and lane values are live links to SOURCE_DATA (unchanged copy of AADT_MMARAS_DATASETS.xlsx). Prev is a lookup on ROAD + (YEAR − 1); nothing is imputed.</t>
  </si>
  <si>
    <t>Road</t>
  </si>
  <si>
    <t>Year</t>
  </si>
  <si>
    <t>AADT (vehicles/day)</t>
  </si>
  <si>
    <t>Actual MMARAS crashes (count/year)</t>
  </si>
  <si>
    <t>Dataset classification</t>
  </si>
  <si>
    <t>Road length (km)</t>
  </si>
  <si>
    <t>Total lanes (average)</t>
  </si>
  <si>
    <t>Total lanes-kilometers</t>
  </si>
  <si>
    <t>Prev = crashes of same road in Year − 1</t>
  </si>
  <si>
    <t>How Prev was obtained</t>
  </si>
  <si>
    <t>Used in Prev-based models?</t>
  </si>
  <si>
    <t>SUMMARY COUNTS (formulas)</t>
  </si>
  <si>
    <t>Value</t>
  </si>
  <si>
    <t>Training</t>
  </si>
  <si>
    <t>Eligible roads (training + EDSA)</t>
  </si>
  <si>
    <t>Eligible TRAINING roads (EDSA excluded)</t>
  </si>
  <si>
    <t>Training road-years in the source (2015–2024)</t>
  </si>
  <si>
    <t>EDSA test road-years in the source (2015–2024)</t>
  </si>
  <si>
    <t>Training observations USED (Prev available, 2016–2024)</t>
  </si>
  <si>
    <t>EDSA test observations USED (Prev available, 2016–2024)</t>
  </si>
  <si>
    <t>Observations excluded because Prev is unavailable (2015)</t>
  </si>
  <si>
    <t>Years covered by AADT and MMARAS</t>
  </si>
  <si>
    <t>DATA VERIFICATION AND HANDLING (documented, nothing altered)</t>
  </si>
  <si>
    <t>1. Years available in BOTH datasets: AADT 2015–2024 and MMARAS 2015–2024. The source has NO 2014 MMARAS crash counts, so the 2015 record of every road has no Prev.</t>
  </si>
  <si>
    <t xml:space="preserve">    2015 rows are kept here for transparency, marked "No – excluded", and are NOT used in any model that needs Prev. 2014 values were NOT invented.</t>
  </si>
  <si>
    <t>2. Roads: AADT file lists 20 roads; 5 (RECTO, MENDOZA, ARANETA, SHAW, A. BONIFACIO) + 1 blank row have no MMARAS record → excluded.</t>
  </si>
  <si>
    <t>3. MMARAS records Magsaysay + Aurora Blvd. as ONE road (R-6, count stored on the Magsaysay row). R-6 AADT = mean of the two AADT values (as in the study paper);</t>
  </si>
  <si>
    <t xml:space="preserve">    R-6 length = 2.2 + 9.0 km; R-6 lanes-km = 2.2×10 + 9.0×7 = 85.0; R-6 average lanes = lanes-km ÷ length.</t>
  </si>
  <si>
    <t>4. 13 non-EDSA roads = model-development (training) roads; EDSA is kept out of training and used only as the independent test road.</t>
  </si>
  <si>
    <t>5. Data-quality flags (values kept as recorded): Magsaysay/R-6 crashes in 2020 = 154 (≈6% of 2019, vs 30–60% drops on other roads); MCARTHUR HIGHWAY length = 684.855 km</t>
  </si>
  <si>
    <t xml:space="preserve">    (lanes-km 4,109) and MARCOS HIGHWAY 117.5 km are far larger than other roads and become high-leverage points for any lanes-km term; Aurora has no separate crash count.</t>
  </si>
  <si>
    <t>6. Prev formula: =IF(COUNTIFS(Road, Year−1)=1, SUMIFS(Crashes, Road, Year−1), "N/A") → matched by BOTH road and year, never by adjacent row.</t>
  </si>
  <si>
    <t>Colour legend: Blue = typed input | Green = link to SOURCE_DATA | Black = formula | Green fill = result | Orange fill = EDSA test rows.</t>
  </si>
  <si>
    <t>R-6 MAGSAYSAY / AURORA BLVD.</t>
  </si>
  <si>
    <t>EDSA Test</t>
  </si>
  <si>
    <t>LR_CAL – Linear Regression (OLS): (A) original AADT-only baseline and (B) extended model with AADT, Year, Prev and Total lanes-km – trained on 117 non-EDSA observations</t>
  </si>
  <si>
    <t>EDSA is NOT used for any coefficient. Rows below the training block (orange) are EDSA test rows: predicted with the fitted coefficients only. Green = link to DATASETS, black = Excel formula.</t>
  </si>
  <si>
    <t>n (training observations)</t>
  </si>
  <si>
    <t>Σ X  (AADT)</t>
  </si>
  <si>
    <t>Σ Y  (crashes)</t>
  </si>
  <si>
    <t>Σ XY</t>
  </si>
  <si>
    <t>Σ X²</t>
  </si>
  <si>
    <t>Σ Y²</t>
  </si>
  <si>
    <t>Mean X</t>
  </si>
  <si>
    <t>Mean Y</t>
  </si>
  <si>
    <t>Slope b₁ = (nΣXY − ΣXΣY) / (nΣX² − (ΣX)²)</t>
  </si>
  <si>
    <t>Intercept b₀ = Ȳ − b₁X̄</t>
  </si>
  <si>
    <t>SSE = Σ(y − ŷ)²</t>
  </si>
  <si>
    <t>SST = Σ(y − Ȳ)²</t>
  </si>
  <si>
    <t>R² = 1 − SSE/SST</t>
  </si>
  <si>
    <t>MAE = Σ|y − ŷ| / n</t>
  </si>
  <si>
    <t>RMSE = √(SSE/n)</t>
  </si>
  <si>
    <t>Cross-check with Excel built-ins: SLOPE / INTERCEPT / RSQ</t>
  </si>
  <si>
    <t>B. EXTENDED LINEAR REGRESSION: ŷ = b₀ + b₁·AADT + b₂·Year + b₃·Prev + b₄·LaneKm   (least squares on 4 predictors)</t>
  </si>
  <si>
    <t>Coefficient</t>
  </si>
  <si>
    <t>Fitted value</t>
  </si>
  <si>
    <t>Role of the predictor</t>
  </si>
  <si>
    <t>Intercept b₀</t>
  </si>
  <si>
    <t>Baseline crash level when all predictors are 0 (no direct meaning – Year is ~2020)</t>
  </si>
  <si>
    <t>b₁  AADT</t>
  </si>
  <si>
    <t>Extra crashes per +1 vehicle/day, holding Year, Prev, LaneKm fixed</t>
  </si>
  <si>
    <t>b₂  Year</t>
  </si>
  <si>
    <t>Linear time trend: change in crashes per calendar year, others fixed (a straight line cannot capture the 2020 drop)</t>
  </si>
  <si>
    <t>b₃  Prev</t>
  </si>
  <si>
    <t>Share of last year’s crash count carried into this year (crash history / persistence)</t>
  </si>
  <si>
    <t>b₄  LaneKm</t>
  </si>
  <si>
    <t>Extra crashes per +1 lane-km (road size/capacity), others fixed. Road identity is NOT encoded here – see note 3 below</t>
  </si>
  <si>
    <t>Adjusted R² = 1 − (1−R²)(n−1)/(n−k−1), k = 4</t>
  </si>
  <si>
    <t>Cross-check: R² from LINEST statistics</t>
  </si>
  <si>
    <t>Cross-check: first training prediction = b₀+Σ bᵢxᵢ vs sum of contribution columns</t>
  </si>
  <si>
    <t>HOW THE MODEL HANDLES MULTIPLE PREDICTORS AND WHAT IS EXCEL vs FITTED</t>
  </si>
  <si>
    <t>1. Least squares picks b₀…b₄ to minimise SSE over the 117 training rows; each coefficient is the effect of that predictor holding the others fixed.</t>
  </si>
  <si>
    <t>2. Fitted by Excel LINEST (matrix least squares). The same estimator is derived step-by-step with matrices on sheet MLR_CALC (with road effects).</t>
  </si>
  <si>
    <t xml:space="preserve">    estimated together because lanes-km is an exact linear combination of the road indicators (rank 16 of 17 – proved on MLR_CALC).</t>
  </si>
  <si>
    <t>4. Direct Excel formulas: sums, means, baseline slope/intercept, predictions ŷ = b₀+Σbᵢxᵢ, residuals, |residual|, residual², SSE, SST, R², MAE, RMSE, contributions.</t>
  </si>
  <si>
    <t>5. Model-dependent (fitted) step: the extended coefficients (LINEST) – a matrix solution, not a hand-written closed form.</t>
  </si>
  <si>
    <t>6. Year, Prev and LaneKm are used exactly as recorded; EDSA rows use EDSA’s own AADT/Year/Prev/LaneKm; the EDSA crash count of the year predicted is never an input.</t>
  </si>
  <si>
    <t>7. Caution: lanes-km is dominated by McArthur Hwy (4,109) and Marcos Hwy (705); EDSA = 285.6 is inside the training range but the fit is leveraged by these points.</t>
  </si>
  <si>
    <t>C. DATA AND CALCULATION TABLE – training rows first, then EDSA test rows (orange).  A = baseline (AADT only), B = extended</t>
  </si>
  <si>
    <t>X₁ AADT (veh/day)</t>
  </si>
  <si>
    <t>X₂ Year</t>
  </si>
  <si>
    <t>X₃ Prev (crashes Year−1)</t>
  </si>
  <si>
    <t>X₄ LaneKm (total lanes-km)</t>
  </si>
  <si>
    <t>Y Actual crashes</t>
  </si>
  <si>
    <t>Dataset</t>
  </si>
  <si>
    <t>X·Y</t>
  </si>
  <si>
    <t>X²</t>
  </si>
  <si>
    <t>Y²</t>
  </si>
  <si>
    <t>A: Predicted ŷ</t>
  </si>
  <si>
    <t>A: Residual (y−ŷ)</t>
  </si>
  <si>
    <t>A: |Residual|</t>
  </si>
  <si>
    <t>A: Residual²</t>
  </si>
  <si>
    <t>A: (y−Ȳ)²</t>
  </si>
  <si>
    <t>B: Predicted ŷ</t>
  </si>
  <si>
    <t>B: Residual (y−ŷ)</t>
  </si>
  <si>
    <t>B: |Residual|</t>
  </si>
  <si>
    <t>B: Residual²</t>
  </si>
  <si>
    <t>B: (y−Ȳ)²</t>
  </si>
  <si>
    <t>B: b₁·AADT</t>
  </si>
  <si>
    <t>B: b₂·Year</t>
  </si>
  <si>
    <t>B: b₃·Prev</t>
  </si>
  <si>
    <t>B: b₄·LaneKm</t>
  </si>
  <si>
    <t>B: b₀</t>
  </si>
  <si>
    <t>Orange rows = EDSA test. SST/(y−Ȳ)² use the TRAINING mean and only the training rows enter SSE, SST, R², MAE, RMSE above.</t>
  </si>
  <si>
    <t>RF_CAL – Random Forest Regression (10 bootstrap trees): (A) original AADT-only configuration and (B) extended predictors – trained on 117 non-EDSA observations</t>
  </si>
  <si>
    <t>Split features/thresholds and bootstrap draw counts (yellow) were produced by the fitted scikit-learn model. Leaf values, tree predictions, forest averages and all errors are live Excel formulas. EDSA is never used to fit.</t>
  </si>
  <si>
    <t>A. MODEL CONFIGURATION (scikit-learn RandomForestRegressor – same hyper-parameters as the original AADT-only model)</t>
  </si>
  <si>
    <t>Library / version</t>
  </si>
  <si>
    <t>scikit-learn 1.8.0</t>
  </si>
  <si>
    <t>n_estimators (trees)</t>
  </si>
  <si>
    <t>max_depth</t>
  </si>
  <si>
    <t>min_samples_leaf</t>
  </si>
  <si>
    <t>bootstrap</t>
  </si>
  <si>
    <t>TRUE (117 draws with replacement per tree)</t>
  </si>
  <si>
    <t>max_features</t>
  </si>
  <si>
    <t>1.0 (all predictors considered at every split)</t>
  </si>
  <si>
    <t>criterion</t>
  </si>
  <si>
    <t>squared_error</t>
  </si>
  <si>
    <t>random_state (master seed)</t>
  </si>
  <si>
    <t>Training observations</t>
  </si>
  <si>
    <t>A. Baseline predictors</t>
  </si>
  <si>
    <t>AADT only</t>
  </si>
  <si>
    <t>B. Extended predictors (17 columns)</t>
  </si>
  <si>
    <t>AADT, Year, Prev, LaneKm + 13 one-hot road indicators (columns G–S)</t>
  </si>
  <si>
    <t>Categorical encoding of Road</t>
  </si>
  <si>
    <t>One-hot: one 0/1 column per training road. EDSA is not a training road → all 13 indicators = 0 (road identity unknown to the forest).</t>
  </si>
  <si>
    <t>B. HOW THE FOREST IS FITTED AND HOW IT PREDICTS (no single linear equation exists)</t>
  </si>
  <si>
    <t>1. Bootstrap: for each tree, 117 rows are drawn WITH replacement from the 117 training rows (draw counts in the yellow count columns of each block).</t>
  </si>
  <si>
    <t>2. Tree growth: at every node the algorithm tries every predictor and split point and keeps the one that most reduces squared error; stops at depth 3 or when a leaf would</t>
  </si>
  <si>
    <t xml:space="preserve">    have fewer than 3 samples. The chosen predictor/threshold of every node are in the yellow split tables at the bottom of this sheet (fitted by Python).</t>
  </si>
  <si>
    <t>3. Leaf value = bootstrap-weighted mean of Y of the training rows falling in that leaf – recomputed here with SUMPRODUCT formulas (white cells in the leaf-value tables).</t>
  </si>
  <si>
    <t>4. Tree prediction = value of the leaf the row falls into (leaf found with a nested IF built from the split table). Forest prediction = average of the 10 trees.</t>
  </si>
  <si>
    <t>5. Model-generated: the split choices and bootstrap draws. Ordinary Excel: leaf means, tree predictions, averages, residuals, SSE, SST, R², MAE, RMSE.</t>
  </si>
  <si>
    <t>6. Trees cannot extrapolate: if EDSA’s Prev, AADT or Year lie above the highest training split, it receives the value of the top leaf (see EDSA_TEST_ROAD).</t>
  </si>
  <si>
    <t>C. TRAINING METRICS (117 training rows; formulas)</t>
  </si>
  <si>
    <t>Metric</t>
  </si>
  <si>
    <t>A: AADT only</t>
  </si>
  <si>
    <t>B: Extended</t>
  </si>
  <si>
    <t>MAE = Σ|y − ŷ|/n</t>
  </si>
  <si>
    <t>Training metrics of tree models are optimistic (they fit the training roads closely); judge them on EDSA_TEST_ROAD.</t>
  </si>
  <si>
    <t>D. WORKED EXAMPLE – trace one observation through the 10 trees (change the blue observation number: 1–117 training, 118–126 EDSA test; default 122 = EDSA 2020)</t>
  </si>
  <si>
    <t>Observation #</t>
  </si>
  <si>
    <t>AADT</t>
  </si>
  <si>
    <t>Prev</t>
  </si>
  <si>
    <t>LaneKm</t>
  </si>
  <si>
    <t>Actual crashes</t>
  </si>
  <si>
    <t>Tree</t>
  </si>
  <si>
    <t>A: leaf node</t>
  </si>
  <si>
    <t>A: tree prediction</t>
  </si>
  <si>
    <t>B: leaf node</t>
  </si>
  <si>
    <t>B: tree prediction</t>
  </si>
  <si>
    <t>Forest prediction = average of the 10 trees</t>
  </si>
  <si>
    <t>Check: equals the data-table value</t>
  </si>
  <si>
    <t>Residual = Actual − prediction</t>
  </si>
  <si>
    <t>Leaf node numbers refer to the split / leaf-value tables at the bottom of the sheet (node 0 = root).</t>
  </si>
  <si>
    <t>MODEL A: bootstrap counts (fitted, yellow) | leaf node reached | leaf value | forest prediction and errors</t>
  </si>
  <si>
    <t>MODEL B: bootstrap counts (fitted, yellow) | leaf node reached | leaf value | forest prediction and errors</t>
  </si>
  <si>
    <t>road name used for one-hot →</t>
  </si>
  <si>
    <t>1 if road = PRES. QUIRINO AVE.</t>
  </si>
  <si>
    <t>1 if road = C.P. GARCIA /KATIPUNAN AVE. / TANDANG SORA</t>
  </si>
  <si>
    <t>1 if road = ROXAS BLVD.</t>
  </si>
  <si>
    <t>1 if road = TAFT AVE.</t>
  </si>
  <si>
    <t>1 if road = SSH</t>
  </si>
  <si>
    <t>1 if road = ORTIGAS AVE.</t>
  </si>
  <si>
    <t>1 if road = R-6 MAGSAYSAY / AURORA BLVD.</t>
  </si>
  <si>
    <t>1 if road = QUEZON AVE.</t>
  </si>
  <si>
    <t>1 if road = COMMONWEALTH AVE.</t>
  </si>
  <si>
    <t>1 if road = RIZAL AVE.</t>
  </si>
  <si>
    <t>1 if road = DEL PAN</t>
  </si>
  <si>
    <t>1 if road = MARCOS HIGHWAY</t>
  </si>
  <si>
    <t>1 if road = MCARTHUR HIGHWAY</t>
  </si>
  <si>
    <t>A count T1</t>
  </si>
  <si>
    <t>A count T2</t>
  </si>
  <si>
    <t>A count T3</t>
  </si>
  <si>
    <t>A count T4</t>
  </si>
  <si>
    <t>A count T5</t>
  </si>
  <si>
    <t>A count T6</t>
  </si>
  <si>
    <t>A count T7</t>
  </si>
  <si>
    <t>A count T8</t>
  </si>
  <si>
    <t>A count T9</t>
  </si>
  <si>
    <t>A count T10</t>
  </si>
  <si>
    <t>A leaf T1</t>
  </si>
  <si>
    <t>A leaf T2</t>
  </si>
  <si>
    <t>A leaf T3</t>
  </si>
  <si>
    <t>A leaf T4</t>
  </si>
  <si>
    <t>A leaf T5</t>
  </si>
  <si>
    <t>A leaf T6</t>
  </si>
  <si>
    <t>A leaf T7</t>
  </si>
  <si>
    <t>A leaf T8</t>
  </si>
  <si>
    <t>A leaf T9</t>
  </si>
  <si>
    <t>A leaf T10</t>
  </si>
  <si>
    <t>A tree 1 pred</t>
  </si>
  <si>
    <t>A tree 2 pred</t>
  </si>
  <si>
    <t>A tree 3 pred</t>
  </si>
  <si>
    <t>A tree 4 pred</t>
  </si>
  <si>
    <t>A tree 5 pred</t>
  </si>
  <si>
    <t>A tree 6 pred</t>
  </si>
  <si>
    <t>A tree 7 pred</t>
  </si>
  <si>
    <t>A tree 8 pred</t>
  </si>
  <si>
    <t>A tree 9 pred</t>
  </si>
  <si>
    <t>A tree 10 pred</t>
  </si>
  <si>
    <t>A: Final RF prediction (mean of 10 trees)</t>
  </si>
  <si>
    <t>A: Residual (y − ŷ)</t>
  </si>
  <si>
    <t>A: (y − Ȳ)²</t>
  </si>
  <si>
    <t>B count T1</t>
  </si>
  <si>
    <t>B count T2</t>
  </si>
  <si>
    <t>B count T3</t>
  </si>
  <si>
    <t>B count T4</t>
  </si>
  <si>
    <t>B count T5</t>
  </si>
  <si>
    <t>B count T6</t>
  </si>
  <si>
    <t>B count T7</t>
  </si>
  <si>
    <t>B count T8</t>
  </si>
  <si>
    <t>B count T9</t>
  </si>
  <si>
    <t>B count T10</t>
  </si>
  <si>
    <t>B leaf T1</t>
  </si>
  <si>
    <t>B leaf T2</t>
  </si>
  <si>
    <t>B leaf T3</t>
  </si>
  <si>
    <t>B leaf T4</t>
  </si>
  <si>
    <t>B leaf T5</t>
  </si>
  <si>
    <t>B leaf T6</t>
  </si>
  <si>
    <t>B leaf T7</t>
  </si>
  <si>
    <t>B leaf T8</t>
  </si>
  <si>
    <t>B leaf T9</t>
  </si>
  <si>
    <t>B leaf T10</t>
  </si>
  <si>
    <t>B tree 1 pred</t>
  </si>
  <si>
    <t>B tree 2 pred</t>
  </si>
  <si>
    <t>B tree 3 pred</t>
  </si>
  <si>
    <t>B tree 4 pred</t>
  </si>
  <si>
    <t>B tree 5 pred</t>
  </si>
  <si>
    <t>B tree 6 pred</t>
  </si>
  <si>
    <t>B tree 7 pred</t>
  </si>
  <si>
    <t>B tree 8 pred</t>
  </si>
  <si>
    <t>B tree 9 pred</t>
  </si>
  <si>
    <t>B tree 10 pred</t>
  </si>
  <si>
    <t>B: Final RF prediction (mean of 10 trees)</t>
  </si>
  <si>
    <t>B: Residual (y − ŷ)</t>
  </si>
  <si>
    <t>B: (y − Ȳ)²</t>
  </si>
  <si>
    <t>SPLIT TABLE A – fitted split predictor and threshold for every node of each of the 10 trees (AADT only)</t>
  </si>
  <si>
    <t>Tree / stage</t>
  </si>
  <si>
    <t>Node 0 feature</t>
  </si>
  <si>
    <t>Node 0 threshold (go LEFT if ≤)</t>
  </si>
  <si>
    <t>Node 1 feature</t>
  </si>
  <si>
    <t>Node 1 threshold (go LEFT if ≤)</t>
  </si>
  <si>
    <t>Node 2 feature</t>
  </si>
  <si>
    <t>Node 2 threshold (go LEFT if ≤)</t>
  </si>
  <si>
    <t>Node 3 feature</t>
  </si>
  <si>
    <t>Node 3 threshold (go LEFT if ≤)</t>
  </si>
  <si>
    <t>Node 4 feature</t>
  </si>
  <si>
    <t>Node 4 threshold (go LEFT if ≤)</t>
  </si>
  <si>
    <t>Node 5 feature</t>
  </si>
  <si>
    <t>Node 5 threshold (go LEFT if ≤)</t>
  </si>
  <si>
    <t>Node 6 feature</t>
  </si>
  <si>
    <t>Node 6 threshold (go LEFT if ≤)</t>
  </si>
  <si>
    <t>Node 7 feature</t>
  </si>
  <si>
    <t>Node 7 threshold (go LEFT if ≤)</t>
  </si>
  <si>
    <t>Node 8 feature</t>
  </si>
  <si>
    <t>Node 8 threshold (go LEFT if ≤)</t>
  </si>
  <si>
    <t>Node 9 feature</t>
  </si>
  <si>
    <t>Node 9 threshold (go LEFT if ≤)</t>
  </si>
  <si>
    <t>Node 10 feature</t>
  </si>
  <si>
    <t>Node 10 threshold (go LEFT if ≤)</t>
  </si>
  <si>
    <t>Node 11 feature</t>
  </si>
  <si>
    <t>Node 11 threshold (go LEFT if ≤)</t>
  </si>
  <si>
    <t>Node 12 feature</t>
  </si>
  <si>
    <t>Node 12 threshold (go LEFT if ≤)</t>
  </si>
  <si>
    <t>Node 13 feature</t>
  </si>
  <si>
    <t>Node 13 threshold (go LEFT if ≤)</t>
  </si>
  <si>
    <t>Node 14 feature</t>
  </si>
  <si>
    <t>Node 14 threshold (go LEFT if ≤)</t>
  </si>
  <si>
    <t>1</t>
  </si>
  <si>
    <t>leaf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</si>
  <si>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</si>
  <si>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</si>
  <si>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</si>
  <si>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</si>
  <si>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</si>
  <si>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</si>
  <si>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</si>
  <si>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</si>
  <si>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</si>
  <si>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LEAF-VALUE TABLE A – value of each leaf = bootstrap-weighted mean of Y in the leaf (formula)</t>
  </si>
  <si>
    <t>Leaf node 0</t>
  </si>
  <si>
    <t>Leaf node 1</t>
  </si>
  <si>
    <t>Leaf node 2</t>
  </si>
  <si>
    <t>Leaf node 3</t>
  </si>
  <si>
    <t>Leaf node 4</t>
  </si>
  <si>
    <t>Leaf node 5</t>
  </si>
  <si>
    <t>Leaf node 6</t>
  </si>
  <si>
    <t>Leaf node 7</t>
  </si>
  <si>
    <t>Leaf node 8</t>
  </si>
  <si>
    <t>Leaf node 9</t>
  </si>
  <si>
    <t>Leaf node 10</t>
  </si>
  <si>
    <t>Leaf node 11</t>
  </si>
  <si>
    <t>Leaf node 12</t>
  </si>
  <si>
    <t>Leaf node 13</t>
  </si>
  <si>
    <t>Leaf node 14</t>
  </si>
  <si>
    <t>SPLIT TABLE B – fitted split predictor and threshold for every node of each of the 10 trees (extended predictors)</t>
  </si>
  <si>
    <t>Road: C.P. GARCIA /KATIPUNAN AVE. / TANDANG SORA</t>
  </si>
  <si>
    <t>Road: R-6 MAGSAYSAY / AURORA BLVD.</t>
  </si>
  <si>
    <t>LEAF-VALUE TABLE B – value of each leaf = bootstrap-weighted mean of Y in the leaf (formula)</t>
  </si>
  <si>
    <t>Road: COMMONWEALTH AVE.</t>
  </si>
  <si>
    <t>Road: ORTIGAS AVE.</t>
  </si>
  <si>
    <t>MLR_CALC – Multiple Linear Regression with road effects: ŷ = β₀ + β₁·AADT + β₂·Year + β₃·Prev + Road effects   (117 training observations)</t>
  </si>
  <si>
    <t>Coefficients are computed in Excel with the normal equations β = (ZᵀZ)⁻¹Zᵀy on a STANDARDISED design matrix Z, then converted back to original units. EDSA is never used.</t>
  </si>
  <si>
    <t>Variable</t>
  </si>
  <si>
    <t>Mean (training)</t>
  </si>
  <si>
    <t>Std. dev. (training)</t>
  </si>
  <si>
    <t>Number of training roads (for EDSA road encoding)</t>
  </si>
  <si>
    <t>Mean Y (training)</t>
  </si>
  <si>
    <t>B. DESIGN MATRIX Z (columns G–V of the data table below): 16 columns = intercept | z(AADT) | z(Year) | z(Prev) | 12 road dummies (reference road = PRES. QUIRINO AVE.)</t>
  </si>
  <si>
    <t>ZᵀZ  (16×16, array formula MMULT(TRANSPOSE(Z),Z))</t>
  </si>
  <si>
    <t>Intercept</t>
  </si>
  <si>
    <t>z AADT</t>
  </si>
  <si>
    <t>z Year</t>
  </si>
  <si>
    <t>z Prev</t>
  </si>
  <si>
    <t>Road: ROXAS BLVD.</t>
  </si>
  <si>
    <t>Road: TAFT AVE.</t>
  </si>
  <si>
    <t>Road: SSH</t>
  </si>
  <si>
    <t>Road: QUEZON AVE.</t>
  </si>
  <si>
    <t>Road: RIZAL AVE.</t>
  </si>
  <si>
    <t>Road: DEL PAN</t>
  </si>
  <si>
    <t>Road: MARCOS HIGHWAY</t>
  </si>
  <si>
    <t>Road: MCARTHUR HIGHWAY</t>
  </si>
  <si>
    <t>(ZᵀZ)⁻¹  (array formula MINVERSE)</t>
  </si>
  <si>
    <t>Zᵀy and β (standardised scale)</t>
  </si>
  <si>
    <t>Zᵀy</t>
  </si>
  <si>
    <t>β = (ZᵀZ)⁻¹ Zᵀy</t>
  </si>
  <si>
    <t>Standardised β</t>
  </si>
  <si>
    <t>Original-unit coefficient</t>
  </si>
  <si>
    <t>β₀ Intercept (reference road, all else 0)</t>
  </si>
  <si>
    <t>Level for the reference road when AADT = Year = Prev = 0 (no direct meaning)</t>
  </si>
  <si>
    <t>β₁ AADT</t>
  </si>
  <si>
    <t>Extra crashes per +1 vehicle/day, same road, Year and Prev fixed</t>
  </si>
  <si>
    <t>β₂ Year</t>
  </si>
  <si>
    <t>Linear time trend (crashes per calendar year, others fixed)</t>
  </si>
  <si>
    <t>β₃ Prev</t>
  </si>
  <si>
    <t>Share of last year’s crashes carried into this year, within-road</t>
  </si>
  <si>
    <t>Road effect: C.P. GARCIA /KATIPUNAN AVE. / TANDANG SORA</t>
  </si>
  <si>
    <t>Difference in average crash level of this road vs the reference road, after AADT, Year and Prev</t>
  </si>
  <si>
    <t>Road effect: ROXAS BLVD.</t>
  </si>
  <si>
    <t>Road effect: TAFT AVE.</t>
  </si>
  <si>
    <t>Road effect: SSH</t>
  </si>
  <si>
    <t>Road effect: ORTIGAS AVE.</t>
  </si>
  <si>
    <t>Road effect: R-6 MAGSAYSAY / AURORA BLVD.</t>
  </si>
  <si>
    <t>Road effect: QUEZON AVE.</t>
  </si>
  <si>
    <t>Road effect: COMMONWEALTH AVE.</t>
  </si>
  <si>
    <t>Road effect: RIZAL AVE.</t>
  </si>
  <si>
    <t>Road effect: DEL PAN</t>
  </si>
  <si>
    <t>Road effect: MARCOS HIGHWAY</t>
  </si>
  <si>
    <t>Road effect: MCARTHUR HIGHWAY</t>
  </si>
  <si>
    <t>D. TRAINING METRICS</t>
  </si>
  <si>
    <t>Adjusted R² (k = 15 predictors)</t>
  </si>
  <si>
    <t>Cross-check: R² from LINEST on the same standardised design</t>
  </si>
  <si>
    <t>E. WHY LANES-KM IS NOT ALSO IN THIS MODEL (rank deficiency) – requested form ŷ = β₀+β₁AADT+β₂Year+β₃Prev+β₄LaneKm+Road effects cannot be estimated</t>
  </si>
  <si>
    <t>Total lanes-km is a constant for each road, so LaneKm = LaneKm(ref)·(1 − Σ dummies) + Σ LaneKm(road)·dummy exactly.</t>
  </si>
  <si>
    <t>Largest |LaneKm − reconstruction from road dummies| over all training rows</t>
  </si>
  <si>
    <t>A value of 0 means LaneKm adds NO information beyond the road dummies: (ZᵀZ) would be singular (design rank 16 of 17 columns, verified with numpy at build time).</t>
  </si>
  <si>
    <t>Therefore two valid extended models are compared: LR_CAL (B) uses LaneKm without road dummies; this sheet uses road dummies without LaneKm.</t>
  </si>
  <si>
    <t>EDSA is a road NOT in the training set, so it has no fitted road effect. EDSA rows use dummy = 1/13 for every road (the average road effect); this is an assumption, stated here.</t>
  </si>
  <si>
    <t>F. WORKED NUMERICAL EXAMPLE – first training row (all numbers from the table below)</t>
  </si>
  <si>
    <t>ŷ = β₀ + β₁·AADT + β₂·Year + β₃·Prev + road effect</t>
  </si>
  <si>
    <t>Actual crashes / residual</t>
  </si>
  <si>
    <t>G. DATA, DESIGN MATRIX AND PREDICTIONS – training rows then EDSA test rows (orange; EDSA dummies = 1/13 each)</t>
  </si>
  <si>
    <t>LaneKm of each dummy road →</t>
  </si>
  <si>
    <t>LaneKm of reference road</t>
  </si>
  <si>
    <t>Road effects (row copy of C73:C84 aligned with dummy columns) →</t>
  </si>
  <si>
    <t>Y Actual</t>
  </si>
  <si>
    <t>D: C.P. GARCIA /KATIPUNAN AVE. / TANDANG SORA</t>
  </si>
  <si>
    <t>D: ROXAS BLVD.</t>
  </si>
  <si>
    <t>D: TAFT AVE.</t>
  </si>
  <si>
    <t>D: SSH</t>
  </si>
  <si>
    <t>D: ORTIGAS AVE.</t>
  </si>
  <si>
    <t>D: R-6 MAGSAYSAY / AURORA BLVD.</t>
  </si>
  <si>
    <t>D: QUEZON AVE.</t>
  </si>
  <si>
    <t>D: COMMONWEALTH AVE.</t>
  </si>
  <si>
    <t>D: RIZAL AVE.</t>
  </si>
  <si>
    <t>D: DEL PAN</t>
  </si>
  <si>
    <t>D: MARCOS HIGHWAY</t>
  </si>
  <si>
    <t>D: MCARTHUR HIGHWAY</t>
  </si>
  <si>
    <t>ŷ Predicted</t>
  </si>
  <si>
    <t>Residual (y−ŷ)</t>
  </si>
  <si>
    <t>|Residual|</t>
  </si>
  <si>
    <t>Residual²</t>
  </si>
  <si>
    <t>(y−Ȳ)²</t>
  </si>
  <si>
    <t>β₁·AADT</t>
  </si>
  <si>
    <t>β₂·Year</t>
  </si>
  <si>
    <t>β₃·Prev</t>
  </si>
  <si>
    <t>Road effect</t>
  </si>
  <si>
    <t>LaneKm rebuilt from road dummies</t>
  </si>
  <si>
    <t>|LaneKm − rebuilt|</t>
  </si>
  <si>
    <t>EDSA_TEST_ROAD – Independent out-of-sample test of all models on EDSA, 2016–2024 (9 test years with a known previous-year crash count)</t>
  </si>
  <si>
    <t>All models were fitted on the 13 non-EDSA roads only. Residual = Actual − Predicted (positive = under-prediction). Predictions are NOT rounded; only the display format is. Prev for each year is the actual EDSA count of the previous year.</t>
  </si>
  <si>
    <t>EDSA test data (DATASETS)</t>
  </si>
  <si>
    <t>LR – AADT only (baseline)</t>
  </si>
  <si>
    <t>LR – extended</t>
  </si>
  <si>
    <t>MLR – extended with road effects</t>
  </si>
  <si>
    <t>RF – AADT only (baseline)</t>
  </si>
  <si>
    <t>RF – extended</t>
  </si>
  <si>
    <t>ACCURACY PER YEAR = 1 − |Actual − Predicted| / Actual</t>
  </si>
  <si>
    <t>EDSA AADT (veh/day)</t>
  </si>
  <si>
    <t>Total lanes-km</t>
  </si>
  <si>
    <t>Actual EDSA crashes</t>
  </si>
  <si>
    <t>Prev (actual crashes Year−1)</t>
  </si>
  <si>
    <t>Predicted</t>
  </si>
  <si>
    <t>Residual</t>
  </si>
  <si>
    <t>Absolute error</t>
  </si>
  <si>
    <t>Squared error</t>
  </si>
  <si>
    <t>Accuracy 1−|e|/y: LR – AADT only (baseline)</t>
  </si>
  <si>
    <t>Accuracy 1−|e|/y: LR – extended</t>
  </si>
  <si>
    <t>Accuracy 1−|e|/y: MLR – extended with road effects</t>
  </si>
  <si>
    <t>Accuracy 1−|e|/y: RF – AADT only (baseline)</t>
  </si>
  <si>
    <t>Accuracy 1−|e|/y: RF – extended</t>
  </si>
  <si>
    <t>TOTAL (Σ)</t>
  </si>
  <si>
    <t>TEST METRICS ACROSS THE 9 EDSA TEST YEARS (2016–2024) – formulas</t>
  </si>
  <si>
    <t>n (test observations)</t>
  </si>
  <si>
    <t>RMSE = √(SSE / n)</t>
  </si>
  <si>
    <t>SST_test = Σ(y − ȳ_EDSA)²</t>
  </si>
  <si>
    <t>Test R² = 1 − SSE/SST_test</t>
  </si>
  <si>
    <t>Σ |residuals|</t>
  </si>
  <si>
    <t>Σ signed residuals (positive = under-prediction)</t>
  </si>
  <si>
    <t>Test years with accuracy ≥ 85%</t>
  </si>
  <si>
    <t>Volume accuracy = 1 − |Σ residuals| / Σ actual</t>
  </si>
  <si>
    <t>WORKED EXAMPLES – choose a test year (blue cell); every number below is pulled from the model sheets by formula</t>
  </si>
  <si>
    <t>Test year (2016–2024)</t>
  </si>
  <si>
    <t>EDSA AADT</t>
  </si>
  <si>
    <t>Prev (actual crashes of the previous year)</t>
  </si>
  <si>
    <t>1) LR – AADT only:  ŷ = b₀ + b₁·AADT</t>
  </si>
  <si>
    <t>b₀ (intercept)</t>
  </si>
  <si>
    <t>b₁ × AADT</t>
  </si>
  <si>
    <t>Prediction ŷ</t>
  </si>
  <si>
    <t>← difference vs table (0)</t>
  </si>
  <si>
    <t>Residual = actual − ŷ</t>
  </si>
  <si>
    <t>2) LR – extended: predictor contributions  (coefficient × value)</t>
  </si>
  <si>
    <t>Contribution</t>
  </si>
  <si>
    <t>Prediction ŷ = Σ contributions</t>
  </si>
  <si>
    <t>3) MLR – extended with road effects: contributions</t>
  </si>
  <si>
    <t>Intercept β₀ (reference road)</t>
  </si>
  <si>
    <t>Road effect (EDSA is unseen → average of the 13 road effects; the reference road counts as 0)</t>
  </si>
  <si>
    <t>4) RF – each of the 10 fitted trees returns the mean crash count of the leaf the EDSA row falls into; the forest averages them</t>
  </si>
  <si>
    <t>AADT-only: leaf node</t>
  </si>
  <si>
    <t>AADT-only: tree value</t>
  </si>
  <si>
    <t>Extended: leaf node</t>
  </si>
  <si>
    <t>Extended: tree value</t>
  </si>
  <si>
    <t>Forest prediction = average of 10 trees</t>
  </si>
  <si>
    <t>Check vs table (0)</t>
  </si>
  <si>
    <t>LIMITATIONS – READ BEFORE INTERPRETING</t>
  </si>
  <si>
    <t>• Only ONE test road (EDSA) and 9 yearly values (2016–2024): the yearly values of one road are serially dependent, so every error metric is very uncertain.</t>
  </si>
  <si>
    <t>• 2015 cannot be tested with Prev-based models because the source has no 2014 MMARAS counts (nothing was invented).</t>
  </si>
  <si>
    <t>• Prev uses EDSA’s own earlier crash counts as inputs (legitimate history, available before the predicted year) but this means the EDSA test is not “blind” to EDSA: the models partly copy last year’s EDSA count.</t>
  </si>
  <si>
    <t>• The 2020 pandemic drop (EDSA crashes 17,382 → 7,319) cannot be anticipated from last year’s crashes, and a straight-line Year term cannot represent it: lag-based models over-predict 2020 and under/over-shoot the following years.</t>
  </si>
  <si>
    <t>• Training pools all years 2016–2024 of the 13 other roads; when predicting EDSA 2016 the fit has seen later years of other roads. This is a cross-road hold-out, not a strictly forward-in-time forecast.</t>
  </si>
  <si>
    <t>• Total lanes-km is dominated by McArthur Hwy (4,109) and Marcos Hwy (705); the lanes-km coefficient is driven by these leverage points.</t>
  </si>
  <si>
    <t>MODEL_COMPARISON – Does previous crash history (and the other predictors) improve crash prediction? Ranked by EDSA test RMSE</t>
  </si>
  <si>
    <t>Model</t>
  </si>
  <si>
    <t>Predictor configuration</t>
  </si>
  <si>
    <t>Training R²</t>
  </si>
  <si>
    <t>Training MAE</t>
  </si>
  <si>
    <t>Training RMSE</t>
  </si>
  <si>
    <t>EDSA test SSE</t>
  </si>
  <si>
    <t>EDSA test MAE</t>
  </si>
  <si>
    <t>EDSA test RMSE</t>
  </si>
  <si>
    <t>EDSA test R²</t>
  </si>
  <si>
    <t>Sum of absolute residuals</t>
  </si>
  <si>
    <t>Sum of signed residuals</t>
  </si>
  <si>
    <t>Rank by EDSA test RMSE</t>
  </si>
  <si>
    <t>Rank by EDSA test MAE</t>
  </si>
  <si>
    <t>Test years ≥ 85% accurate (of 9)</t>
  </si>
  <si>
    <t>Volume accuracy</t>
  </si>
  <si>
    <t>AADT, Year, Prev, LaneKm</t>
  </si>
  <si>
    <t>AADT, Year, Prev, Road effects (12 dummies)</t>
  </si>
  <si>
    <t>AADT, Year, Prev, LaneKm, Road one-hot (13)</t>
  </si>
  <si>
    <t>Best model on EDSA test (lowest RMSE)</t>
  </si>
  <si>
    <t>Best model by MAE (secondary)</t>
  </si>
  <si>
    <t>Do RMSE and MAE agree on the winner?</t>
  </si>
  <si>
    <t>DOES PREVIOUS CRASH HISTORY + THE EXTRA PREDICTORS IMPROVE ON AADT ONLY?  (same model family, same 117 training rows, same 9 EDSA years)</t>
  </si>
  <si>
    <t>Comparison</t>
  </si>
  <si>
    <t>AADT-only RMSE</t>
  </si>
  <si>
    <t>Extended RMSE</t>
  </si>
  <si>
    <t>Change in RMSE</t>
  </si>
  <si>
    <t>AADT-only MAE</t>
  </si>
  <si>
    <t>Extended MAE</t>
  </si>
  <si>
    <t>Change in MAE</t>
  </si>
  <si>
    <t>Verdict (by EDSA RMSE)</t>
  </si>
  <si>
    <t>Linear Regression → LR extended</t>
  </si>
  <si>
    <t>Linear Regression → MLR with road effects</t>
  </si>
  <si>
    <t>Random Forest → RF extended</t>
  </si>
  <si>
    <t>Negative change = lower error = improvement. The comparison is valid because baselines and extended models use identical training rows and identical EDSA test years.</t>
  </si>
  <si>
    <t>ACTUAL vs PREDICTED EDSA CRASHES BY YEAR (model outputs, unrounded; no charts requested)</t>
  </si>
  <si>
    <t>Accuracy by year = 1 − |actual − predicted| / actual</t>
  </si>
  <si>
    <t>CONCLUSION (numbers are live above; this text was written for the values in this workbook)</t>
  </si>
  <si>
    <t>3. The MLR with road effects (RMSE 6,084) beats AADT-only LR but is clearly worse than LR extended: with road fixed effects the Prev coefficient shrinks (within-road persistence) and EDSA, an unseen road, receives only the AVERAGE road effect, so its much higher crash level is under-predicted.</t>
  </si>
  <si>
    <t>AADT has 20 roads; MMARAS have 16 recorded roads but only 15 have the same record in the ADDT (R-6 Magsaysay/Aurora is one MMARAS entry = 14 roads). Separate the EDSA as we used it as TEST ROAD  = 13 roads now remain for model development</t>
  </si>
  <si>
    <t>And we have used the mmda datasets from 2024 - 2015. 13 (model development roads) x 10 years used datasets  = total of 130 datasets</t>
  </si>
  <si>
    <t>AADT 2015</t>
  </si>
  <si>
    <t>AADT 2016</t>
  </si>
  <si>
    <t>AADT 2017</t>
  </si>
  <si>
    <t>AADT 2018</t>
  </si>
  <si>
    <t>AADT 2019</t>
  </si>
  <si>
    <t>AADT 2020</t>
  </si>
  <si>
    <t>AADT 2021</t>
  </si>
  <si>
    <t>AADT 2022</t>
  </si>
  <si>
    <t>AADT 2023</t>
  </si>
  <si>
    <t>AADT 2024</t>
  </si>
  <si>
    <t>MMARAS 2015</t>
  </si>
  <si>
    <t>MMARAS 2016</t>
  </si>
  <si>
    <t>MMARAS 2017</t>
  </si>
  <si>
    <t>MMARAS 2018</t>
  </si>
  <si>
    <t>MMARAS 2019</t>
  </si>
  <si>
    <t>MMARAS 2020</t>
  </si>
  <si>
    <t>MMARAS 2021</t>
  </si>
  <si>
    <t>MMARAS 2022</t>
  </si>
  <si>
    <t>MMARAS 2023</t>
  </si>
  <si>
    <t>MMARAS 2024</t>
  </si>
  <si>
    <t>Role in study</t>
  </si>
  <si>
    <t>Road Length in km</t>
  </si>
  <si>
    <t>Total Lanes (Avg)</t>
  </si>
  <si>
    <t>Total Lanes-Kilometers</t>
  </si>
  <si>
    <t>PRES. QUIRINO AVE.</t>
  </si>
  <si>
    <t>Model development</t>
  </si>
  <si>
    <t>EDSA</t>
  </si>
  <si>
    <t>TEST road and Model development</t>
  </si>
  <si>
    <t>C.P. GARCIA /KATIPUNAN AVE. / TANDANG SORA</t>
  </si>
  <si>
    <t>ROXAS BLVD.</t>
  </si>
  <si>
    <t>TAFT AVE.</t>
  </si>
  <si>
    <t>SSH</t>
  </si>
  <si>
    <t>ORTIGAS AVE.</t>
  </si>
  <si>
    <t>MAGSAYSAY BLVD.</t>
  </si>
  <si>
    <t>Model development (R-6 combined)</t>
  </si>
  <si>
    <t>AURORA BLVD.</t>
  </si>
  <si>
    <t>QUEZON AVE.</t>
  </si>
  <si>
    <t>COMMONWEALTH AVE.</t>
  </si>
  <si>
    <t>RIZAL AVE.</t>
  </si>
  <si>
    <t>DEL PAN</t>
  </si>
  <si>
    <t>MARCOS HIGHWAY</t>
  </si>
  <si>
    <t>MCARTHUR HIGHWAY</t>
  </si>
  <si>
    <t>RECTO</t>
  </si>
  <si>
    <t>Excluded (no MMARAS record)</t>
  </si>
  <si>
    <t>MENDOZA</t>
  </si>
  <si>
    <t>ARANETA AVE.</t>
  </si>
  <si>
    <t>SHAW BLVD.</t>
  </si>
  <si>
    <t>A. BONIFACIO</t>
  </si>
  <si>
    <t>A. BASELINE (original model): ŷ = b₀ + b₁·AADT   – every number is an ordinary Excel formula (sums of the data table). (This data is only model development)</t>
  </si>
  <si>
    <t>3. Road identity is encoded on MLR_CALC. Here lanes-km (a road-level constant) represents road characteristics; lanes-km and 13 road  cannot be</t>
  </si>
  <si>
    <t>A. SCALING (numerical stability): AADT, Year and Prev are standardised z = (x − mean)/sd using TRAINING rows only; road are 0/1</t>
  </si>
  <si>
    <t>• EDSA is a new road: it has no fitted road effect. MLR uses the average road effect; RF see all road indicators = 0. EDSA’s Prev (up to 17,382) lies above every training Prev (max 8,735), so trees return their top-leaf value (no extrapolation).</t>
  </si>
  <si>
    <t>Every value is a formula linked to LR_CAL / RF_CAL  / MLR_CALC / EDSA_TEST_ROAD. Lower error = better. Ranking uses EDSA TEST errors, never training R². Baselines are trained on the SAME 117 rows as the extended models.</t>
  </si>
  <si>
    <t>2. Previous crash history helped a lot in the linear model: RMSE fell from 7,097 (AADT only) to 3,740 (-47%). RF improved 8,350 → 5,748</t>
  </si>
  <si>
    <t>3. Reliability: 9 yearly values from ONE road, serially dependent, containing one extreme shock year (2020). The gap between LR extended and the AADT-only models is large, but conclusions about which extended model is best should be treated as indicative, not conclusive.</t>
  </si>
  <si>
    <t>Best median accuracy (1 − MAPE) of any model</t>
  </si>
  <si>
    <t>Is the 85% closeness target met by any model (median accuracy ≥ 85%)?</t>
  </si>
  <si>
    <t>Median accuract</t>
  </si>
  <si>
    <t>1. Lowest EDSA test RMSE: LR – extended – RMSE 3,740, MAE 2,370 crashes, median accuracy 85.4%; 5 of 9 years within 15% of the actual count (2017, 2019, 2022, 2023, 2024).</t>
  </si>
  <si>
    <t>median accuracy (1 − MAPE)</t>
  </si>
  <si>
    <t>Best RMSE as % of median actual EDSA crashes</t>
  </si>
  <si>
    <t>C. FITTED COEFFICIENTS IN ORIGINAL UNITS  (β₁ = βz/sd, β₀ = β₀z − Σ βz·median/sd, road effects unchanged)</t>
  </si>
  <si>
    <t>Median prediction</t>
  </si>
  <si>
    <t>Median predicted crashes</t>
  </si>
  <si>
    <t>Median accuracy = 1 − MAPE</t>
  </si>
  <si>
    <t>Avg actual crashes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</si>
</sst>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0"/>
    <numFmt numFmtId="165" formatCode="0.000"/>
    <numFmt numFmtId="166" formatCode="#,##0.0"/>
    <numFmt numFmtId="167" formatCode="#,##0.0000"/>
    <numFmt numFmtId="168" formatCode="0.000000000"/>
    <numFmt numFmtId="169" formatCode="0.0000000"/>
    <numFmt numFmtId="170" formatCode="0.0000"/>
    <numFmt numFmtId="171" formatCode="0.000000"/>
    <numFmt numFmtId="172" formatCode="0.0"/>
    <numFmt numFmtId="173" formatCode="0.0%"/>
  </numFmts>
  <fonts count="12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C00000"/>
      <name val="Arial"/>
      <charset val="1"/>
    </font>
    <font>
      <sz val="10"/>
      <color theme="1"/>
      <name val="Arial"/>
      <family val="2"/>
    </font>
    <font>
      <i/>
      <sz val="10"/>
      <color rgb="FF595959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2F5597"/>
        <bgColor rgb="FF1F3864"/>
      </patternFill>
    </fill>
    <fill>
      <patternFill patternType="solid">
        <fgColor rgb="FFFCE4D6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theme="4" tint="-0.249977111117893"/>
        <bgColor rgb="FF1F3864"/>
      </patternFill>
    </fill>
    <fill>
      <patternFill patternType="solid">
        <fgColor theme="4" tint="-0.249977111117893"/>
        <bgColor rgb="FF595959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3" fontId="6" fillId="0" borderId="0" xfId="0" applyNumberFormat="1" applyFont="1"/>
    <xf numFmtId="0" fontId="6" fillId="0" borderId="0" xfId="0" applyFont="1"/>
    <xf numFmtId="3" fontId="7" fillId="3" borderId="0" xfId="0" applyNumberFormat="1" applyFont="1" applyFill="1"/>
    <xf numFmtId="0" fontId="3" fillId="4" borderId="0" xfId="0" applyFont="1" applyFill="1"/>
    <xf numFmtId="165" fontId="6" fillId="0" borderId="0" xfId="0" applyNumberFormat="1" applyFont="1"/>
    <xf numFmtId="0" fontId="4" fillId="5" borderId="0" xfId="0" applyFont="1" applyFill="1"/>
    <xf numFmtId="0" fontId="5" fillId="5" borderId="0" xfId="0" applyFont="1" applyFill="1"/>
    <xf numFmtId="3" fontId="4" fillId="5" borderId="0" xfId="0" applyNumberFormat="1" applyFont="1" applyFill="1"/>
    <xf numFmtId="164" fontId="4" fillId="5" borderId="0" xfId="0" applyNumberFormat="1" applyFont="1" applyFill="1"/>
    <xf numFmtId="165" fontId="4" fillId="5" borderId="0" xfId="0" applyNumberFormat="1" applyFont="1" applyFill="1"/>
    <xf numFmtId="166" fontId="4" fillId="5" borderId="0" xfId="0" applyNumberFormat="1" applyFont="1" applyFill="1"/>
    <xf numFmtId="3" fontId="6" fillId="5" borderId="0" xfId="0" applyNumberFormat="1" applyFont="1" applyFill="1"/>
    <xf numFmtId="0" fontId="6" fillId="5" borderId="0" xfId="0" applyFont="1" applyFill="1"/>
    <xf numFmtId="0" fontId="0" fillId="4" borderId="0" xfId="0" applyFill="1"/>
    <xf numFmtId="1" fontId="6" fillId="0" borderId="0" xfId="0" applyNumberFormat="1" applyFont="1"/>
    <xf numFmtId="167" fontId="6" fillId="0" borderId="0" xfId="0" applyNumberFormat="1" applyFont="1"/>
    <xf numFmtId="168" fontId="7" fillId="3" borderId="0" xfId="0" applyNumberFormat="1" applyFont="1" applyFill="1"/>
    <xf numFmtId="169" fontId="7" fillId="3" borderId="0" xfId="0" applyNumberFormat="1" applyFont="1" applyFill="1"/>
    <xf numFmtId="4" fontId="7" fillId="3" borderId="0" xfId="0" applyNumberFormat="1" applyFont="1" applyFill="1"/>
    <xf numFmtId="170" fontId="7" fillId="3" borderId="0" xfId="0" applyNumberFormat="1" applyFont="1" applyFill="1"/>
    <xf numFmtId="168" fontId="6" fillId="0" borderId="0" xfId="0" applyNumberFormat="1" applyFont="1"/>
    <xf numFmtId="169" fontId="6" fillId="0" borderId="0" xfId="0" applyNumberFormat="1" applyFont="1"/>
    <xf numFmtId="170" fontId="6" fillId="0" borderId="0" xfId="0" applyNumberFormat="1" applyFont="1"/>
    <xf numFmtId="0" fontId="7" fillId="3" borderId="0" xfId="0" applyFont="1" applyFill="1"/>
    <xf numFmtId="171" fontId="6" fillId="0" borderId="0" xfId="0" applyNumberFormat="1" applyFont="1"/>
    <xf numFmtId="4" fontId="6" fillId="0" borderId="0" xfId="0" applyNumberFormat="1" applyFont="1"/>
    <xf numFmtId="4" fontId="6" fillId="5" borderId="0" xfId="0" applyNumberFormat="1" applyFont="1" applyFill="1"/>
    <xf numFmtId="0" fontId="5" fillId="6" borderId="0" xfId="0" applyFont="1" applyFill="1"/>
    <xf numFmtId="1" fontId="7" fillId="3" borderId="0" xfId="0" applyNumberFormat="1" applyFont="1" applyFill="1"/>
    <xf numFmtId="1" fontId="5" fillId="0" borderId="0" xfId="0" applyNumberFormat="1" applyFont="1"/>
    <xf numFmtId="166" fontId="6" fillId="0" borderId="0" xfId="0" applyNumberFormat="1" applyFont="1"/>
    <xf numFmtId="0" fontId="4" fillId="0" borderId="0" xfId="0" applyFont="1" applyAlignment="1">
      <alignment wrapText="1"/>
    </xf>
    <xf numFmtId="0" fontId="0" fillId="5" borderId="0" xfId="0" applyFill="1"/>
    <xf numFmtId="4" fontId="7" fillId="5" borderId="0" xfId="0" applyNumberFormat="1" applyFont="1" applyFill="1"/>
    <xf numFmtId="167" fontId="5" fillId="6" borderId="0" xfId="0" applyNumberFormat="1" applyFont="1" applyFill="1"/>
    <xf numFmtId="1" fontId="4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171" fontId="7" fillId="0" borderId="0" xfId="0" applyNumberFormat="1" applyFont="1"/>
    <xf numFmtId="171" fontId="7" fillId="3" borderId="0" xfId="0" applyNumberFormat="1" applyFont="1" applyFill="1"/>
    <xf numFmtId="0" fontId="8" fillId="0" borderId="0" xfId="0" applyFont="1"/>
    <xf numFmtId="170" fontId="6" fillId="5" borderId="0" xfId="0" applyNumberFormat="1" applyFont="1" applyFill="1"/>
    <xf numFmtId="166" fontId="6" fillId="5" borderId="0" xfId="0" applyNumberFormat="1" applyFont="1" applyFill="1"/>
    <xf numFmtId="171" fontId="6" fillId="5" borderId="0" xfId="0" applyNumberFormat="1" applyFont="1" applyFill="1"/>
    <xf numFmtId="172" fontId="4" fillId="0" borderId="0" xfId="0" applyNumberFormat="1" applyFont="1"/>
    <xf numFmtId="4" fontId="4" fillId="0" borderId="0" xfId="0" applyNumberFormat="1" applyFont="1"/>
    <xf numFmtId="173" fontId="6" fillId="0" borderId="0" xfId="0" applyNumberFormat="1" applyFont="1"/>
    <xf numFmtId="173" fontId="7" fillId="3" borderId="0" xfId="0" applyNumberFormat="1" applyFont="1" applyFill="1"/>
    <xf numFmtId="169" fontId="4" fillId="0" borderId="0" xfId="0" applyNumberFormat="1" applyFont="1"/>
    <xf numFmtId="0" fontId="7" fillId="0" borderId="0" xfId="0" applyFont="1"/>
    <xf numFmtId="170" fontId="4" fillId="0" borderId="0" xfId="0" applyNumberFormat="1" applyFont="1"/>
    <xf numFmtId="173" fontId="4" fillId="0" borderId="0" xfId="0" applyNumberFormat="1" applyFont="1"/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/>
    <xf numFmtId="3" fontId="9" fillId="0" borderId="0" xfId="0" applyNumberFormat="1" applyFont="1"/>
    <xf numFmtId="166" fontId="9" fillId="0" borderId="0" xfId="0" applyNumberFormat="1" applyFont="1"/>
    <xf numFmtId="3" fontId="7" fillId="3" borderId="0" xfId="0" applyNumberFormat="1" applyFont="1" applyFill="1" applyAlignment="1">
      <alignment horizontal="right" vertic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3" fontId="6" fillId="5" borderId="0" xfId="0" applyNumberFormat="1" applyFont="1" applyFill="1" applyAlignment="1">
      <alignment horizontal="right"/>
    </xf>
    <xf numFmtId="3" fontId="0" fillId="0" borderId="0" xfId="0" applyNumberFormat="1"/>
    <xf numFmtId="1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5" fillId="6" borderId="0" xfId="0" applyFont="1" applyFill="1" applyAlignment="1">
      <alignment horizontal="right"/>
    </xf>
    <xf numFmtId="1" fontId="7" fillId="0" borderId="0" xfId="0" applyNumberFormat="1" applyFont="1"/>
    <xf numFmtId="4" fontId="7" fillId="0" borderId="0" xfId="0" applyNumberFormat="1" applyFont="1"/>
    <xf numFmtId="170" fontId="7" fillId="0" borderId="0" xfId="0" applyNumberFormat="1" applyFont="1"/>
    <xf numFmtId="173" fontId="7" fillId="0" borderId="0" xfId="0" applyNumberFormat="1" applyFont="1"/>
    <xf numFmtId="0" fontId="3" fillId="7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0" fillId="0" borderId="0" xfId="0" applyFont="1"/>
    <xf numFmtId="173" fontId="9" fillId="0" borderId="0" xfId="0" applyNumberFormat="1" applyFont="1"/>
    <xf numFmtId="0" fontId="11" fillId="0" borderId="0" xfId="0" applyFont="1"/>
    <xf numFmtId="0" fontId="7" fillId="3" borderId="0" xfId="0" applyFont="1" applyFill="1" applyAlignment="1">
      <alignment horizontal="right"/>
    </xf>
    <xf numFmtId="173" fontId="7" fillId="3" borderId="0" xfId="0" applyNumberFormat="1" applyFont="1" applyFill="1" applyAlignment="1">
      <alignment horizontal="right"/>
    </xf>
    <xf numFmtId="0" fontId="5" fillId="0" borderId="0" xfId="0" applyFont="1" applyAlignment="1">
      <alignment horizontal="righ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7F7F7F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144"/>
  <sheetViews>
    <sheetView showGridLines="0" topLeftCell="C72" zoomScale="85" zoomScaleNormal="85" workbookViewId="0">
      <selection activeCell="A116" sqref="A116"/>
    </sheetView>
  </sheetViews>
  <sheetFormatPr defaultColWidth="8.6640625" defaultRowHeight="14.4" x14ac:dyDescent="0.3"/>
  <cols>
    <col min="1" max="1" width="42.5546875" customWidth="1"/>
    <col min="2" max="2" width="9.77734375" customWidth="1"/>
    <col min="3" max="3" width="13" customWidth="1"/>
    <col min="4" max="4" width="16.6640625" customWidth="1"/>
    <col min="5" max="5" width="16.21875" customWidth="1"/>
    <col min="6" max="6" width="13.88671875" customWidth="1"/>
    <col min="7" max="7" width="13.77734375" customWidth="1"/>
    <col min="8" max="8" width="15.88671875" customWidth="1"/>
    <col min="9" max="9" width="15" customWidth="1"/>
    <col min="10" max="10" width="44" customWidth="1"/>
    <col min="11" max="11" width="16" customWidth="1"/>
    <col min="12" max="12" width="3" customWidth="1"/>
    <col min="13" max="13" width="62" customWidth="1"/>
    <col min="14" max="14" width="12" customWidth="1"/>
  </cols>
  <sheetData>
    <row r="1" spans="1:14" ht="16.8" x14ac:dyDescent="0.3">
      <c r="A1" s="1" t="s">
        <v>0</v>
      </c>
    </row>
    <row r="2" spans="1:14" x14ac:dyDescent="0.3">
      <c r="A2" s="2" t="s">
        <v>1</v>
      </c>
    </row>
    <row r="4" spans="1:14" ht="54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M4" s="3" t="s">
        <v>13</v>
      </c>
      <c r="N4" s="3" t="s">
        <v>14</v>
      </c>
    </row>
    <row r="5" spans="1:14" x14ac:dyDescent="0.3">
      <c r="A5" s="4" t="str">
        <f>SOURCE_DATA!A5</f>
        <v>PRES. QUIRINO AVE.</v>
      </c>
      <c r="B5" s="5">
        <v>2015</v>
      </c>
      <c r="C5" s="6">
        <f>SOURCE_DATA!B5</f>
        <v>119824</v>
      </c>
      <c r="D5" s="6">
        <f>SOURCE_DATA!L5</f>
        <v>887</v>
      </c>
      <c r="E5" s="5" t="s">
        <v>15</v>
      </c>
      <c r="F5" s="7">
        <f>SOURCE_DATA!W5</f>
        <v>3.6</v>
      </c>
      <c r="G5" s="8">
        <f>SOURCE_DATA!X5</f>
        <v>8</v>
      </c>
      <c r="H5" s="9">
        <f>SOURCE_DATA!Y5</f>
        <v>28.8</v>
      </c>
      <c r="I5" s="69" t="str">
        <f>IF(COUNTIFS($A$5:$A$144,A5,$B$5:$B$144,B5-1)=1,SUMIFS($D$5:$D$144,$A$5:$A$144,A5,$B$5:$B$144,B5-1),"N/A")</f>
        <v>N/A</v>
      </c>
      <c r="J5" s="11" t="str">
        <f t="shared" ref="J5:J36" si="0">IF(ISNUMBER(I5),"Actual "&amp;(B5-1)&amp;" crashes of this road","Unavailable – no "&amp;(B5-1)&amp;" MMARAS record (not imputed)")</f>
        <v>Unavailable – no 2014 MMARAS record (not imputed)</v>
      </c>
      <c r="K5" s="11" t="str">
        <f t="shared" ref="K5:K36" si="1">IF(ISNUMBER(I5),"Yes","No – excluded")</f>
        <v>No – excluded</v>
      </c>
      <c r="M5" s="11" t="s">
        <v>16</v>
      </c>
      <c r="N5" s="12">
        <f>SUMPRODUCT(1/COUNTIF($A$5:$A$144,$A$5:$A$144))</f>
        <v>13.999999999999966</v>
      </c>
    </row>
    <row r="6" spans="1:14" x14ac:dyDescent="0.3">
      <c r="A6" s="4" t="str">
        <f>SOURCE_DATA!A5</f>
        <v>PRES. QUIRINO AVE.</v>
      </c>
      <c r="B6" s="5">
        <v>2016</v>
      </c>
      <c r="C6" s="6">
        <f>SOURCE_DATA!C5</f>
        <v>117482</v>
      </c>
      <c r="D6" s="6">
        <f>SOURCE_DATA!M5</f>
        <v>1005</v>
      </c>
      <c r="E6" s="5" t="s">
        <v>15</v>
      </c>
      <c r="F6" s="7">
        <f>SOURCE_DATA!W5</f>
        <v>3.6</v>
      </c>
      <c r="G6" s="8">
        <f>SOURCE_DATA!X5</f>
        <v>8</v>
      </c>
      <c r="H6" s="9">
        <f>SOURCE_DATA!Y5</f>
        <v>28.8</v>
      </c>
      <c r="I6" s="69">
        <f t="shared" ref="I6:I36" si="2">IF(COUNTIFS($A$5:$A$144,A6,$B$5:$B$144,B6-1)=1,SUMIFS($D$5:$D$144,$A$5:$A$144,A6,$B$5:$B$144,B6-1),"N/A")</f>
        <v>887</v>
      </c>
      <c r="J6" s="11" t="str">
        <f t="shared" si="0"/>
        <v>Actual 2015 crashes of this road</v>
      </c>
      <c r="K6" s="11" t="str">
        <f t="shared" si="1"/>
        <v>Yes</v>
      </c>
      <c r="M6" s="11" t="s">
        <v>17</v>
      </c>
      <c r="N6" s="12">
        <f>SUMPRODUCT(($E$5:$E$144="Training")/COUNTIFS($A$5:$A$144,$A$5:$A$144,$E$5:$E$144,$E$5:$E$144))</f>
        <v>12.99999999999997</v>
      </c>
    </row>
    <row r="7" spans="1:14" x14ac:dyDescent="0.3">
      <c r="A7" s="4" t="str">
        <f>SOURCE_DATA!A5</f>
        <v>PRES. QUIRINO AVE.</v>
      </c>
      <c r="B7" s="5">
        <v>2017</v>
      </c>
      <c r="C7" s="6">
        <f>SOURCE_DATA!D5</f>
        <v>105118</v>
      </c>
      <c r="D7" s="6">
        <f>SOURCE_DATA!N5</f>
        <v>868</v>
      </c>
      <c r="E7" s="5" t="s">
        <v>15</v>
      </c>
      <c r="F7" s="7">
        <f>SOURCE_DATA!W5</f>
        <v>3.6</v>
      </c>
      <c r="G7" s="8">
        <f>SOURCE_DATA!X5</f>
        <v>8</v>
      </c>
      <c r="H7" s="9">
        <f>SOURCE_DATA!Y5</f>
        <v>28.8</v>
      </c>
      <c r="I7" s="69">
        <f t="shared" si="2"/>
        <v>1005</v>
      </c>
      <c r="J7" s="11" t="str">
        <f t="shared" si="0"/>
        <v>Actual 2016 crashes of this road</v>
      </c>
      <c r="K7" s="11" t="str">
        <f t="shared" si="1"/>
        <v>Yes</v>
      </c>
      <c r="M7" s="11" t="s">
        <v>18</v>
      </c>
      <c r="N7" s="12">
        <f>COUNTIF($E$5:$E$144,"Training")</f>
        <v>130</v>
      </c>
    </row>
    <row r="8" spans="1:14" x14ac:dyDescent="0.3">
      <c r="A8" s="4" t="str">
        <f>SOURCE_DATA!A5</f>
        <v>PRES. QUIRINO AVE.</v>
      </c>
      <c r="B8" s="5">
        <v>2018</v>
      </c>
      <c r="C8" s="6">
        <f>SOURCE_DATA!E5</f>
        <v>108592</v>
      </c>
      <c r="D8" s="6">
        <f>SOURCE_DATA!O5</f>
        <v>953</v>
      </c>
      <c r="E8" s="5" t="s">
        <v>15</v>
      </c>
      <c r="F8" s="7">
        <f>SOURCE_DATA!W5</f>
        <v>3.6</v>
      </c>
      <c r="G8" s="8">
        <f>SOURCE_DATA!X5</f>
        <v>8</v>
      </c>
      <c r="H8" s="9">
        <f>SOURCE_DATA!Y5</f>
        <v>28.8</v>
      </c>
      <c r="I8" s="69">
        <f t="shared" si="2"/>
        <v>868</v>
      </c>
      <c r="J8" s="11" t="str">
        <f t="shared" si="0"/>
        <v>Actual 2017 crashes of this road</v>
      </c>
      <c r="K8" s="11" t="str">
        <f t="shared" si="1"/>
        <v>Yes</v>
      </c>
      <c r="M8" s="11" t="s">
        <v>19</v>
      </c>
      <c r="N8" s="12">
        <f>COUNTIF($E$5:$E$144,"EDSA Test")</f>
        <v>10</v>
      </c>
    </row>
    <row r="9" spans="1:14" x14ac:dyDescent="0.3">
      <c r="A9" s="4" t="str">
        <f>SOURCE_DATA!A5</f>
        <v>PRES. QUIRINO AVE.</v>
      </c>
      <c r="B9" s="5">
        <v>2019</v>
      </c>
      <c r="C9" s="6">
        <f>SOURCE_DATA!F5</f>
        <v>116767</v>
      </c>
      <c r="D9" s="6">
        <f>SOURCE_DATA!P5</f>
        <v>1127</v>
      </c>
      <c r="E9" s="5" t="s">
        <v>15</v>
      </c>
      <c r="F9" s="7">
        <f>SOURCE_DATA!W5</f>
        <v>3.6</v>
      </c>
      <c r="G9" s="8">
        <f>SOURCE_DATA!X5</f>
        <v>8</v>
      </c>
      <c r="H9" s="9">
        <f>SOURCE_DATA!Y5</f>
        <v>28.8</v>
      </c>
      <c r="I9" s="69">
        <f t="shared" si="2"/>
        <v>953</v>
      </c>
      <c r="J9" s="11" t="str">
        <f t="shared" si="0"/>
        <v>Actual 2018 crashes of this road</v>
      </c>
      <c r="K9" s="11" t="str">
        <f t="shared" si="1"/>
        <v>Yes</v>
      </c>
      <c r="M9" s="11" t="s">
        <v>20</v>
      </c>
      <c r="N9" s="12">
        <f>COUNTIFS($E$5:$E$144,"Training",$K$5:$K$144,"Yes")</f>
        <v>117</v>
      </c>
    </row>
    <row r="10" spans="1:14" x14ac:dyDescent="0.3">
      <c r="A10" s="4" t="str">
        <f>SOURCE_DATA!A5</f>
        <v>PRES. QUIRINO AVE.</v>
      </c>
      <c r="B10" s="5">
        <v>2020</v>
      </c>
      <c r="C10" s="6">
        <f>SOURCE_DATA!G5</f>
        <v>84967</v>
      </c>
      <c r="D10" s="6">
        <f>SOURCE_DATA!Q5</f>
        <v>484</v>
      </c>
      <c r="E10" s="5" t="s">
        <v>15</v>
      </c>
      <c r="F10" s="7">
        <f>SOURCE_DATA!W5</f>
        <v>3.6</v>
      </c>
      <c r="G10" s="8">
        <f>SOURCE_DATA!X5</f>
        <v>8</v>
      </c>
      <c r="H10" s="9">
        <f>SOURCE_DATA!Y5</f>
        <v>28.8</v>
      </c>
      <c r="I10" s="69">
        <f t="shared" si="2"/>
        <v>1127</v>
      </c>
      <c r="J10" s="11" t="str">
        <f t="shared" si="0"/>
        <v>Actual 2019 crashes of this road</v>
      </c>
      <c r="K10" s="11" t="str">
        <f t="shared" si="1"/>
        <v>Yes</v>
      </c>
      <c r="M10" s="11" t="s">
        <v>21</v>
      </c>
      <c r="N10" s="12">
        <f>COUNTIFS($E$5:$E$144,"EDSA Test",$K$5:$K$144,"Yes")</f>
        <v>9</v>
      </c>
    </row>
    <row r="11" spans="1:14" x14ac:dyDescent="0.3">
      <c r="A11" s="4" t="str">
        <f>SOURCE_DATA!A5</f>
        <v>PRES. QUIRINO AVE.</v>
      </c>
      <c r="B11" s="5">
        <v>2021</v>
      </c>
      <c r="C11" s="6">
        <f>SOURCE_DATA!H5</f>
        <v>72582</v>
      </c>
      <c r="D11" s="6">
        <f>SOURCE_DATA!R5</f>
        <v>350</v>
      </c>
      <c r="E11" s="5" t="s">
        <v>15</v>
      </c>
      <c r="F11" s="7">
        <f>SOURCE_DATA!W5</f>
        <v>3.6</v>
      </c>
      <c r="G11" s="8">
        <f>SOURCE_DATA!X5</f>
        <v>8</v>
      </c>
      <c r="H11" s="9">
        <f>SOURCE_DATA!Y5</f>
        <v>28.8</v>
      </c>
      <c r="I11" s="69">
        <f t="shared" si="2"/>
        <v>484</v>
      </c>
      <c r="J11" s="11" t="str">
        <f t="shared" si="0"/>
        <v>Actual 2020 crashes of this road</v>
      </c>
      <c r="K11" s="11" t="str">
        <f t="shared" si="1"/>
        <v>Yes</v>
      </c>
      <c r="M11" s="11" t="s">
        <v>22</v>
      </c>
      <c r="N11" s="12">
        <f>COUNTIF($K$5:$K$144,"No*")</f>
        <v>14</v>
      </c>
    </row>
    <row r="12" spans="1:14" x14ac:dyDescent="0.3">
      <c r="A12" s="4" t="str">
        <f>SOURCE_DATA!A5</f>
        <v>PRES. QUIRINO AVE.</v>
      </c>
      <c r="B12" s="5">
        <v>2022</v>
      </c>
      <c r="C12" s="6">
        <f>SOURCE_DATA!I5</f>
        <v>147617</v>
      </c>
      <c r="D12" s="6">
        <f>SOURCE_DATA!S5</f>
        <v>808</v>
      </c>
      <c r="E12" s="5" t="s">
        <v>15</v>
      </c>
      <c r="F12" s="7">
        <f>SOURCE_DATA!W5</f>
        <v>3.6</v>
      </c>
      <c r="G12" s="8">
        <f>SOURCE_DATA!X5</f>
        <v>8</v>
      </c>
      <c r="H12" s="9">
        <f>SOURCE_DATA!Y5</f>
        <v>28.8</v>
      </c>
      <c r="I12" s="69">
        <f t="shared" si="2"/>
        <v>350</v>
      </c>
      <c r="J12" s="11" t="str">
        <f t="shared" si="0"/>
        <v>Actual 2021 crashes of this road</v>
      </c>
      <c r="K12" s="11" t="str">
        <f t="shared" si="1"/>
        <v>Yes</v>
      </c>
      <c r="M12" s="11" t="s">
        <v>23</v>
      </c>
      <c r="N12" s="67" t="str">
        <f>MIN($B$5:$B$144)&amp;"–"&amp;MAX($B$5:$B$144)</f>
        <v>2015–2024</v>
      </c>
    </row>
    <row r="13" spans="1:14" x14ac:dyDescent="0.3">
      <c r="A13" s="4" t="str">
        <f>SOURCE_DATA!A5</f>
        <v>PRES. QUIRINO AVE.</v>
      </c>
      <c r="B13" s="5">
        <v>2023</v>
      </c>
      <c r="C13" s="6">
        <f>SOURCE_DATA!J5</f>
        <v>177881</v>
      </c>
      <c r="D13" s="6">
        <f>SOURCE_DATA!T5</f>
        <v>951</v>
      </c>
      <c r="E13" s="5" t="s">
        <v>15</v>
      </c>
      <c r="F13" s="7">
        <f>SOURCE_DATA!W5</f>
        <v>3.6</v>
      </c>
      <c r="G13" s="8">
        <f>SOURCE_DATA!X5</f>
        <v>8</v>
      </c>
      <c r="H13" s="9">
        <f>SOURCE_DATA!Y5</f>
        <v>28.8</v>
      </c>
      <c r="I13" s="69">
        <f t="shared" si="2"/>
        <v>808</v>
      </c>
      <c r="J13" s="11" t="str">
        <f t="shared" si="0"/>
        <v>Actual 2022 crashes of this road</v>
      </c>
      <c r="K13" s="11" t="str">
        <f t="shared" si="1"/>
        <v>Yes</v>
      </c>
      <c r="M13" s="11"/>
      <c r="N13" s="68"/>
    </row>
    <row r="14" spans="1:14" x14ac:dyDescent="0.3">
      <c r="A14" s="4" t="str">
        <f>SOURCE_DATA!A5</f>
        <v>PRES. QUIRINO AVE.</v>
      </c>
      <c r="B14" s="5">
        <v>2024</v>
      </c>
      <c r="C14" s="6">
        <f>SOURCE_DATA!K5</f>
        <v>195138</v>
      </c>
      <c r="D14" s="6">
        <f>SOURCE_DATA!U5</f>
        <v>1041</v>
      </c>
      <c r="E14" s="5" t="s">
        <v>15</v>
      </c>
      <c r="F14" s="7">
        <f>SOURCE_DATA!W5</f>
        <v>3.6</v>
      </c>
      <c r="G14" s="8">
        <f>SOURCE_DATA!X5</f>
        <v>8</v>
      </c>
      <c r="H14" s="9">
        <f>SOURCE_DATA!Y5</f>
        <v>28.8</v>
      </c>
      <c r="I14" s="69">
        <f t="shared" si="2"/>
        <v>951</v>
      </c>
      <c r="J14" s="11" t="str">
        <f t="shared" si="0"/>
        <v>Actual 2023 crashes of this road</v>
      </c>
      <c r="K14" s="11" t="str">
        <f t="shared" si="1"/>
        <v>Yes</v>
      </c>
    </row>
    <row r="15" spans="1:14" x14ac:dyDescent="0.3">
      <c r="A15" s="4" t="str">
        <f>SOURCE_DATA!A7</f>
        <v>C.P. GARCIA /KATIPUNAN AVE. / TANDANG SORA</v>
      </c>
      <c r="B15" s="5">
        <v>2015</v>
      </c>
      <c r="C15" s="6">
        <f>SOURCE_DATA!B7</f>
        <v>194119</v>
      </c>
      <c r="D15" s="6">
        <f>SOURCE_DATA!L7</f>
        <v>4598</v>
      </c>
      <c r="E15" s="5" t="s">
        <v>15</v>
      </c>
      <c r="F15" s="7">
        <f>SOURCE_DATA!W7</f>
        <v>43.87</v>
      </c>
      <c r="G15" s="8">
        <f>SOURCE_DATA!X7</f>
        <v>10</v>
      </c>
      <c r="H15" s="9">
        <f>SOURCE_DATA!Y7</f>
        <v>438.7</v>
      </c>
      <c r="I15" s="69" t="str">
        <f t="shared" si="2"/>
        <v>N/A</v>
      </c>
      <c r="J15" s="11" t="str">
        <f t="shared" si="0"/>
        <v>Unavailable – no 2014 MMARAS record (not imputed)</v>
      </c>
      <c r="K15" s="11" t="str">
        <f t="shared" si="1"/>
        <v>No – excluded</v>
      </c>
    </row>
    <row r="16" spans="1:14" x14ac:dyDescent="0.3">
      <c r="A16" s="4" t="str">
        <f>SOURCE_DATA!A7</f>
        <v>C.P. GARCIA /KATIPUNAN AVE. / TANDANG SORA</v>
      </c>
      <c r="B16" s="5">
        <v>2016</v>
      </c>
      <c r="C16" s="6">
        <f>SOURCE_DATA!C7</f>
        <v>218155</v>
      </c>
      <c r="D16" s="6">
        <f>SOURCE_DATA!M7</f>
        <v>5911</v>
      </c>
      <c r="E16" s="5" t="s">
        <v>15</v>
      </c>
      <c r="F16" s="7">
        <f>SOURCE_DATA!W7</f>
        <v>43.87</v>
      </c>
      <c r="G16" s="8">
        <f>SOURCE_DATA!X7</f>
        <v>10</v>
      </c>
      <c r="H16" s="9">
        <f>SOURCE_DATA!Y7</f>
        <v>438.7</v>
      </c>
      <c r="I16" s="69">
        <f t="shared" si="2"/>
        <v>4598</v>
      </c>
      <c r="J16" s="11" t="str">
        <f t="shared" si="0"/>
        <v>Actual 2015 crashes of this road</v>
      </c>
      <c r="K16" s="11" t="str">
        <f t="shared" si="1"/>
        <v>Yes</v>
      </c>
      <c r="M16" s="13" t="s">
        <v>24</v>
      </c>
    </row>
    <row r="17" spans="1:13" x14ac:dyDescent="0.3">
      <c r="A17" s="4" t="str">
        <f>SOURCE_DATA!A7</f>
        <v>C.P. GARCIA /KATIPUNAN AVE. / TANDANG SORA</v>
      </c>
      <c r="B17" s="5">
        <v>2017</v>
      </c>
      <c r="C17" s="6">
        <f>SOURCE_DATA!D7</f>
        <v>218751</v>
      </c>
      <c r="D17" s="6">
        <f>SOURCE_DATA!N7</f>
        <v>5794</v>
      </c>
      <c r="E17" s="5" t="s">
        <v>15</v>
      </c>
      <c r="F17" s="7">
        <f>SOURCE_DATA!W7</f>
        <v>43.87</v>
      </c>
      <c r="G17" s="8">
        <f>SOURCE_DATA!X7</f>
        <v>10</v>
      </c>
      <c r="H17" s="9">
        <f>SOURCE_DATA!Y7</f>
        <v>438.7</v>
      </c>
      <c r="I17" s="69">
        <f t="shared" si="2"/>
        <v>5911</v>
      </c>
      <c r="J17" s="11" t="str">
        <f t="shared" si="0"/>
        <v>Actual 2016 crashes of this road</v>
      </c>
      <c r="K17" s="11" t="str">
        <f t="shared" si="1"/>
        <v>Yes</v>
      </c>
      <c r="M17" s="2" t="s">
        <v>25</v>
      </c>
    </row>
    <row r="18" spans="1:13" x14ac:dyDescent="0.3">
      <c r="A18" s="4" t="str">
        <f>SOURCE_DATA!A7</f>
        <v>C.P. GARCIA /KATIPUNAN AVE. / TANDANG SORA</v>
      </c>
      <c r="B18" s="5">
        <v>2018</v>
      </c>
      <c r="C18" s="6">
        <f>SOURCE_DATA!E7</f>
        <v>235744</v>
      </c>
      <c r="D18" s="6">
        <f>SOURCE_DATA!O7</f>
        <v>8252</v>
      </c>
      <c r="E18" s="5" t="s">
        <v>15</v>
      </c>
      <c r="F18" s="7">
        <f>SOURCE_DATA!W7</f>
        <v>43.87</v>
      </c>
      <c r="G18" s="8">
        <f>SOURCE_DATA!X7</f>
        <v>10</v>
      </c>
      <c r="H18" s="9">
        <f>SOURCE_DATA!Y7</f>
        <v>438.7</v>
      </c>
      <c r="I18" s="69">
        <f t="shared" si="2"/>
        <v>5794</v>
      </c>
      <c r="J18" s="11" t="str">
        <f t="shared" si="0"/>
        <v>Actual 2017 crashes of this road</v>
      </c>
      <c r="K18" s="11" t="str">
        <f t="shared" si="1"/>
        <v>Yes</v>
      </c>
      <c r="M18" s="2" t="s">
        <v>26</v>
      </c>
    </row>
    <row r="19" spans="1:13" x14ac:dyDescent="0.3">
      <c r="A19" s="4" t="str">
        <f>SOURCE_DATA!A7</f>
        <v>C.P. GARCIA /KATIPUNAN AVE. / TANDANG SORA</v>
      </c>
      <c r="B19" s="5">
        <v>2019</v>
      </c>
      <c r="C19" s="6">
        <f>SOURCE_DATA!F7</f>
        <v>236060</v>
      </c>
      <c r="D19" s="6">
        <f>SOURCE_DATA!P7</f>
        <v>8735</v>
      </c>
      <c r="E19" s="5" t="s">
        <v>15</v>
      </c>
      <c r="F19" s="7">
        <f>SOURCE_DATA!W7</f>
        <v>43.87</v>
      </c>
      <c r="G19" s="8">
        <f>SOURCE_DATA!X7</f>
        <v>10</v>
      </c>
      <c r="H19" s="9">
        <f>SOURCE_DATA!Y7</f>
        <v>438.7</v>
      </c>
      <c r="I19" s="69">
        <f t="shared" si="2"/>
        <v>8252</v>
      </c>
      <c r="J19" s="11" t="str">
        <f t="shared" si="0"/>
        <v>Actual 2018 crashes of this road</v>
      </c>
      <c r="K19" s="11" t="str">
        <f t="shared" si="1"/>
        <v>Yes</v>
      </c>
      <c r="M19" s="2" t="s">
        <v>27</v>
      </c>
    </row>
    <row r="20" spans="1:13" x14ac:dyDescent="0.3">
      <c r="A20" s="4" t="str">
        <f>SOURCE_DATA!A7</f>
        <v>C.P. GARCIA /KATIPUNAN AVE. / TANDANG SORA</v>
      </c>
      <c r="B20" s="5">
        <v>2020</v>
      </c>
      <c r="C20" s="6">
        <f>SOURCE_DATA!G7</f>
        <v>192418</v>
      </c>
      <c r="D20" s="6">
        <f>SOURCE_DATA!Q7</f>
        <v>5208</v>
      </c>
      <c r="E20" s="5" t="s">
        <v>15</v>
      </c>
      <c r="F20" s="7">
        <f>SOURCE_DATA!W7</f>
        <v>43.87</v>
      </c>
      <c r="G20" s="8">
        <f>SOURCE_DATA!X7</f>
        <v>10</v>
      </c>
      <c r="H20" s="9">
        <f>SOURCE_DATA!Y7</f>
        <v>438.7</v>
      </c>
      <c r="I20" s="69">
        <f t="shared" si="2"/>
        <v>8735</v>
      </c>
      <c r="J20" s="11" t="str">
        <f t="shared" si="0"/>
        <v>Actual 2019 crashes of this road</v>
      </c>
      <c r="K20" s="11" t="str">
        <f t="shared" si="1"/>
        <v>Yes</v>
      </c>
      <c r="M20" s="2" t="s">
        <v>28</v>
      </c>
    </row>
    <row r="21" spans="1:13" x14ac:dyDescent="0.3">
      <c r="A21" s="4" t="str">
        <f>SOURCE_DATA!A7</f>
        <v>C.P. GARCIA /KATIPUNAN AVE. / TANDANG SORA</v>
      </c>
      <c r="B21" s="5">
        <v>2021</v>
      </c>
      <c r="C21" s="6">
        <f>SOURCE_DATA!H7</f>
        <v>212285</v>
      </c>
      <c r="D21" s="6">
        <f>SOURCE_DATA!R7</f>
        <v>5769</v>
      </c>
      <c r="E21" s="5" t="s">
        <v>15</v>
      </c>
      <c r="F21" s="7">
        <f>SOURCE_DATA!W7</f>
        <v>43.87</v>
      </c>
      <c r="G21" s="8">
        <f>SOURCE_DATA!X7</f>
        <v>10</v>
      </c>
      <c r="H21" s="9">
        <f>SOURCE_DATA!Y7</f>
        <v>438.7</v>
      </c>
      <c r="I21" s="69">
        <f t="shared" si="2"/>
        <v>5208</v>
      </c>
      <c r="J21" s="11" t="str">
        <f t="shared" si="0"/>
        <v>Actual 2020 crashes of this road</v>
      </c>
      <c r="K21" s="11" t="str">
        <f t="shared" si="1"/>
        <v>Yes</v>
      </c>
      <c r="M21" s="2" t="s">
        <v>29</v>
      </c>
    </row>
    <row r="22" spans="1:13" x14ac:dyDescent="0.3">
      <c r="A22" s="4" t="str">
        <f>SOURCE_DATA!A7</f>
        <v>C.P. GARCIA /KATIPUNAN AVE. / TANDANG SORA</v>
      </c>
      <c r="B22" s="5">
        <v>2022</v>
      </c>
      <c r="C22" s="6">
        <f>SOURCE_DATA!I7</f>
        <v>211819</v>
      </c>
      <c r="D22" s="6">
        <f>SOURCE_DATA!S7</f>
        <v>7255</v>
      </c>
      <c r="E22" s="5" t="s">
        <v>15</v>
      </c>
      <c r="F22" s="7">
        <f>SOURCE_DATA!W7</f>
        <v>43.87</v>
      </c>
      <c r="G22" s="8">
        <f>SOURCE_DATA!X7</f>
        <v>10</v>
      </c>
      <c r="H22" s="9">
        <f>SOURCE_DATA!Y7</f>
        <v>438.7</v>
      </c>
      <c r="I22" s="69">
        <f t="shared" si="2"/>
        <v>5769</v>
      </c>
      <c r="J22" s="11" t="str">
        <f t="shared" si="0"/>
        <v>Actual 2021 crashes of this road</v>
      </c>
      <c r="K22" s="11" t="str">
        <f t="shared" si="1"/>
        <v>Yes</v>
      </c>
      <c r="M22" s="2" t="s">
        <v>30</v>
      </c>
    </row>
    <row r="23" spans="1:13" x14ac:dyDescent="0.3">
      <c r="A23" s="4" t="str">
        <f>SOURCE_DATA!A7</f>
        <v>C.P. GARCIA /KATIPUNAN AVE. / TANDANG SORA</v>
      </c>
      <c r="B23" s="5">
        <v>2023</v>
      </c>
      <c r="C23" s="6">
        <f>SOURCE_DATA!J7</f>
        <v>238695</v>
      </c>
      <c r="D23" s="6">
        <f>SOURCE_DATA!T7</f>
        <v>8119</v>
      </c>
      <c r="E23" s="5" t="s">
        <v>15</v>
      </c>
      <c r="F23" s="7">
        <f>SOURCE_DATA!W7</f>
        <v>43.87</v>
      </c>
      <c r="G23" s="8">
        <f>SOURCE_DATA!X7</f>
        <v>10</v>
      </c>
      <c r="H23" s="9">
        <f>SOURCE_DATA!Y7</f>
        <v>438.7</v>
      </c>
      <c r="I23" s="69">
        <f t="shared" si="2"/>
        <v>7255</v>
      </c>
      <c r="J23" s="11" t="str">
        <f t="shared" si="0"/>
        <v>Actual 2022 crashes of this road</v>
      </c>
      <c r="K23" s="11" t="str">
        <f t="shared" si="1"/>
        <v>Yes</v>
      </c>
      <c r="M23" s="2" t="s">
        <v>31</v>
      </c>
    </row>
    <row r="24" spans="1:13" x14ac:dyDescent="0.3">
      <c r="A24" s="4" t="str">
        <f>SOURCE_DATA!A7</f>
        <v>C.P. GARCIA /KATIPUNAN AVE. / TANDANG SORA</v>
      </c>
      <c r="B24" s="5">
        <v>2024</v>
      </c>
      <c r="C24" s="6">
        <f>SOURCE_DATA!K7</f>
        <v>250762</v>
      </c>
      <c r="D24" s="6">
        <f>SOURCE_DATA!U7</f>
        <v>8633</v>
      </c>
      <c r="E24" s="5" t="s">
        <v>15</v>
      </c>
      <c r="F24" s="7">
        <f>SOURCE_DATA!W7</f>
        <v>43.87</v>
      </c>
      <c r="G24" s="8">
        <f>SOURCE_DATA!X7</f>
        <v>10</v>
      </c>
      <c r="H24" s="9">
        <f>SOURCE_DATA!Y7</f>
        <v>438.7</v>
      </c>
      <c r="I24" s="69">
        <f t="shared" si="2"/>
        <v>8119</v>
      </c>
      <c r="J24" s="11" t="str">
        <f t="shared" si="0"/>
        <v>Actual 2023 crashes of this road</v>
      </c>
      <c r="K24" s="11" t="str">
        <f t="shared" si="1"/>
        <v>Yes</v>
      </c>
      <c r="M24" s="2" t="s">
        <v>32</v>
      </c>
    </row>
    <row r="25" spans="1:13" x14ac:dyDescent="0.3">
      <c r="A25" s="4" t="str">
        <f>SOURCE_DATA!A8</f>
        <v>ROXAS BLVD.</v>
      </c>
      <c r="B25" s="5">
        <v>2015</v>
      </c>
      <c r="C25" s="6">
        <f>SOURCE_DATA!B8</f>
        <v>173195</v>
      </c>
      <c r="D25" s="6">
        <f>SOURCE_DATA!L8</f>
        <v>1528</v>
      </c>
      <c r="E25" s="5" t="s">
        <v>15</v>
      </c>
      <c r="F25" s="7">
        <f>SOURCE_DATA!W8</f>
        <v>7.6</v>
      </c>
      <c r="G25" s="8">
        <f>SOURCE_DATA!X8</f>
        <v>8</v>
      </c>
      <c r="H25" s="9">
        <f>SOURCE_DATA!Y8</f>
        <v>60.8</v>
      </c>
      <c r="I25" s="69" t="str">
        <f t="shared" si="2"/>
        <v>N/A</v>
      </c>
      <c r="J25" s="11" t="str">
        <f t="shared" si="0"/>
        <v>Unavailable – no 2014 MMARAS record (not imputed)</v>
      </c>
      <c r="K25" s="11" t="str">
        <f t="shared" si="1"/>
        <v>No – excluded</v>
      </c>
      <c r="M25" s="2" t="s">
        <v>33</v>
      </c>
    </row>
    <row r="26" spans="1:13" x14ac:dyDescent="0.3">
      <c r="A26" s="4" t="str">
        <f>SOURCE_DATA!A8</f>
        <v>ROXAS BLVD.</v>
      </c>
      <c r="B26" s="5">
        <v>2016</v>
      </c>
      <c r="C26" s="6">
        <f>SOURCE_DATA!C8</f>
        <v>175185</v>
      </c>
      <c r="D26" s="6">
        <f>SOURCE_DATA!M8</f>
        <v>1877</v>
      </c>
      <c r="E26" s="5" t="s">
        <v>15</v>
      </c>
      <c r="F26" s="7">
        <f>SOURCE_DATA!W8</f>
        <v>7.6</v>
      </c>
      <c r="G26" s="8">
        <f>SOURCE_DATA!X8</f>
        <v>8</v>
      </c>
      <c r="H26" s="9">
        <f>SOURCE_DATA!Y8</f>
        <v>60.8</v>
      </c>
      <c r="I26" s="69">
        <f t="shared" si="2"/>
        <v>1528</v>
      </c>
      <c r="J26" s="11" t="str">
        <f t="shared" si="0"/>
        <v>Actual 2015 crashes of this road</v>
      </c>
      <c r="K26" s="11" t="str">
        <f t="shared" si="1"/>
        <v>Yes</v>
      </c>
      <c r="M26" s="2" t="s">
        <v>34</v>
      </c>
    </row>
    <row r="27" spans="1:13" x14ac:dyDescent="0.3">
      <c r="A27" s="4" t="str">
        <f>SOURCE_DATA!A8</f>
        <v>ROXAS BLVD.</v>
      </c>
      <c r="B27" s="5">
        <v>2017</v>
      </c>
      <c r="C27" s="6">
        <f>SOURCE_DATA!D8</f>
        <v>191120</v>
      </c>
      <c r="D27" s="6">
        <f>SOURCE_DATA!N8</f>
        <v>2365</v>
      </c>
      <c r="E27" s="5" t="s">
        <v>15</v>
      </c>
      <c r="F27" s="7">
        <f>SOURCE_DATA!W8</f>
        <v>7.6</v>
      </c>
      <c r="G27" s="8">
        <f>SOURCE_DATA!X8</f>
        <v>8</v>
      </c>
      <c r="H27" s="9">
        <f>SOURCE_DATA!Y8</f>
        <v>60.8</v>
      </c>
      <c r="I27" s="69">
        <f t="shared" si="2"/>
        <v>1877</v>
      </c>
      <c r="J27" s="11" t="str">
        <f t="shared" si="0"/>
        <v>Actual 2016 crashes of this road</v>
      </c>
      <c r="K27" s="11" t="str">
        <f t="shared" si="1"/>
        <v>Yes</v>
      </c>
    </row>
    <row r="28" spans="1:13" x14ac:dyDescent="0.3">
      <c r="A28" s="4" t="str">
        <f>SOURCE_DATA!A8</f>
        <v>ROXAS BLVD.</v>
      </c>
      <c r="B28" s="5">
        <v>2018</v>
      </c>
      <c r="C28" s="6">
        <f>SOURCE_DATA!E8</f>
        <v>203487</v>
      </c>
      <c r="D28" s="6">
        <f>SOURCE_DATA!O8</f>
        <v>2540</v>
      </c>
      <c r="E28" s="5" t="s">
        <v>15</v>
      </c>
      <c r="F28" s="7">
        <f>SOURCE_DATA!W8</f>
        <v>7.6</v>
      </c>
      <c r="G28" s="8">
        <f>SOURCE_DATA!X8</f>
        <v>8</v>
      </c>
      <c r="H28" s="9">
        <f>SOURCE_DATA!Y8</f>
        <v>60.8</v>
      </c>
      <c r="I28" s="69">
        <f t="shared" si="2"/>
        <v>2365</v>
      </c>
      <c r="J28" s="11" t="str">
        <f t="shared" si="0"/>
        <v>Actual 2017 crashes of this road</v>
      </c>
      <c r="K28" s="11" t="str">
        <f t="shared" si="1"/>
        <v>Yes</v>
      </c>
    </row>
    <row r="29" spans="1:13" x14ac:dyDescent="0.3">
      <c r="A29" s="4" t="str">
        <f>SOURCE_DATA!A8</f>
        <v>ROXAS BLVD.</v>
      </c>
      <c r="B29" s="5">
        <v>2019</v>
      </c>
      <c r="C29" s="6">
        <f>SOURCE_DATA!F8</f>
        <v>203582</v>
      </c>
      <c r="D29" s="6">
        <f>SOURCE_DATA!P8</f>
        <v>2737</v>
      </c>
      <c r="E29" s="5" t="s">
        <v>15</v>
      </c>
      <c r="F29" s="7">
        <f>SOURCE_DATA!W8</f>
        <v>7.6</v>
      </c>
      <c r="G29" s="8">
        <f>SOURCE_DATA!X8</f>
        <v>8</v>
      </c>
      <c r="H29" s="9">
        <f>SOURCE_DATA!Y8</f>
        <v>60.8</v>
      </c>
      <c r="I29" s="69">
        <f t="shared" si="2"/>
        <v>2540</v>
      </c>
      <c r="J29" s="11" t="str">
        <f t="shared" si="0"/>
        <v>Actual 2018 crashes of this road</v>
      </c>
      <c r="K29" s="11" t="str">
        <f t="shared" si="1"/>
        <v>Yes</v>
      </c>
    </row>
    <row r="30" spans="1:13" x14ac:dyDescent="0.3">
      <c r="A30" s="4" t="str">
        <f>SOURCE_DATA!A8</f>
        <v>ROXAS BLVD.</v>
      </c>
      <c r="B30" s="5">
        <v>2020</v>
      </c>
      <c r="C30" s="6">
        <f>SOURCE_DATA!G8</f>
        <v>190626</v>
      </c>
      <c r="D30" s="6">
        <f>SOURCE_DATA!Q8</f>
        <v>1401</v>
      </c>
      <c r="E30" s="5" t="s">
        <v>15</v>
      </c>
      <c r="F30" s="7">
        <f>SOURCE_DATA!W8</f>
        <v>7.6</v>
      </c>
      <c r="G30" s="8">
        <f>SOURCE_DATA!X8</f>
        <v>8</v>
      </c>
      <c r="H30" s="9">
        <f>SOURCE_DATA!Y8</f>
        <v>60.8</v>
      </c>
      <c r="I30" s="69">
        <f t="shared" si="2"/>
        <v>2737</v>
      </c>
      <c r="J30" s="11" t="str">
        <f t="shared" si="0"/>
        <v>Actual 2019 crashes of this road</v>
      </c>
      <c r="K30" s="11" t="str">
        <f t="shared" si="1"/>
        <v>Yes</v>
      </c>
    </row>
    <row r="31" spans="1:13" x14ac:dyDescent="0.3">
      <c r="A31" s="4" t="str">
        <f>SOURCE_DATA!A8</f>
        <v>ROXAS BLVD.</v>
      </c>
      <c r="B31" s="5">
        <v>2021</v>
      </c>
      <c r="C31" s="6">
        <f>SOURCE_DATA!H8</f>
        <v>209339</v>
      </c>
      <c r="D31" s="6">
        <f>SOURCE_DATA!R8</f>
        <v>1283</v>
      </c>
      <c r="E31" s="5" t="s">
        <v>15</v>
      </c>
      <c r="F31" s="7">
        <f>SOURCE_DATA!W8</f>
        <v>7.6</v>
      </c>
      <c r="G31" s="8">
        <f>SOURCE_DATA!X8</f>
        <v>8</v>
      </c>
      <c r="H31" s="9">
        <f>SOURCE_DATA!Y8</f>
        <v>60.8</v>
      </c>
      <c r="I31" s="69">
        <f t="shared" si="2"/>
        <v>1401</v>
      </c>
      <c r="J31" s="11" t="str">
        <f t="shared" si="0"/>
        <v>Actual 2020 crashes of this road</v>
      </c>
      <c r="K31" s="11" t="str">
        <f t="shared" si="1"/>
        <v>Yes</v>
      </c>
    </row>
    <row r="32" spans="1:13" x14ac:dyDescent="0.3">
      <c r="A32" s="4" t="str">
        <f>SOURCE_DATA!A8</f>
        <v>ROXAS BLVD.</v>
      </c>
      <c r="B32" s="5">
        <v>2022</v>
      </c>
      <c r="C32" s="6">
        <f>SOURCE_DATA!I8</f>
        <v>186079</v>
      </c>
      <c r="D32" s="6">
        <f>SOURCE_DATA!S8</f>
        <v>1786</v>
      </c>
      <c r="E32" s="5" t="s">
        <v>15</v>
      </c>
      <c r="F32" s="7">
        <f>SOURCE_DATA!W8</f>
        <v>7.6</v>
      </c>
      <c r="G32" s="8">
        <f>SOURCE_DATA!X8</f>
        <v>8</v>
      </c>
      <c r="H32" s="9">
        <f>SOURCE_DATA!Y8</f>
        <v>60.8</v>
      </c>
      <c r="I32" s="69">
        <f t="shared" si="2"/>
        <v>1283</v>
      </c>
      <c r="J32" s="11" t="str">
        <f t="shared" si="0"/>
        <v>Actual 2021 crashes of this road</v>
      </c>
      <c r="K32" s="11" t="str">
        <f t="shared" si="1"/>
        <v>Yes</v>
      </c>
    </row>
    <row r="33" spans="1:11" x14ac:dyDescent="0.3">
      <c r="A33" s="4" t="str">
        <f>SOURCE_DATA!A8</f>
        <v>ROXAS BLVD.</v>
      </c>
      <c r="B33" s="5">
        <v>2023</v>
      </c>
      <c r="C33" s="6">
        <f>SOURCE_DATA!J8</f>
        <v>190184</v>
      </c>
      <c r="D33" s="6">
        <f>SOURCE_DATA!T8</f>
        <v>1817</v>
      </c>
      <c r="E33" s="5" t="s">
        <v>15</v>
      </c>
      <c r="F33" s="7">
        <f>SOURCE_DATA!W8</f>
        <v>7.6</v>
      </c>
      <c r="G33" s="8">
        <f>SOURCE_DATA!X8</f>
        <v>8</v>
      </c>
      <c r="H33" s="9">
        <f>SOURCE_DATA!Y8</f>
        <v>60.8</v>
      </c>
      <c r="I33" s="69">
        <f t="shared" si="2"/>
        <v>1786</v>
      </c>
      <c r="J33" s="11" t="str">
        <f t="shared" si="0"/>
        <v>Actual 2022 crashes of this road</v>
      </c>
      <c r="K33" s="11" t="str">
        <f t="shared" si="1"/>
        <v>Yes</v>
      </c>
    </row>
    <row r="34" spans="1:11" x14ac:dyDescent="0.3">
      <c r="A34" s="4" t="str">
        <f>SOURCE_DATA!A8</f>
        <v>ROXAS BLVD.</v>
      </c>
      <c r="B34" s="5">
        <v>2024</v>
      </c>
      <c r="C34" s="6">
        <f>SOURCE_DATA!K8</f>
        <v>202820</v>
      </c>
      <c r="D34" s="6">
        <f>SOURCE_DATA!U8</f>
        <v>1659</v>
      </c>
      <c r="E34" s="5" t="s">
        <v>15</v>
      </c>
      <c r="F34" s="7">
        <f>SOURCE_DATA!W8</f>
        <v>7.6</v>
      </c>
      <c r="G34" s="8">
        <f>SOURCE_DATA!X8</f>
        <v>8</v>
      </c>
      <c r="H34" s="9">
        <f>SOURCE_DATA!Y8</f>
        <v>60.8</v>
      </c>
      <c r="I34" s="69">
        <f t="shared" si="2"/>
        <v>1817</v>
      </c>
      <c r="J34" s="11" t="str">
        <f t="shared" si="0"/>
        <v>Actual 2023 crashes of this road</v>
      </c>
      <c r="K34" s="11" t="str">
        <f t="shared" si="1"/>
        <v>Yes</v>
      </c>
    </row>
    <row r="35" spans="1:11" x14ac:dyDescent="0.3">
      <c r="A35" s="4" t="str">
        <f>SOURCE_DATA!A9</f>
        <v>TAFT AVE.</v>
      </c>
      <c r="B35" s="5">
        <v>2015</v>
      </c>
      <c r="C35" s="6">
        <f>SOURCE_DATA!B9</f>
        <v>91185</v>
      </c>
      <c r="D35" s="6">
        <f>SOURCE_DATA!L9</f>
        <v>789</v>
      </c>
      <c r="E35" s="5" t="s">
        <v>15</v>
      </c>
      <c r="F35" s="7">
        <f>SOURCE_DATA!W9</f>
        <v>7</v>
      </c>
      <c r="G35" s="8">
        <f>SOURCE_DATA!X9</f>
        <v>6</v>
      </c>
      <c r="H35" s="9">
        <f>SOURCE_DATA!Y9</f>
        <v>42</v>
      </c>
      <c r="I35" s="69" t="str">
        <f t="shared" si="2"/>
        <v>N/A</v>
      </c>
      <c r="J35" s="11" t="str">
        <f t="shared" si="0"/>
        <v>Unavailable – no 2014 MMARAS record (not imputed)</v>
      </c>
      <c r="K35" s="11" t="str">
        <f t="shared" si="1"/>
        <v>No – excluded</v>
      </c>
    </row>
    <row r="36" spans="1:11" x14ac:dyDescent="0.3">
      <c r="A36" s="4" t="str">
        <f>SOURCE_DATA!A9</f>
        <v>TAFT AVE.</v>
      </c>
      <c r="B36" s="5">
        <v>2016</v>
      </c>
      <c r="C36" s="6">
        <f>SOURCE_DATA!C9</f>
        <v>89848</v>
      </c>
      <c r="D36" s="6">
        <f>SOURCE_DATA!M9</f>
        <v>979</v>
      </c>
      <c r="E36" s="5" t="s">
        <v>15</v>
      </c>
      <c r="F36" s="7">
        <f>SOURCE_DATA!W9</f>
        <v>7</v>
      </c>
      <c r="G36" s="8">
        <f>SOURCE_DATA!X9</f>
        <v>6</v>
      </c>
      <c r="H36" s="9">
        <f>SOURCE_DATA!Y9</f>
        <v>42</v>
      </c>
      <c r="I36" s="69">
        <f t="shared" si="2"/>
        <v>789</v>
      </c>
      <c r="J36" s="11" t="str">
        <f t="shared" si="0"/>
        <v>Actual 2015 crashes of this road</v>
      </c>
      <c r="K36" s="11" t="str">
        <f t="shared" si="1"/>
        <v>Yes</v>
      </c>
    </row>
    <row r="37" spans="1:11" x14ac:dyDescent="0.3">
      <c r="A37" s="4" t="str">
        <f>SOURCE_DATA!A9</f>
        <v>TAFT AVE.</v>
      </c>
      <c r="B37" s="5">
        <v>2017</v>
      </c>
      <c r="C37" s="6">
        <f>SOURCE_DATA!D9</f>
        <v>90586</v>
      </c>
      <c r="D37" s="6">
        <f>SOURCE_DATA!N9</f>
        <v>937</v>
      </c>
      <c r="E37" s="5" t="s">
        <v>15</v>
      </c>
      <c r="F37" s="7">
        <f>SOURCE_DATA!W9</f>
        <v>7</v>
      </c>
      <c r="G37" s="8">
        <f>SOURCE_DATA!X9</f>
        <v>6</v>
      </c>
      <c r="H37" s="9">
        <f>SOURCE_DATA!Y9</f>
        <v>42</v>
      </c>
      <c r="I37" s="69">
        <f t="shared" ref="I37:I68" si="3">IF(COUNTIFS($A$5:$A$144,A37,$B$5:$B$144,B37-1)=1,SUMIFS($D$5:$D$144,$A$5:$A$144,A37,$B$5:$B$144,B37-1),"N/A")</f>
        <v>979</v>
      </c>
      <c r="J37" s="11" t="str">
        <f t="shared" ref="J37:J68" si="4">IF(ISNUMBER(I37),"Actual "&amp;(B37-1)&amp;" crashes of this road","Unavailable – no "&amp;(B37-1)&amp;" MMARAS record (not imputed)")</f>
        <v>Actual 2016 crashes of this road</v>
      </c>
      <c r="K37" s="11" t="str">
        <f t="shared" ref="K37:K68" si="5">IF(ISNUMBER(I37),"Yes","No – excluded")</f>
        <v>Yes</v>
      </c>
    </row>
    <row r="38" spans="1:11" x14ac:dyDescent="0.3">
      <c r="A38" s="4" t="str">
        <f>SOURCE_DATA!A9</f>
        <v>TAFT AVE.</v>
      </c>
      <c r="B38" s="5">
        <v>2018</v>
      </c>
      <c r="C38" s="6">
        <f>SOURCE_DATA!E9</f>
        <v>91766</v>
      </c>
      <c r="D38" s="6">
        <f>SOURCE_DATA!O9</f>
        <v>930</v>
      </c>
      <c r="E38" s="5" t="s">
        <v>15</v>
      </c>
      <c r="F38" s="7">
        <f>SOURCE_DATA!W9</f>
        <v>7</v>
      </c>
      <c r="G38" s="8">
        <f>SOURCE_DATA!X9</f>
        <v>6</v>
      </c>
      <c r="H38" s="9">
        <f>SOURCE_DATA!Y9</f>
        <v>42</v>
      </c>
      <c r="I38" s="69">
        <f t="shared" si="3"/>
        <v>937</v>
      </c>
      <c r="J38" s="11" t="str">
        <f t="shared" si="4"/>
        <v>Actual 2017 crashes of this road</v>
      </c>
      <c r="K38" s="11" t="str">
        <f t="shared" si="5"/>
        <v>Yes</v>
      </c>
    </row>
    <row r="39" spans="1:11" x14ac:dyDescent="0.3">
      <c r="A39" s="4" t="str">
        <f>SOURCE_DATA!A9</f>
        <v>TAFT AVE.</v>
      </c>
      <c r="B39" s="5">
        <v>2019</v>
      </c>
      <c r="C39" s="6">
        <f>SOURCE_DATA!F9</f>
        <v>100065</v>
      </c>
      <c r="D39" s="6">
        <f>SOURCE_DATA!P9</f>
        <v>1101</v>
      </c>
      <c r="E39" s="5" t="s">
        <v>15</v>
      </c>
      <c r="F39" s="7">
        <f>SOURCE_DATA!W9</f>
        <v>7</v>
      </c>
      <c r="G39" s="8">
        <f>SOURCE_DATA!X9</f>
        <v>6</v>
      </c>
      <c r="H39" s="9">
        <f>SOURCE_DATA!Y9</f>
        <v>42</v>
      </c>
      <c r="I39" s="69">
        <f t="shared" si="3"/>
        <v>930</v>
      </c>
      <c r="J39" s="11" t="str">
        <f t="shared" si="4"/>
        <v>Actual 2018 crashes of this road</v>
      </c>
      <c r="K39" s="11" t="str">
        <f t="shared" si="5"/>
        <v>Yes</v>
      </c>
    </row>
    <row r="40" spans="1:11" x14ac:dyDescent="0.3">
      <c r="A40" s="4" t="str">
        <f>SOURCE_DATA!A9</f>
        <v>TAFT AVE.</v>
      </c>
      <c r="B40" s="5">
        <v>2020</v>
      </c>
      <c r="C40" s="6">
        <f>SOURCE_DATA!G9</f>
        <v>110916</v>
      </c>
      <c r="D40" s="6">
        <f>SOURCE_DATA!Q9</f>
        <v>502</v>
      </c>
      <c r="E40" s="5" t="s">
        <v>15</v>
      </c>
      <c r="F40" s="7">
        <f>SOURCE_DATA!W9</f>
        <v>7</v>
      </c>
      <c r="G40" s="8">
        <f>SOURCE_DATA!X9</f>
        <v>6</v>
      </c>
      <c r="H40" s="9">
        <f>SOURCE_DATA!Y9</f>
        <v>42</v>
      </c>
      <c r="I40" s="69">
        <f t="shared" si="3"/>
        <v>1101</v>
      </c>
      <c r="J40" s="11" t="str">
        <f t="shared" si="4"/>
        <v>Actual 2019 crashes of this road</v>
      </c>
      <c r="K40" s="11" t="str">
        <f t="shared" si="5"/>
        <v>Yes</v>
      </c>
    </row>
    <row r="41" spans="1:11" x14ac:dyDescent="0.3">
      <c r="A41" s="4" t="str">
        <f>SOURCE_DATA!A9</f>
        <v>TAFT AVE.</v>
      </c>
      <c r="B41" s="5">
        <v>2021</v>
      </c>
      <c r="C41" s="6">
        <f>SOURCE_DATA!H9</f>
        <v>114715</v>
      </c>
      <c r="D41" s="6">
        <f>SOURCE_DATA!R9</f>
        <v>395</v>
      </c>
      <c r="E41" s="5" t="s">
        <v>15</v>
      </c>
      <c r="F41" s="7">
        <f>SOURCE_DATA!W9</f>
        <v>7</v>
      </c>
      <c r="G41" s="8">
        <f>SOURCE_DATA!X9</f>
        <v>6</v>
      </c>
      <c r="H41" s="9">
        <f>SOURCE_DATA!Y9</f>
        <v>42</v>
      </c>
      <c r="I41" s="69">
        <f t="shared" si="3"/>
        <v>502</v>
      </c>
      <c r="J41" s="11" t="str">
        <f t="shared" si="4"/>
        <v>Actual 2020 crashes of this road</v>
      </c>
      <c r="K41" s="11" t="str">
        <f t="shared" si="5"/>
        <v>Yes</v>
      </c>
    </row>
    <row r="42" spans="1:11" x14ac:dyDescent="0.3">
      <c r="A42" s="4" t="str">
        <f>SOURCE_DATA!A9</f>
        <v>TAFT AVE.</v>
      </c>
      <c r="B42" s="5">
        <v>2022</v>
      </c>
      <c r="C42" s="6">
        <f>SOURCE_DATA!I9</f>
        <v>194464</v>
      </c>
      <c r="D42" s="6">
        <f>SOURCE_DATA!S9</f>
        <v>538</v>
      </c>
      <c r="E42" s="5" t="s">
        <v>15</v>
      </c>
      <c r="F42" s="7">
        <f>SOURCE_DATA!W9</f>
        <v>7</v>
      </c>
      <c r="G42" s="8">
        <f>SOURCE_DATA!X9</f>
        <v>6</v>
      </c>
      <c r="H42" s="9">
        <f>SOURCE_DATA!Y9</f>
        <v>42</v>
      </c>
      <c r="I42" s="69">
        <f t="shared" si="3"/>
        <v>395</v>
      </c>
      <c r="J42" s="11" t="str">
        <f t="shared" si="4"/>
        <v>Actual 2021 crashes of this road</v>
      </c>
      <c r="K42" s="11" t="str">
        <f t="shared" si="5"/>
        <v>Yes</v>
      </c>
    </row>
    <row r="43" spans="1:11" x14ac:dyDescent="0.3">
      <c r="A43" s="4" t="str">
        <f>SOURCE_DATA!A9</f>
        <v>TAFT AVE.</v>
      </c>
      <c r="B43" s="5">
        <v>2023</v>
      </c>
      <c r="C43" s="6">
        <f>SOURCE_DATA!J9</f>
        <v>134321</v>
      </c>
      <c r="D43" s="6">
        <f>SOURCE_DATA!T9</f>
        <v>587</v>
      </c>
      <c r="E43" s="5" t="s">
        <v>15</v>
      </c>
      <c r="F43" s="7">
        <f>SOURCE_DATA!W9</f>
        <v>7</v>
      </c>
      <c r="G43" s="8">
        <f>SOURCE_DATA!X9</f>
        <v>6</v>
      </c>
      <c r="H43" s="9">
        <f>SOURCE_DATA!Y9</f>
        <v>42</v>
      </c>
      <c r="I43" s="69">
        <f t="shared" si="3"/>
        <v>538</v>
      </c>
      <c r="J43" s="11" t="str">
        <f t="shared" si="4"/>
        <v>Actual 2022 crashes of this road</v>
      </c>
      <c r="K43" s="11" t="str">
        <f t="shared" si="5"/>
        <v>Yes</v>
      </c>
    </row>
    <row r="44" spans="1:11" x14ac:dyDescent="0.3">
      <c r="A44" s="4" t="str">
        <f>SOURCE_DATA!A9</f>
        <v>TAFT AVE.</v>
      </c>
      <c r="B44" s="5">
        <v>2024</v>
      </c>
      <c r="C44" s="6">
        <f>SOURCE_DATA!K9</f>
        <v>119119</v>
      </c>
      <c r="D44" s="6">
        <f>SOURCE_DATA!U9</f>
        <v>481</v>
      </c>
      <c r="E44" s="5" t="s">
        <v>15</v>
      </c>
      <c r="F44" s="7">
        <f>SOURCE_DATA!W9</f>
        <v>7</v>
      </c>
      <c r="G44" s="8">
        <f>SOURCE_DATA!X9</f>
        <v>6</v>
      </c>
      <c r="H44" s="9">
        <f>SOURCE_DATA!Y9</f>
        <v>42</v>
      </c>
      <c r="I44" s="69">
        <f t="shared" si="3"/>
        <v>587</v>
      </c>
      <c r="J44" s="11" t="str">
        <f t="shared" si="4"/>
        <v>Actual 2023 crashes of this road</v>
      </c>
      <c r="K44" s="11" t="str">
        <f t="shared" si="5"/>
        <v>Yes</v>
      </c>
    </row>
    <row r="45" spans="1:11" x14ac:dyDescent="0.3">
      <c r="A45" s="4" t="str">
        <f>SOURCE_DATA!A10</f>
        <v>SSH</v>
      </c>
      <c r="B45" s="5">
        <v>2015</v>
      </c>
      <c r="C45" s="6">
        <f>SOURCE_DATA!B10</f>
        <v>126567</v>
      </c>
      <c r="D45" s="6">
        <f>SOURCE_DATA!L10</f>
        <v>1481</v>
      </c>
      <c r="E45" s="5" t="s">
        <v>15</v>
      </c>
      <c r="F45" s="7">
        <f>SOURCE_DATA!W10</f>
        <v>49.56</v>
      </c>
      <c r="G45" s="8">
        <f>SOURCE_DATA!X10</f>
        <v>8</v>
      </c>
      <c r="H45" s="9">
        <f>SOURCE_DATA!Y10</f>
        <v>396.48</v>
      </c>
      <c r="I45" s="69" t="str">
        <f t="shared" si="3"/>
        <v>N/A</v>
      </c>
      <c r="J45" s="11" t="str">
        <f t="shared" si="4"/>
        <v>Unavailable – no 2014 MMARAS record (not imputed)</v>
      </c>
      <c r="K45" s="11" t="str">
        <f t="shared" si="5"/>
        <v>No – excluded</v>
      </c>
    </row>
    <row r="46" spans="1:11" x14ac:dyDescent="0.3">
      <c r="A46" s="4" t="str">
        <f>SOURCE_DATA!A10</f>
        <v>SSH</v>
      </c>
      <c r="B46" s="5">
        <v>2016</v>
      </c>
      <c r="C46" s="6">
        <f>SOURCE_DATA!C10</f>
        <v>99923</v>
      </c>
      <c r="D46" s="6">
        <f>SOURCE_DATA!M10</f>
        <v>1075</v>
      </c>
      <c r="E46" s="5" t="s">
        <v>15</v>
      </c>
      <c r="F46" s="7">
        <f>SOURCE_DATA!W10</f>
        <v>49.56</v>
      </c>
      <c r="G46" s="8">
        <f>SOURCE_DATA!X10</f>
        <v>8</v>
      </c>
      <c r="H46" s="9">
        <f>SOURCE_DATA!Y10</f>
        <v>396.48</v>
      </c>
      <c r="I46" s="69">
        <f t="shared" si="3"/>
        <v>1481</v>
      </c>
      <c r="J46" s="11" t="str">
        <f t="shared" si="4"/>
        <v>Actual 2015 crashes of this road</v>
      </c>
      <c r="K46" s="11" t="str">
        <f t="shared" si="5"/>
        <v>Yes</v>
      </c>
    </row>
    <row r="47" spans="1:11" x14ac:dyDescent="0.3">
      <c r="A47" s="4" t="str">
        <f>SOURCE_DATA!A10</f>
        <v>SSH</v>
      </c>
      <c r="B47" s="5">
        <v>2017</v>
      </c>
      <c r="C47" s="6">
        <f>SOURCE_DATA!D10</f>
        <v>103377</v>
      </c>
      <c r="D47" s="6">
        <f>SOURCE_DATA!N10</f>
        <v>970</v>
      </c>
      <c r="E47" s="5" t="s">
        <v>15</v>
      </c>
      <c r="F47" s="7">
        <f>SOURCE_DATA!W10</f>
        <v>49.56</v>
      </c>
      <c r="G47" s="8">
        <f>SOURCE_DATA!X10</f>
        <v>8</v>
      </c>
      <c r="H47" s="9">
        <f>SOURCE_DATA!Y10</f>
        <v>396.48</v>
      </c>
      <c r="I47" s="69">
        <f t="shared" si="3"/>
        <v>1075</v>
      </c>
      <c r="J47" s="11" t="str">
        <f t="shared" si="4"/>
        <v>Actual 2016 crashes of this road</v>
      </c>
      <c r="K47" s="11" t="str">
        <f t="shared" si="5"/>
        <v>Yes</v>
      </c>
    </row>
    <row r="48" spans="1:11" x14ac:dyDescent="0.3">
      <c r="A48" s="4" t="str">
        <f>SOURCE_DATA!A10</f>
        <v>SSH</v>
      </c>
      <c r="B48" s="5">
        <v>2018</v>
      </c>
      <c r="C48" s="6">
        <f>SOURCE_DATA!E10</f>
        <v>100909</v>
      </c>
      <c r="D48" s="6">
        <f>SOURCE_DATA!O10</f>
        <v>1130</v>
      </c>
      <c r="E48" s="5" t="s">
        <v>15</v>
      </c>
      <c r="F48" s="7">
        <f>SOURCE_DATA!W10</f>
        <v>49.56</v>
      </c>
      <c r="G48" s="8">
        <f>SOURCE_DATA!X10</f>
        <v>8</v>
      </c>
      <c r="H48" s="9">
        <f>SOURCE_DATA!Y10</f>
        <v>396.48</v>
      </c>
      <c r="I48" s="69">
        <f t="shared" si="3"/>
        <v>970</v>
      </c>
      <c r="J48" s="11" t="str">
        <f t="shared" si="4"/>
        <v>Actual 2017 crashes of this road</v>
      </c>
      <c r="K48" s="11" t="str">
        <f t="shared" si="5"/>
        <v>Yes</v>
      </c>
    </row>
    <row r="49" spans="1:11" x14ac:dyDescent="0.3">
      <c r="A49" s="4" t="str">
        <f>SOURCE_DATA!A10</f>
        <v>SSH</v>
      </c>
      <c r="B49" s="5">
        <v>2019</v>
      </c>
      <c r="C49" s="6">
        <f>SOURCE_DATA!F10</f>
        <v>130434</v>
      </c>
      <c r="D49" s="6">
        <f>SOURCE_DATA!P10</f>
        <v>1293</v>
      </c>
      <c r="E49" s="5" t="s">
        <v>15</v>
      </c>
      <c r="F49" s="7">
        <f>SOURCE_DATA!W10</f>
        <v>49.56</v>
      </c>
      <c r="G49" s="8">
        <f>SOURCE_DATA!X10</f>
        <v>8</v>
      </c>
      <c r="H49" s="9">
        <f>SOURCE_DATA!Y10</f>
        <v>396.48</v>
      </c>
      <c r="I49" s="69">
        <f t="shared" si="3"/>
        <v>1130</v>
      </c>
      <c r="J49" s="11" t="str">
        <f t="shared" si="4"/>
        <v>Actual 2018 crashes of this road</v>
      </c>
      <c r="K49" s="11" t="str">
        <f t="shared" si="5"/>
        <v>Yes</v>
      </c>
    </row>
    <row r="50" spans="1:11" x14ac:dyDescent="0.3">
      <c r="A50" s="4" t="str">
        <f>SOURCE_DATA!A10</f>
        <v>SSH</v>
      </c>
      <c r="B50" s="5">
        <v>2020</v>
      </c>
      <c r="C50" s="6">
        <f>SOURCE_DATA!G10</f>
        <v>142755</v>
      </c>
      <c r="D50" s="6">
        <f>SOURCE_DATA!Q10</f>
        <v>639</v>
      </c>
      <c r="E50" s="5" t="s">
        <v>15</v>
      </c>
      <c r="F50" s="7">
        <f>SOURCE_DATA!W10</f>
        <v>49.56</v>
      </c>
      <c r="G50" s="8">
        <f>SOURCE_DATA!X10</f>
        <v>8</v>
      </c>
      <c r="H50" s="9">
        <f>SOURCE_DATA!Y10</f>
        <v>396.48</v>
      </c>
      <c r="I50" s="69">
        <f t="shared" si="3"/>
        <v>1293</v>
      </c>
      <c r="J50" s="11" t="str">
        <f t="shared" si="4"/>
        <v>Actual 2019 crashes of this road</v>
      </c>
      <c r="K50" s="11" t="str">
        <f t="shared" si="5"/>
        <v>Yes</v>
      </c>
    </row>
    <row r="51" spans="1:11" x14ac:dyDescent="0.3">
      <c r="A51" s="4" t="str">
        <f>SOURCE_DATA!A10</f>
        <v>SSH</v>
      </c>
      <c r="B51" s="5">
        <v>2021</v>
      </c>
      <c r="C51" s="6">
        <f>SOURCE_DATA!H10</f>
        <v>187189</v>
      </c>
      <c r="D51" s="6">
        <f>SOURCE_DATA!R10</f>
        <v>223</v>
      </c>
      <c r="E51" s="5" t="s">
        <v>15</v>
      </c>
      <c r="F51" s="7">
        <f>SOURCE_DATA!W10</f>
        <v>49.56</v>
      </c>
      <c r="G51" s="8">
        <f>SOURCE_DATA!X10</f>
        <v>8</v>
      </c>
      <c r="H51" s="9">
        <f>SOURCE_DATA!Y10</f>
        <v>396.48</v>
      </c>
      <c r="I51" s="69">
        <f t="shared" si="3"/>
        <v>639</v>
      </c>
      <c r="J51" s="11" t="str">
        <f t="shared" si="4"/>
        <v>Actual 2020 crashes of this road</v>
      </c>
      <c r="K51" s="11" t="str">
        <f t="shared" si="5"/>
        <v>Yes</v>
      </c>
    </row>
    <row r="52" spans="1:11" x14ac:dyDescent="0.3">
      <c r="A52" s="4" t="str">
        <f>SOURCE_DATA!A10</f>
        <v>SSH</v>
      </c>
      <c r="B52" s="5">
        <v>2022</v>
      </c>
      <c r="C52" s="6">
        <f>SOURCE_DATA!I10</f>
        <v>260549</v>
      </c>
      <c r="D52" s="6">
        <f>SOURCE_DATA!S10</f>
        <v>909</v>
      </c>
      <c r="E52" s="5" t="s">
        <v>15</v>
      </c>
      <c r="F52" s="7">
        <f>SOURCE_DATA!W10</f>
        <v>49.56</v>
      </c>
      <c r="G52" s="8">
        <f>SOURCE_DATA!X10</f>
        <v>8</v>
      </c>
      <c r="H52" s="9">
        <f>SOURCE_DATA!Y10</f>
        <v>396.48</v>
      </c>
      <c r="I52" s="69">
        <f t="shared" si="3"/>
        <v>223</v>
      </c>
      <c r="J52" s="11" t="str">
        <f t="shared" si="4"/>
        <v>Actual 2021 crashes of this road</v>
      </c>
      <c r="K52" s="11" t="str">
        <f t="shared" si="5"/>
        <v>Yes</v>
      </c>
    </row>
    <row r="53" spans="1:11" x14ac:dyDescent="0.3">
      <c r="A53" s="4" t="str">
        <f>SOURCE_DATA!A10</f>
        <v>SSH</v>
      </c>
      <c r="B53" s="5">
        <v>2023</v>
      </c>
      <c r="C53" s="6">
        <f>SOURCE_DATA!J10</f>
        <v>176904</v>
      </c>
      <c r="D53" s="6">
        <f>SOURCE_DATA!T10</f>
        <v>947</v>
      </c>
      <c r="E53" s="5" t="s">
        <v>15</v>
      </c>
      <c r="F53" s="7">
        <f>SOURCE_DATA!W10</f>
        <v>49.56</v>
      </c>
      <c r="G53" s="8">
        <f>SOURCE_DATA!X10</f>
        <v>8</v>
      </c>
      <c r="H53" s="9">
        <f>SOURCE_DATA!Y10</f>
        <v>396.48</v>
      </c>
      <c r="I53" s="69">
        <f t="shared" si="3"/>
        <v>909</v>
      </c>
      <c r="J53" s="11" t="str">
        <f t="shared" si="4"/>
        <v>Actual 2022 crashes of this road</v>
      </c>
      <c r="K53" s="11" t="str">
        <f t="shared" si="5"/>
        <v>Yes</v>
      </c>
    </row>
    <row r="54" spans="1:11" x14ac:dyDescent="0.3">
      <c r="A54" s="4" t="str">
        <f>SOURCE_DATA!A10</f>
        <v>SSH</v>
      </c>
      <c r="B54" s="5">
        <v>2024</v>
      </c>
      <c r="C54" s="6">
        <f>SOURCE_DATA!K10</f>
        <v>193641</v>
      </c>
      <c r="D54" s="6">
        <f>SOURCE_DATA!U10</f>
        <v>1040</v>
      </c>
      <c r="E54" s="5" t="s">
        <v>15</v>
      </c>
      <c r="F54" s="7">
        <f>SOURCE_DATA!W10</f>
        <v>49.56</v>
      </c>
      <c r="G54" s="8">
        <f>SOURCE_DATA!X10</f>
        <v>8</v>
      </c>
      <c r="H54" s="9">
        <f>SOURCE_DATA!Y10</f>
        <v>396.48</v>
      </c>
      <c r="I54" s="69">
        <f t="shared" si="3"/>
        <v>947</v>
      </c>
      <c r="J54" s="11" t="str">
        <f t="shared" si="4"/>
        <v>Actual 2023 crashes of this road</v>
      </c>
      <c r="K54" s="11" t="str">
        <f t="shared" si="5"/>
        <v>Yes</v>
      </c>
    </row>
    <row r="55" spans="1:11" x14ac:dyDescent="0.3">
      <c r="A55" s="4" t="str">
        <f>SOURCE_DATA!A11</f>
        <v>ORTIGAS AVE.</v>
      </c>
      <c r="B55" s="5">
        <v>2015</v>
      </c>
      <c r="C55" s="6">
        <f>SOURCE_DATA!B11</f>
        <v>121433</v>
      </c>
      <c r="D55" s="6">
        <f>SOURCE_DATA!L11</f>
        <v>1973</v>
      </c>
      <c r="E55" s="5" t="s">
        <v>15</v>
      </c>
      <c r="F55" s="7">
        <f>SOURCE_DATA!W11</f>
        <v>12.1</v>
      </c>
      <c r="G55" s="8">
        <f>SOURCE_DATA!X11</f>
        <v>6</v>
      </c>
      <c r="H55" s="9">
        <f>SOURCE_DATA!Y11</f>
        <v>72.599999999999994</v>
      </c>
      <c r="I55" s="69" t="str">
        <f t="shared" si="3"/>
        <v>N/A</v>
      </c>
      <c r="J55" s="11" t="str">
        <f t="shared" si="4"/>
        <v>Unavailable – no 2014 MMARAS record (not imputed)</v>
      </c>
      <c r="K55" s="11" t="str">
        <f t="shared" si="5"/>
        <v>No – excluded</v>
      </c>
    </row>
    <row r="56" spans="1:11" x14ac:dyDescent="0.3">
      <c r="A56" s="4" t="str">
        <f>SOURCE_DATA!A11</f>
        <v>ORTIGAS AVE.</v>
      </c>
      <c r="B56" s="5">
        <v>2016</v>
      </c>
      <c r="C56" s="6">
        <f>SOURCE_DATA!C11</f>
        <v>153425</v>
      </c>
      <c r="D56" s="6">
        <f>SOURCE_DATA!M11</f>
        <v>2289</v>
      </c>
      <c r="E56" s="5" t="s">
        <v>15</v>
      </c>
      <c r="F56" s="7">
        <f>SOURCE_DATA!W11</f>
        <v>12.1</v>
      </c>
      <c r="G56" s="8">
        <f>SOURCE_DATA!X11</f>
        <v>6</v>
      </c>
      <c r="H56" s="9">
        <f>SOURCE_DATA!Y11</f>
        <v>72.599999999999994</v>
      </c>
      <c r="I56" s="69">
        <f t="shared" si="3"/>
        <v>1973</v>
      </c>
      <c r="J56" s="11" t="str">
        <f t="shared" si="4"/>
        <v>Actual 2015 crashes of this road</v>
      </c>
      <c r="K56" s="11" t="str">
        <f t="shared" si="5"/>
        <v>Yes</v>
      </c>
    </row>
    <row r="57" spans="1:11" x14ac:dyDescent="0.3">
      <c r="A57" s="4" t="str">
        <f>SOURCE_DATA!A11</f>
        <v>ORTIGAS AVE.</v>
      </c>
      <c r="B57" s="5">
        <v>2017</v>
      </c>
      <c r="C57" s="6">
        <f>SOURCE_DATA!D11</f>
        <v>153955</v>
      </c>
      <c r="D57" s="6">
        <f>SOURCE_DATA!N11</f>
        <v>2006</v>
      </c>
      <c r="E57" s="5" t="s">
        <v>15</v>
      </c>
      <c r="F57" s="7">
        <f>SOURCE_DATA!W11</f>
        <v>12.1</v>
      </c>
      <c r="G57" s="8">
        <f>SOURCE_DATA!X11</f>
        <v>6</v>
      </c>
      <c r="H57" s="9">
        <f>SOURCE_DATA!Y11</f>
        <v>72.599999999999994</v>
      </c>
      <c r="I57" s="69">
        <f t="shared" si="3"/>
        <v>2289</v>
      </c>
      <c r="J57" s="11" t="str">
        <f t="shared" si="4"/>
        <v>Actual 2016 crashes of this road</v>
      </c>
      <c r="K57" s="11" t="str">
        <f t="shared" si="5"/>
        <v>Yes</v>
      </c>
    </row>
    <row r="58" spans="1:11" x14ac:dyDescent="0.3">
      <c r="A58" s="4" t="str">
        <f>SOURCE_DATA!A11</f>
        <v>ORTIGAS AVE.</v>
      </c>
      <c r="B58" s="5">
        <v>2018</v>
      </c>
      <c r="C58" s="6">
        <f>SOURCE_DATA!E11</f>
        <v>174480</v>
      </c>
      <c r="D58" s="6">
        <f>SOURCE_DATA!O11</f>
        <v>2683</v>
      </c>
      <c r="E58" s="5" t="s">
        <v>15</v>
      </c>
      <c r="F58" s="7">
        <f>SOURCE_DATA!W11</f>
        <v>12.1</v>
      </c>
      <c r="G58" s="8">
        <f>SOURCE_DATA!X11</f>
        <v>6</v>
      </c>
      <c r="H58" s="9">
        <f>SOURCE_DATA!Y11</f>
        <v>72.599999999999994</v>
      </c>
      <c r="I58" s="69">
        <f t="shared" si="3"/>
        <v>2006</v>
      </c>
      <c r="J58" s="11" t="str">
        <f t="shared" si="4"/>
        <v>Actual 2017 crashes of this road</v>
      </c>
      <c r="K58" s="11" t="str">
        <f t="shared" si="5"/>
        <v>Yes</v>
      </c>
    </row>
    <row r="59" spans="1:11" x14ac:dyDescent="0.3">
      <c r="A59" s="4" t="str">
        <f>SOURCE_DATA!A11</f>
        <v>ORTIGAS AVE.</v>
      </c>
      <c r="B59" s="5">
        <v>2019</v>
      </c>
      <c r="C59" s="6">
        <f>SOURCE_DATA!F11</f>
        <v>180737</v>
      </c>
      <c r="D59" s="6">
        <f>SOURCE_DATA!P11</f>
        <v>2922</v>
      </c>
      <c r="E59" s="5" t="s">
        <v>15</v>
      </c>
      <c r="F59" s="7">
        <f>SOURCE_DATA!W11</f>
        <v>12.1</v>
      </c>
      <c r="G59" s="8">
        <f>SOURCE_DATA!X11</f>
        <v>6</v>
      </c>
      <c r="H59" s="9">
        <f>SOURCE_DATA!Y11</f>
        <v>72.599999999999994</v>
      </c>
      <c r="I59" s="69">
        <f t="shared" si="3"/>
        <v>2683</v>
      </c>
      <c r="J59" s="11" t="str">
        <f t="shared" si="4"/>
        <v>Actual 2018 crashes of this road</v>
      </c>
      <c r="K59" s="11" t="str">
        <f t="shared" si="5"/>
        <v>Yes</v>
      </c>
    </row>
    <row r="60" spans="1:11" x14ac:dyDescent="0.3">
      <c r="A60" s="4" t="str">
        <f>SOURCE_DATA!A11</f>
        <v>ORTIGAS AVE.</v>
      </c>
      <c r="B60" s="5">
        <v>2020</v>
      </c>
      <c r="C60" s="6">
        <f>SOURCE_DATA!G11</f>
        <v>172490</v>
      </c>
      <c r="D60" s="6">
        <f>SOURCE_DATA!Q11</f>
        <v>1266</v>
      </c>
      <c r="E60" s="5" t="s">
        <v>15</v>
      </c>
      <c r="F60" s="7">
        <f>SOURCE_DATA!W11</f>
        <v>12.1</v>
      </c>
      <c r="G60" s="8">
        <f>SOURCE_DATA!X11</f>
        <v>6</v>
      </c>
      <c r="H60" s="9">
        <f>SOURCE_DATA!Y11</f>
        <v>72.599999999999994</v>
      </c>
      <c r="I60" s="69">
        <f t="shared" si="3"/>
        <v>2922</v>
      </c>
      <c r="J60" s="11" t="str">
        <f t="shared" si="4"/>
        <v>Actual 2019 crashes of this road</v>
      </c>
      <c r="K60" s="11" t="str">
        <f t="shared" si="5"/>
        <v>Yes</v>
      </c>
    </row>
    <row r="61" spans="1:11" x14ac:dyDescent="0.3">
      <c r="A61" s="4" t="str">
        <f>SOURCE_DATA!A11</f>
        <v>ORTIGAS AVE.</v>
      </c>
      <c r="B61" s="5">
        <v>2021</v>
      </c>
      <c r="C61" s="6">
        <f>SOURCE_DATA!H11</f>
        <v>185699</v>
      </c>
      <c r="D61" s="6">
        <f>SOURCE_DATA!R11</f>
        <v>1080</v>
      </c>
      <c r="E61" s="5" t="s">
        <v>15</v>
      </c>
      <c r="F61" s="7">
        <f>SOURCE_DATA!W11</f>
        <v>12.1</v>
      </c>
      <c r="G61" s="8">
        <f>SOURCE_DATA!X11</f>
        <v>6</v>
      </c>
      <c r="H61" s="9">
        <f>SOURCE_DATA!Y11</f>
        <v>72.599999999999994</v>
      </c>
      <c r="I61" s="69">
        <f t="shared" si="3"/>
        <v>1266</v>
      </c>
      <c r="J61" s="11" t="str">
        <f t="shared" si="4"/>
        <v>Actual 2020 crashes of this road</v>
      </c>
      <c r="K61" s="11" t="str">
        <f t="shared" si="5"/>
        <v>Yes</v>
      </c>
    </row>
    <row r="62" spans="1:11" x14ac:dyDescent="0.3">
      <c r="A62" s="4" t="str">
        <f>SOURCE_DATA!A11</f>
        <v>ORTIGAS AVE.</v>
      </c>
      <c r="B62" s="5">
        <v>2022</v>
      </c>
      <c r="C62" s="6">
        <f>SOURCE_DATA!I11</f>
        <v>179661</v>
      </c>
      <c r="D62" s="6">
        <f>SOURCE_DATA!S11</f>
        <v>1349</v>
      </c>
      <c r="E62" s="5" t="s">
        <v>15</v>
      </c>
      <c r="F62" s="7">
        <f>SOURCE_DATA!W11</f>
        <v>12.1</v>
      </c>
      <c r="G62" s="8">
        <f>SOURCE_DATA!X11</f>
        <v>6</v>
      </c>
      <c r="H62" s="9">
        <f>SOURCE_DATA!Y11</f>
        <v>72.599999999999994</v>
      </c>
      <c r="I62" s="69">
        <f t="shared" si="3"/>
        <v>1080</v>
      </c>
      <c r="J62" s="11" t="str">
        <f t="shared" si="4"/>
        <v>Actual 2021 crashes of this road</v>
      </c>
      <c r="K62" s="11" t="str">
        <f t="shared" si="5"/>
        <v>Yes</v>
      </c>
    </row>
    <row r="63" spans="1:11" x14ac:dyDescent="0.3">
      <c r="A63" s="4" t="str">
        <f>SOURCE_DATA!A11</f>
        <v>ORTIGAS AVE.</v>
      </c>
      <c r="B63" s="5">
        <v>2023</v>
      </c>
      <c r="C63" s="6">
        <f>SOURCE_DATA!J11</f>
        <v>146597</v>
      </c>
      <c r="D63" s="6">
        <f>SOURCE_DATA!T11</f>
        <v>2167</v>
      </c>
      <c r="E63" s="5" t="s">
        <v>15</v>
      </c>
      <c r="F63" s="7">
        <f>SOURCE_DATA!W11</f>
        <v>12.1</v>
      </c>
      <c r="G63" s="8">
        <f>SOURCE_DATA!X11</f>
        <v>6</v>
      </c>
      <c r="H63" s="9">
        <f>SOURCE_DATA!Y11</f>
        <v>72.599999999999994</v>
      </c>
      <c r="I63" s="69">
        <f t="shared" si="3"/>
        <v>1349</v>
      </c>
      <c r="J63" s="11" t="str">
        <f t="shared" si="4"/>
        <v>Actual 2022 crashes of this road</v>
      </c>
      <c r="K63" s="11" t="str">
        <f t="shared" si="5"/>
        <v>Yes</v>
      </c>
    </row>
    <row r="64" spans="1:11" x14ac:dyDescent="0.3">
      <c r="A64" s="4" t="str">
        <f>SOURCE_DATA!A11</f>
        <v>ORTIGAS AVE.</v>
      </c>
      <c r="B64" s="5">
        <v>2024</v>
      </c>
      <c r="C64" s="6">
        <f>SOURCE_DATA!K11</f>
        <v>188765</v>
      </c>
      <c r="D64" s="6">
        <f>SOURCE_DATA!U11</f>
        <v>1930</v>
      </c>
      <c r="E64" s="5" t="s">
        <v>15</v>
      </c>
      <c r="F64" s="7">
        <f>SOURCE_DATA!W11</f>
        <v>12.1</v>
      </c>
      <c r="G64" s="8">
        <f>SOURCE_DATA!X11</f>
        <v>6</v>
      </c>
      <c r="H64" s="9">
        <f>SOURCE_DATA!Y11</f>
        <v>72.599999999999994</v>
      </c>
      <c r="I64" s="69">
        <f t="shared" si="3"/>
        <v>2167</v>
      </c>
      <c r="J64" s="11" t="str">
        <f t="shared" si="4"/>
        <v>Actual 2023 crashes of this road</v>
      </c>
      <c r="K64" s="11" t="str">
        <f t="shared" si="5"/>
        <v>Yes</v>
      </c>
    </row>
    <row r="65" spans="1:11" x14ac:dyDescent="0.3">
      <c r="A65" s="5" t="s">
        <v>35</v>
      </c>
      <c r="B65" s="5">
        <v>2015</v>
      </c>
      <c r="C65" s="9">
        <f>AVERAGE(SOURCE_DATA!B12,SOURCE_DATA!B13)</f>
        <v>96759.5</v>
      </c>
      <c r="D65" s="6">
        <f>SOURCE_DATA!L12</f>
        <v>1505</v>
      </c>
      <c r="E65" s="5" t="s">
        <v>15</v>
      </c>
      <c r="F65" s="7">
        <f>SOURCE_DATA!W12+SOURCE_DATA!W13</f>
        <v>11.2</v>
      </c>
      <c r="G65" s="14">
        <f t="shared" ref="G65:G74" si="6">H65/F65</f>
        <v>7.5892857142857144</v>
      </c>
      <c r="H65" s="9">
        <f>SOURCE_DATA!Y12+SOURCE_DATA!Y13</f>
        <v>85</v>
      </c>
      <c r="I65" s="69" t="str">
        <f t="shared" si="3"/>
        <v>N/A</v>
      </c>
      <c r="J65" s="11" t="str">
        <f t="shared" si="4"/>
        <v>Unavailable – no 2014 MMARAS record (not imputed)</v>
      </c>
      <c r="K65" s="11" t="str">
        <f t="shared" si="5"/>
        <v>No – excluded</v>
      </c>
    </row>
    <row r="66" spans="1:11" x14ac:dyDescent="0.3">
      <c r="A66" s="5" t="s">
        <v>35</v>
      </c>
      <c r="B66" s="5">
        <v>2016</v>
      </c>
      <c r="C66" s="9">
        <f>AVERAGE(SOURCE_DATA!C12,SOURCE_DATA!C13)</f>
        <v>95187</v>
      </c>
      <c r="D66" s="6">
        <f>SOURCE_DATA!M12</f>
        <v>1707</v>
      </c>
      <c r="E66" s="5" t="s">
        <v>15</v>
      </c>
      <c r="F66" s="7">
        <f>SOURCE_DATA!W12+SOURCE_DATA!W13</f>
        <v>11.2</v>
      </c>
      <c r="G66" s="14">
        <f t="shared" si="6"/>
        <v>7.5892857142857144</v>
      </c>
      <c r="H66" s="9">
        <f>SOURCE_DATA!Y12+SOURCE_DATA!Y13</f>
        <v>85</v>
      </c>
      <c r="I66" s="69">
        <f t="shared" si="3"/>
        <v>1505</v>
      </c>
      <c r="J66" s="11" t="str">
        <f t="shared" si="4"/>
        <v>Actual 2015 crashes of this road</v>
      </c>
      <c r="K66" s="11" t="str">
        <f t="shared" si="5"/>
        <v>Yes</v>
      </c>
    </row>
    <row r="67" spans="1:11" x14ac:dyDescent="0.3">
      <c r="A67" s="5" t="s">
        <v>35</v>
      </c>
      <c r="B67" s="5">
        <v>2017</v>
      </c>
      <c r="C67" s="9">
        <f>AVERAGE(SOURCE_DATA!D12,SOURCE_DATA!D13)</f>
        <v>100608.5</v>
      </c>
      <c r="D67" s="6">
        <f>SOURCE_DATA!N12</f>
        <v>1769</v>
      </c>
      <c r="E67" s="5" t="s">
        <v>15</v>
      </c>
      <c r="F67" s="7">
        <f>SOURCE_DATA!W12+SOURCE_DATA!W13</f>
        <v>11.2</v>
      </c>
      <c r="G67" s="14">
        <f t="shared" si="6"/>
        <v>7.5892857142857144</v>
      </c>
      <c r="H67" s="9">
        <f>SOURCE_DATA!Y12+SOURCE_DATA!Y13</f>
        <v>85</v>
      </c>
      <c r="I67" s="69">
        <f t="shared" si="3"/>
        <v>1707</v>
      </c>
      <c r="J67" s="11" t="str">
        <f t="shared" si="4"/>
        <v>Actual 2016 crashes of this road</v>
      </c>
      <c r="K67" s="11" t="str">
        <f t="shared" si="5"/>
        <v>Yes</v>
      </c>
    </row>
    <row r="68" spans="1:11" x14ac:dyDescent="0.3">
      <c r="A68" s="5" t="s">
        <v>35</v>
      </c>
      <c r="B68" s="5">
        <v>2018</v>
      </c>
      <c r="C68" s="9">
        <f>AVERAGE(SOURCE_DATA!E12,SOURCE_DATA!E13)</f>
        <v>108595</v>
      </c>
      <c r="D68" s="6">
        <f>SOURCE_DATA!O12</f>
        <v>2068</v>
      </c>
      <c r="E68" s="5" t="s">
        <v>15</v>
      </c>
      <c r="F68" s="7">
        <f>SOURCE_DATA!W12+SOURCE_DATA!W13</f>
        <v>11.2</v>
      </c>
      <c r="G68" s="14">
        <f t="shared" si="6"/>
        <v>7.5892857142857144</v>
      </c>
      <c r="H68" s="9">
        <f>SOURCE_DATA!Y12+SOURCE_DATA!Y13</f>
        <v>85</v>
      </c>
      <c r="I68" s="69">
        <f t="shared" si="3"/>
        <v>1769</v>
      </c>
      <c r="J68" s="11" t="str">
        <f t="shared" si="4"/>
        <v>Actual 2017 crashes of this road</v>
      </c>
      <c r="K68" s="11" t="str">
        <f t="shared" si="5"/>
        <v>Yes</v>
      </c>
    </row>
    <row r="69" spans="1:11" x14ac:dyDescent="0.3">
      <c r="A69" s="5" t="s">
        <v>35</v>
      </c>
      <c r="B69" s="5">
        <v>2019</v>
      </c>
      <c r="C69" s="9">
        <f>AVERAGE(SOURCE_DATA!F12,SOURCE_DATA!F13)</f>
        <v>120102.5</v>
      </c>
      <c r="D69" s="6">
        <f>SOURCE_DATA!P12</f>
        <v>2404</v>
      </c>
      <c r="E69" s="5" t="s">
        <v>15</v>
      </c>
      <c r="F69" s="7">
        <f>SOURCE_DATA!W12+SOURCE_DATA!W13</f>
        <v>11.2</v>
      </c>
      <c r="G69" s="14">
        <f t="shared" si="6"/>
        <v>7.5892857142857144</v>
      </c>
      <c r="H69" s="9">
        <f>SOURCE_DATA!Y12+SOURCE_DATA!Y13</f>
        <v>85</v>
      </c>
      <c r="I69" s="69">
        <f t="shared" ref="I69:I100" si="7">IF(COUNTIFS($A$5:$A$144,A69,$B$5:$B$144,B69-1)=1,SUMIFS($D$5:$D$144,$A$5:$A$144,A69,$B$5:$B$144,B69-1),"N/A")</f>
        <v>2068</v>
      </c>
      <c r="J69" s="11" t="str">
        <f t="shared" ref="J69:J100" si="8">IF(ISNUMBER(I69),"Actual "&amp;(B69-1)&amp;" crashes of this road","Unavailable – no "&amp;(B69-1)&amp;" MMARAS record (not imputed)")</f>
        <v>Actual 2018 crashes of this road</v>
      </c>
      <c r="K69" s="11" t="str">
        <f t="shared" ref="K69:K100" si="9">IF(ISNUMBER(I69),"Yes","No – excluded")</f>
        <v>Yes</v>
      </c>
    </row>
    <row r="70" spans="1:11" x14ac:dyDescent="0.3">
      <c r="A70" s="5" t="s">
        <v>35</v>
      </c>
      <c r="B70" s="5">
        <v>2020</v>
      </c>
      <c r="C70" s="9">
        <f>AVERAGE(SOURCE_DATA!G12,SOURCE_DATA!G13)</f>
        <v>112368</v>
      </c>
      <c r="D70" s="6">
        <f>SOURCE_DATA!Q12</f>
        <v>154</v>
      </c>
      <c r="E70" s="5" t="s">
        <v>15</v>
      </c>
      <c r="F70" s="7">
        <f>SOURCE_DATA!W12+SOURCE_DATA!W13</f>
        <v>11.2</v>
      </c>
      <c r="G70" s="14">
        <f t="shared" si="6"/>
        <v>7.5892857142857144</v>
      </c>
      <c r="H70" s="9">
        <f>SOURCE_DATA!Y12+SOURCE_DATA!Y13</f>
        <v>85</v>
      </c>
      <c r="I70" s="69">
        <f t="shared" si="7"/>
        <v>2404</v>
      </c>
      <c r="J70" s="11" t="str">
        <f t="shared" si="8"/>
        <v>Actual 2019 crashes of this road</v>
      </c>
      <c r="K70" s="11" t="str">
        <f t="shared" si="9"/>
        <v>Yes</v>
      </c>
    </row>
    <row r="71" spans="1:11" x14ac:dyDescent="0.3">
      <c r="A71" s="5" t="s">
        <v>35</v>
      </c>
      <c r="B71" s="5">
        <v>2021</v>
      </c>
      <c r="C71" s="9">
        <f>AVERAGE(SOURCE_DATA!H12,SOURCE_DATA!H13)</f>
        <v>120372.5</v>
      </c>
      <c r="D71" s="6">
        <f>SOURCE_DATA!R12</f>
        <v>1362</v>
      </c>
      <c r="E71" s="5" t="s">
        <v>15</v>
      </c>
      <c r="F71" s="7">
        <f>SOURCE_DATA!W12+SOURCE_DATA!W13</f>
        <v>11.2</v>
      </c>
      <c r="G71" s="14">
        <f t="shared" si="6"/>
        <v>7.5892857142857144</v>
      </c>
      <c r="H71" s="9">
        <f>SOURCE_DATA!Y12+SOURCE_DATA!Y13</f>
        <v>85</v>
      </c>
      <c r="I71" s="69">
        <f t="shared" si="7"/>
        <v>154</v>
      </c>
      <c r="J71" s="11" t="str">
        <f t="shared" si="8"/>
        <v>Actual 2020 crashes of this road</v>
      </c>
      <c r="K71" s="11" t="str">
        <f t="shared" si="9"/>
        <v>Yes</v>
      </c>
    </row>
    <row r="72" spans="1:11" x14ac:dyDescent="0.3">
      <c r="A72" s="5" t="s">
        <v>35</v>
      </c>
      <c r="B72" s="5">
        <v>2022</v>
      </c>
      <c r="C72" s="9">
        <f>AVERAGE(SOURCE_DATA!I12,SOURCE_DATA!I13)</f>
        <v>124064.5</v>
      </c>
      <c r="D72" s="6">
        <f>SOURCE_DATA!S12</f>
        <v>1070</v>
      </c>
      <c r="E72" s="5" t="s">
        <v>15</v>
      </c>
      <c r="F72" s="7">
        <f>SOURCE_DATA!W12+SOURCE_DATA!W13</f>
        <v>11.2</v>
      </c>
      <c r="G72" s="14">
        <f t="shared" si="6"/>
        <v>7.5892857142857144</v>
      </c>
      <c r="H72" s="9">
        <f>SOURCE_DATA!Y12+SOURCE_DATA!Y13</f>
        <v>85</v>
      </c>
      <c r="I72" s="69">
        <f t="shared" si="7"/>
        <v>1362</v>
      </c>
      <c r="J72" s="11" t="str">
        <f t="shared" si="8"/>
        <v>Actual 2021 crashes of this road</v>
      </c>
      <c r="K72" s="11" t="str">
        <f t="shared" si="9"/>
        <v>Yes</v>
      </c>
    </row>
    <row r="73" spans="1:11" x14ac:dyDescent="0.3">
      <c r="A73" s="5" t="s">
        <v>35</v>
      </c>
      <c r="B73" s="5">
        <v>2023</v>
      </c>
      <c r="C73" s="9">
        <f>AVERAGE(SOURCE_DATA!J12,SOURCE_DATA!J13)</f>
        <v>129922</v>
      </c>
      <c r="D73" s="6">
        <f>SOURCE_DATA!T12</f>
        <v>2245</v>
      </c>
      <c r="E73" s="5" t="s">
        <v>15</v>
      </c>
      <c r="F73" s="7">
        <f>SOURCE_DATA!W12+SOURCE_DATA!W13</f>
        <v>11.2</v>
      </c>
      <c r="G73" s="14">
        <f t="shared" si="6"/>
        <v>7.5892857142857144</v>
      </c>
      <c r="H73" s="9">
        <f>SOURCE_DATA!Y12+SOURCE_DATA!Y13</f>
        <v>85</v>
      </c>
      <c r="I73" s="69">
        <f t="shared" si="7"/>
        <v>1070</v>
      </c>
      <c r="J73" s="11" t="str">
        <f t="shared" si="8"/>
        <v>Actual 2022 crashes of this road</v>
      </c>
      <c r="K73" s="11" t="str">
        <f t="shared" si="9"/>
        <v>Yes</v>
      </c>
    </row>
    <row r="74" spans="1:11" x14ac:dyDescent="0.3">
      <c r="A74" s="5" t="s">
        <v>35</v>
      </c>
      <c r="B74" s="5">
        <v>2024</v>
      </c>
      <c r="C74" s="9">
        <f>AVERAGE(SOURCE_DATA!K12,SOURCE_DATA!K13)</f>
        <v>145562.5</v>
      </c>
      <c r="D74" s="6">
        <f>SOURCE_DATA!U12</f>
        <v>2505</v>
      </c>
      <c r="E74" s="5" t="s">
        <v>15</v>
      </c>
      <c r="F74" s="7">
        <f>SOURCE_DATA!W12+SOURCE_DATA!W13</f>
        <v>11.2</v>
      </c>
      <c r="G74" s="14">
        <f t="shared" si="6"/>
        <v>7.5892857142857144</v>
      </c>
      <c r="H74" s="9">
        <f>SOURCE_DATA!Y12+SOURCE_DATA!Y13</f>
        <v>85</v>
      </c>
      <c r="I74" s="69">
        <f t="shared" si="7"/>
        <v>2245</v>
      </c>
      <c r="J74" s="11" t="str">
        <f t="shared" si="8"/>
        <v>Actual 2023 crashes of this road</v>
      </c>
      <c r="K74" s="11" t="str">
        <f t="shared" si="9"/>
        <v>Yes</v>
      </c>
    </row>
    <row r="75" spans="1:11" x14ac:dyDescent="0.3">
      <c r="A75" s="4" t="str">
        <f>SOURCE_DATA!A14</f>
        <v>QUEZON AVE.</v>
      </c>
      <c r="B75" s="5">
        <v>2015</v>
      </c>
      <c r="C75" s="6">
        <f>SOURCE_DATA!B14</f>
        <v>186321</v>
      </c>
      <c r="D75" s="6">
        <f>SOURCE_DATA!L14</f>
        <v>1498</v>
      </c>
      <c r="E75" s="5" t="s">
        <v>15</v>
      </c>
      <c r="F75" s="7">
        <f>SOURCE_DATA!W14</f>
        <v>6.1</v>
      </c>
      <c r="G75" s="8">
        <f>SOURCE_DATA!X14</f>
        <v>10</v>
      </c>
      <c r="H75" s="9">
        <f>SOURCE_DATA!Y14</f>
        <v>61</v>
      </c>
      <c r="I75" s="69" t="str">
        <f t="shared" si="7"/>
        <v>N/A</v>
      </c>
      <c r="J75" s="11" t="str">
        <f t="shared" si="8"/>
        <v>Unavailable – no 2014 MMARAS record (not imputed)</v>
      </c>
      <c r="K75" s="11" t="str">
        <f t="shared" si="9"/>
        <v>No – excluded</v>
      </c>
    </row>
    <row r="76" spans="1:11" x14ac:dyDescent="0.3">
      <c r="A76" s="4" t="str">
        <f>SOURCE_DATA!A14</f>
        <v>QUEZON AVE.</v>
      </c>
      <c r="B76" s="5">
        <v>2016</v>
      </c>
      <c r="C76" s="6">
        <f>SOURCE_DATA!C14</f>
        <v>187111</v>
      </c>
      <c r="D76" s="6">
        <f>SOURCE_DATA!M14</f>
        <v>1996</v>
      </c>
      <c r="E76" s="5" t="s">
        <v>15</v>
      </c>
      <c r="F76" s="7">
        <f>SOURCE_DATA!W14</f>
        <v>6.1</v>
      </c>
      <c r="G76" s="8">
        <f>SOURCE_DATA!X14</f>
        <v>10</v>
      </c>
      <c r="H76" s="9">
        <f>SOURCE_DATA!Y14</f>
        <v>61</v>
      </c>
      <c r="I76" s="69">
        <f t="shared" si="7"/>
        <v>1498</v>
      </c>
      <c r="J76" s="11" t="str">
        <f t="shared" si="8"/>
        <v>Actual 2015 crashes of this road</v>
      </c>
      <c r="K76" s="11" t="str">
        <f t="shared" si="9"/>
        <v>Yes</v>
      </c>
    </row>
    <row r="77" spans="1:11" x14ac:dyDescent="0.3">
      <c r="A77" s="4" t="str">
        <f>SOURCE_DATA!A14</f>
        <v>QUEZON AVE.</v>
      </c>
      <c r="B77" s="5">
        <v>2017</v>
      </c>
      <c r="C77" s="6">
        <f>SOURCE_DATA!D14</f>
        <v>195335</v>
      </c>
      <c r="D77" s="6">
        <f>SOURCE_DATA!N14</f>
        <v>2029</v>
      </c>
      <c r="E77" s="5" t="s">
        <v>15</v>
      </c>
      <c r="F77" s="7">
        <f>SOURCE_DATA!W14</f>
        <v>6.1</v>
      </c>
      <c r="G77" s="8">
        <f>SOURCE_DATA!X14</f>
        <v>10</v>
      </c>
      <c r="H77" s="9">
        <f>SOURCE_DATA!Y14</f>
        <v>61</v>
      </c>
      <c r="I77" s="69">
        <f t="shared" si="7"/>
        <v>1996</v>
      </c>
      <c r="J77" s="11" t="str">
        <f t="shared" si="8"/>
        <v>Actual 2016 crashes of this road</v>
      </c>
      <c r="K77" s="11" t="str">
        <f t="shared" si="9"/>
        <v>Yes</v>
      </c>
    </row>
    <row r="78" spans="1:11" x14ac:dyDescent="0.3">
      <c r="A78" s="4" t="str">
        <f>SOURCE_DATA!A14</f>
        <v>QUEZON AVE.</v>
      </c>
      <c r="B78" s="5">
        <v>2018</v>
      </c>
      <c r="C78" s="6">
        <f>SOURCE_DATA!E14</f>
        <v>204604</v>
      </c>
      <c r="D78" s="6">
        <f>SOURCE_DATA!O14</f>
        <v>2378</v>
      </c>
      <c r="E78" s="5" t="s">
        <v>15</v>
      </c>
      <c r="F78" s="7">
        <f>SOURCE_DATA!W14</f>
        <v>6.1</v>
      </c>
      <c r="G78" s="8">
        <f>SOURCE_DATA!X14</f>
        <v>10</v>
      </c>
      <c r="H78" s="9">
        <f>SOURCE_DATA!Y14</f>
        <v>61</v>
      </c>
      <c r="I78" s="69">
        <f t="shared" si="7"/>
        <v>2029</v>
      </c>
      <c r="J78" s="11" t="str">
        <f t="shared" si="8"/>
        <v>Actual 2017 crashes of this road</v>
      </c>
      <c r="K78" s="11" t="str">
        <f t="shared" si="9"/>
        <v>Yes</v>
      </c>
    </row>
    <row r="79" spans="1:11" x14ac:dyDescent="0.3">
      <c r="A79" s="4" t="str">
        <f>SOURCE_DATA!A14</f>
        <v>QUEZON AVE.</v>
      </c>
      <c r="B79" s="5">
        <v>2019</v>
      </c>
      <c r="C79" s="6">
        <f>SOURCE_DATA!F14</f>
        <v>230099</v>
      </c>
      <c r="D79" s="6">
        <f>SOURCE_DATA!P14</f>
        <v>2635</v>
      </c>
      <c r="E79" s="5" t="s">
        <v>15</v>
      </c>
      <c r="F79" s="7">
        <f>SOURCE_DATA!W14</f>
        <v>6.1</v>
      </c>
      <c r="G79" s="8">
        <f>SOURCE_DATA!X14</f>
        <v>10</v>
      </c>
      <c r="H79" s="9">
        <f>SOURCE_DATA!Y14</f>
        <v>61</v>
      </c>
      <c r="I79" s="69">
        <f t="shared" si="7"/>
        <v>2378</v>
      </c>
      <c r="J79" s="11" t="str">
        <f t="shared" si="8"/>
        <v>Actual 2018 crashes of this road</v>
      </c>
      <c r="K79" s="11" t="str">
        <f t="shared" si="9"/>
        <v>Yes</v>
      </c>
    </row>
    <row r="80" spans="1:11" x14ac:dyDescent="0.3">
      <c r="A80" s="4" t="str">
        <f>SOURCE_DATA!A14</f>
        <v>QUEZON AVE.</v>
      </c>
      <c r="B80" s="5">
        <v>2020</v>
      </c>
      <c r="C80" s="6">
        <f>SOURCE_DATA!G14</f>
        <v>237759</v>
      </c>
      <c r="D80" s="6">
        <f>SOURCE_DATA!Q14</f>
        <v>1178</v>
      </c>
      <c r="E80" s="5" t="s">
        <v>15</v>
      </c>
      <c r="F80" s="7">
        <f>SOURCE_DATA!W14</f>
        <v>6.1</v>
      </c>
      <c r="G80" s="8">
        <f>SOURCE_DATA!X14</f>
        <v>10</v>
      </c>
      <c r="H80" s="9">
        <f>SOURCE_DATA!Y14</f>
        <v>61</v>
      </c>
      <c r="I80" s="69">
        <f t="shared" si="7"/>
        <v>2635</v>
      </c>
      <c r="J80" s="11" t="str">
        <f t="shared" si="8"/>
        <v>Actual 2019 crashes of this road</v>
      </c>
      <c r="K80" s="11" t="str">
        <f t="shared" si="9"/>
        <v>Yes</v>
      </c>
    </row>
    <row r="81" spans="1:11" x14ac:dyDescent="0.3">
      <c r="A81" s="4" t="str">
        <f>SOURCE_DATA!A14</f>
        <v>QUEZON AVE.</v>
      </c>
      <c r="B81" s="5">
        <v>2021</v>
      </c>
      <c r="C81" s="6">
        <f>SOURCE_DATA!H14</f>
        <v>262128</v>
      </c>
      <c r="D81" s="6">
        <f>SOURCE_DATA!R14</f>
        <v>1753</v>
      </c>
      <c r="E81" s="5" t="s">
        <v>15</v>
      </c>
      <c r="F81" s="7">
        <f>SOURCE_DATA!W14</f>
        <v>6.1</v>
      </c>
      <c r="G81" s="8">
        <f>SOURCE_DATA!X14</f>
        <v>10</v>
      </c>
      <c r="H81" s="9">
        <f>SOURCE_DATA!Y14</f>
        <v>61</v>
      </c>
      <c r="I81" s="69">
        <f t="shared" si="7"/>
        <v>1178</v>
      </c>
      <c r="J81" s="11" t="str">
        <f t="shared" si="8"/>
        <v>Actual 2020 crashes of this road</v>
      </c>
      <c r="K81" s="11" t="str">
        <f t="shared" si="9"/>
        <v>Yes</v>
      </c>
    </row>
    <row r="82" spans="1:11" x14ac:dyDescent="0.3">
      <c r="A82" s="4" t="str">
        <f>SOURCE_DATA!A14</f>
        <v>QUEZON AVE.</v>
      </c>
      <c r="B82" s="5">
        <v>2022</v>
      </c>
      <c r="C82" s="6">
        <f>SOURCE_DATA!I14</f>
        <v>280606</v>
      </c>
      <c r="D82" s="6">
        <f>SOURCE_DATA!S14</f>
        <v>1955</v>
      </c>
      <c r="E82" s="5" t="s">
        <v>15</v>
      </c>
      <c r="F82" s="7">
        <f>SOURCE_DATA!W14</f>
        <v>6.1</v>
      </c>
      <c r="G82" s="8">
        <f>SOURCE_DATA!X14</f>
        <v>10</v>
      </c>
      <c r="H82" s="9">
        <f>SOURCE_DATA!Y14</f>
        <v>61</v>
      </c>
      <c r="I82" s="69">
        <f t="shared" si="7"/>
        <v>1753</v>
      </c>
      <c r="J82" s="11" t="str">
        <f t="shared" si="8"/>
        <v>Actual 2021 crashes of this road</v>
      </c>
      <c r="K82" s="11" t="str">
        <f t="shared" si="9"/>
        <v>Yes</v>
      </c>
    </row>
    <row r="83" spans="1:11" x14ac:dyDescent="0.3">
      <c r="A83" s="4" t="str">
        <f>SOURCE_DATA!A14</f>
        <v>QUEZON AVE.</v>
      </c>
      <c r="B83" s="5">
        <v>2023</v>
      </c>
      <c r="C83" s="6">
        <f>SOURCE_DATA!J14</f>
        <v>312486</v>
      </c>
      <c r="D83" s="6">
        <f>SOURCE_DATA!T14</f>
        <v>2529</v>
      </c>
      <c r="E83" s="5" t="s">
        <v>15</v>
      </c>
      <c r="F83" s="7">
        <f>SOURCE_DATA!W14</f>
        <v>6.1</v>
      </c>
      <c r="G83" s="8">
        <f>SOURCE_DATA!X14</f>
        <v>10</v>
      </c>
      <c r="H83" s="9">
        <f>SOURCE_DATA!Y14</f>
        <v>61</v>
      </c>
      <c r="I83" s="69">
        <f t="shared" si="7"/>
        <v>1955</v>
      </c>
      <c r="J83" s="11" t="str">
        <f t="shared" si="8"/>
        <v>Actual 2022 crashes of this road</v>
      </c>
      <c r="K83" s="11" t="str">
        <f t="shared" si="9"/>
        <v>Yes</v>
      </c>
    </row>
    <row r="84" spans="1:11" x14ac:dyDescent="0.3">
      <c r="A84" s="4" t="str">
        <f>SOURCE_DATA!A14</f>
        <v>QUEZON AVE.</v>
      </c>
      <c r="B84" s="5">
        <v>2024</v>
      </c>
      <c r="C84" s="6">
        <f>SOURCE_DATA!K14</f>
        <v>298680</v>
      </c>
      <c r="D84" s="6">
        <f>SOURCE_DATA!U14</f>
        <v>2883</v>
      </c>
      <c r="E84" s="5" t="s">
        <v>15</v>
      </c>
      <c r="F84" s="7">
        <f>SOURCE_DATA!W14</f>
        <v>6.1</v>
      </c>
      <c r="G84" s="8">
        <f>SOURCE_DATA!X14</f>
        <v>10</v>
      </c>
      <c r="H84" s="9">
        <f>SOURCE_DATA!Y14</f>
        <v>61</v>
      </c>
      <c r="I84" s="69">
        <f t="shared" si="7"/>
        <v>2529</v>
      </c>
      <c r="J84" s="11" t="str">
        <f t="shared" si="8"/>
        <v>Actual 2023 crashes of this road</v>
      </c>
      <c r="K84" s="11" t="str">
        <f t="shared" si="9"/>
        <v>Yes</v>
      </c>
    </row>
    <row r="85" spans="1:11" x14ac:dyDescent="0.3">
      <c r="A85" s="4" t="str">
        <f>SOURCE_DATA!A15</f>
        <v>COMMONWEALTH AVE.</v>
      </c>
      <c r="B85" s="5">
        <v>2015</v>
      </c>
      <c r="C85" s="6">
        <f>SOURCE_DATA!B15</f>
        <v>259195</v>
      </c>
      <c r="D85" s="6">
        <f>SOURCE_DATA!L15</f>
        <v>3158</v>
      </c>
      <c r="E85" s="5" t="s">
        <v>15</v>
      </c>
      <c r="F85" s="7">
        <f>SOURCE_DATA!W15</f>
        <v>12.4</v>
      </c>
      <c r="G85" s="8">
        <f>SOURCE_DATA!X15</f>
        <v>18</v>
      </c>
      <c r="H85" s="9">
        <f>SOURCE_DATA!Y15</f>
        <v>223.20000000000002</v>
      </c>
      <c r="I85" s="69" t="str">
        <f t="shared" si="7"/>
        <v>N/A</v>
      </c>
      <c r="J85" s="11" t="str">
        <f t="shared" si="8"/>
        <v>Unavailable – no 2014 MMARAS record (not imputed)</v>
      </c>
      <c r="K85" s="11" t="str">
        <f t="shared" si="9"/>
        <v>No – excluded</v>
      </c>
    </row>
    <row r="86" spans="1:11" x14ac:dyDescent="0.3">
      <c r="A86" s="4" t="str">
        <f>SOURCE_DATA!A15</f>
        <v>COMMONWEALTH AVE.</v>
      </c>
      <c r="B86" s="5">
        <v>2016</v>
      </c>
      <c r="C86" s="6">
        <f>SOURCE_DATA!C15</f>
        <v>272255</v>
      </c>
      <c r="D86" s="6">
        <f>SOURCE_DATA!M15</f>
        <v>4032</v>
      </c>
      <c r="E86" s="5" t="s">
        <v>15</v>
      </c>
      <c r="F86" s="7">
        <f>SOURCE_DATA!W15</f>
        <v>12.4</v>
      </c>
      <c r="G86" s="8">
        <f>SOURCE_DATA!X15</f>
        <v>18</v>
      </c>
      <c r="H86" s="9">
        <f>SOURCE_DATA!Y15</f>
        <v>223.20000000000002</v>
      </c>
      <c r="I86" s="69">
        <f t="shared" si="7"/>
        <v>3158</v>
      </c>
      <c r="J86" s="11" t="str">
        <f t="shared" si="8"/>
        <v>Actual 2015 crashes of this road</v>
      </c>
      <c r="K86" s="11" t="str">
        <f t="shared" si="9"/>
        <v>Yes</v>
      </c>
    </row>
    <row r="87" spans="1:11" x14ac:dyDescent="0.3">
      <c r="A87" s="4" t="str">
        <f>SOURCE_DATA!A15</f>
        <v>COMMONWEALTH AVE.</v>
      </c>
      <c r="B87" s="5">
        <v>2017</v>
      </c>
      <c r="C87" s="6">
        <f>SOURCE_DATA!D15</f>
        <v>272720</v>
      </c>
      <c r="D87" s="6">
        <f>SOURCE_DATA!N15</f>
        <v>4649</v>
      </c>
      <c r="E87" s="5" t="s">
        <v>15</v>
      </c>
      <c r="F87" s="7">
        <f>SOURCE_DATA!W15</f>
        <v>12.4</v>
      </c>
      <c r="G87" s="8">
        <f>SOURCE_DATA!X15</f>
        <v>18</v>
      </c>
      <c r="H87" s="9">
        <f>SOURCE_DATA!Y15</f>
        <v>223.20000000000002</v>
      </c>
      <c r="I87" s="69">
        <f t="shared" si="7"/>
        <v>4032</v>
      </c>
      <c r="J87" s="11" t="str">
        <f t="shared" si="8"/>
        <v>Actual 2016 crashes of this road</v>
      </c>
      <c r="K87" s="11" t="str">
        <f t="shared" si="9"/>
        <v>Yes</v>
      </c>
    </row>
    <row r="88" spans="1:11" x14ac:dyDescent="0.3">
      <c r="A88" s="4" t="str">
        <f>SOURCE_DATA!A15</f>
        <v>COMMONWEALTH AVE.</v>
      </c>
      <c r="B88" s="5">
        <v>2018</v>
      </c>
      <c r="C88" s="6">
        <f>SOURCE_DATA!E15</f>
        <v>244916</v>
      </c>
      <c r="D88" s="6">
        <f>SOURCE_DATA!O15</f>
        <v>5148</v>
      </c>
      <c r="E88" s="5" t="s">
        <v>15</v>
      </c>
      <c r="F88" s="7">
        <f>SOURCE_DATA!W15</f>
        <v>12.4</v>
      </c>
      <c r="G88" s="8">
        <f>SOURCE_DATA!X15</f>
        <v>18</v>
      </c>
      <c r="H88" s="9">
        <f>SOURCE_DATA!Y15</f>
        <v>223.20000000000002</v>
      </c>
      <c r="I88" s="69">
        <f t="shared" si="7"/>
        <v>4649</v>
      </c>
      <c r="J88" s="11" t="str">
        <f t="shared" si="8"/>
        <v>Actual 2017 crashes of this road</v>
      </c>
      <c r="K88" s="11" t="str">
        <f t="shared" si="9"/>
        <v>Yes</v>
      </c>
    </row>
    <row r="89" spans="1:11" x14ac:dyDescent="0.3">
      <c r="A89" s="4" t="str">
        <f>SOURCE_DATA!A15</f>
        <v>COMMONWEALTH AVE.</v>
      </c>
      <c r="B89" s="5">
        <v>2019</v>
      </c>
      <c r="C89" s="6">
        <f>SOURCE_DATA!F15</f>
        <v>317471</v>
      </c>
      <c r="D89" s="6">
        <f>SOURCE_DATA!P15</f>
        <v>4998</v>
      </c>
      <c r="E89" s="5" t="s">
        <v>15</v>
      </c>
      <c r="F89" s="7">
        <f>SOURCE_DATA!W15</f>
        <v>12.4</v>
      </c>
      <c r="G89" s="8">
        <f>SOURCE_DATA!X15</f>
        <v>18</v>
      </c>
      <c r="H89" s="9">
        <f>SOURCE_DATA!Y15</f>
        <v>223.20000000000002</v>
      </c>
      <c r="I89" s="69">
        <f t="shared" si="7"/>
        <v>5148</v>
      </c>
      <c r="J89" s="11" t="str">
        <f t="shared" si="8"/>
        <v>Actual 2018 crashes of this road</v>
      </c>
      <c r="K89" s="11" t="str">
        <f t="shared" si="9"/>
        <v>Yes</v>
      </c>
    </row>
    <row r="90" spans="1:11" x14ac:dyDescent="0.3">
      <c r="A90" s="4" t="str">
        <f>SOURCE_DATA!A15</f>
        <v>COMMONWEALTH AVE.</v>
      </c>
      <c r="B90" s="5">
        <v>2020</v>
      </c>
      <c r="C90" s="6">
        <f>SOURCE_DATA!G15</f>
        <v>282137</v>
      </c>
      <c r="D90" s="6">
        <f>SOURCE_DATA!Q15</f>
        <v>3262</v>
      </c>
      <c r="E90" s="5" t="s">
        <v>15</v>
      </c>
      <c r="F90" s="7">
        <f>SOURCE_DATA!W15</f>
        <v>12.4</v>
      </c>
      <c r="G90" s="8">
        <f>SOURCE_DATA!X15</f>
        <v>18</v>
      </c>
      <c r="H90" s="9">
        <f>SOURCE_DATA!Y15</f>
        <v>223.20000000000002</v>
      </c>
      <c r="I90" s="69">
        <f t="shared" si="7"/>
        <v>4998</v>
      </c>
      <c r="J90" s="11" t="str">
        <f t="shared" si="8"/>
        <v>Actual 2019 crashes of this road</v>
      </c>
      <c r="K90" s="11" t="str">
        <f t="shared" si="9"/>
        <v>Yes</v>
      </c>
    </row>
    <row r="91" spans="1:11" x14ac:dyDescent="0.3">
      <c r="A91" s="4" t="str">
        <f>SOURCE_DATA!A15</f>
        <v>COMMONWEALTH AVE.</v>
      </c>
      <c r="B91" s="5">
        <v>2021</v>
      </c>
      <c r="C91" s="6">
        <f>SOURCE_DATA!H15</f>
        <v>302316</v>
      </c>
      <c r="D91" s="6">
        <f>SOURCE_DATA!R15</f>
        <v>3057</v>
      </c>
      <c r="E91" s="5" t="s">
        <v>15</v>
      </c>
      <c r="F91" s="7">
        <f>SOURCE_DATA!W15</f>
        <v>12.4</v>
      </c>
      <c r="G91" s="8">
        <f>SOURCE_DATA!X15</f>
        <v>18</v>
      </c>
      <c r="H91" s="9">
        <f>SOURCE_DATA!Y15</f>
        <v>223.20000000000002</v>
      </c>
      <c r="I91" s="69">
        <f t="shared" si="7"/>
        <v>3262</v>
      </c>
      <c r="J91" s="11" t="str">
        <f t="shared" si="8"/>
        <v>Actual 2020 crashes of this road</v>
      </c>
      <c r="K91" s="11" t="str">
        <f t="shared" si="9"/>
        <v>Yes</v>
      </c>
    </row>
    <row r="92" spans="1:11" x14ac:dyDescent="0.3">
      <c r="A92" s="4" t="str">
        <f>SOURCE_DATA!A15</f>
        <v>COMMONWEALTH AVE.</v>
      </c>
      <c r="B92" s="5">
        <v>2022</v>
      </c>
      <c r="C92" s="6">
        <f>SOURCE_DATA!I15</f>
        <v>346184</v>
      </c>
      <c r="D92" s="6">
        <f>SOURCE_DATA!S15</f>
        <v>3846</v>
      </c>
      <c r="E92" s="5" t="s">
        <v>15</v>
      </c>
      <c r="F92" s="7">
        <f>SOURCE_DATA!W15</f>
        <v>12.4</v>
      </c>
      <c r="G92" s="8">
        <f>SOURCE_DATA!X15</f>
        <v>18</v>
      </c>
      <c r="H92" s="9">
        <f>SOURCE_DATA!Y15</f>
        <v>223.20000000000002</v>
      </c>
      <c r="I92" s="69">
        <f t="shared" si="7"/>
        <v>3057</v>
      </c>
      <c r="J92" s="11" t="str">
        <f t="shared" si="8"/>
        <v>Actual 2021 crashes of this road</v>
      </c>
      <c r="K92" s="11" t="str">
        <f t="shared" si="9"/>
        <v>Yes</v>
      </c>
    </row>
    <row r="93" spans="1:11" x14ac:dyDescent="0.3">
      <c r="A93" s="4" t="str">
        <f>SOURCE_DATA!A15</f>
        <v>COMMONWEALTH AVE.</v>
      </c>
      <c r="B93" s="5">
        <v>2023</v>
      </c>
      <c r="C93" s="6">
        <f>SOURCE_DATA!J15</f>
        <v>407988</v>
      </c>
      <c r="D93" s="6">
        <f>SOURCE_DATA!T15</f>
        <v>4874</v>
      </c>
      <c r="E93" s="5" t="s">
        <v>15</v>
      </c>
      <c r="F93" s="7">
        <f>SOURCE_DATA!W15</f>
        <v>12.4</v>
      </c>
      <c r="G93" s="8">
        <f>SOURCE_DATA!X15</f>
        <v>18</v>
      </c>
      <c r="H93" s="9">
        <f>SOURCE_DATA!Y15</f>
        <v>223.20000000000002</v>
      </c>
      <c r="I93" s="69">
        <f t="shared" si="7"/>
        <v>3846</v>
      </c>
      <c r="J93" s="11" t="str">
        <f t="shared" si="8"/>
        <v>Actual 2022 crashes of this road</v>
      </c>
      <c r="K93" s="11" t="str">
        <f t="shared" si="9"/>
        <v>Yes</v>
      </c>
    </row>
    <row r="94" spans="1:11" x14ac:dyDescent="0.3">
      <c r="A94" s="4" t="str">
        <f>SOURCE_DATA!A15</f>
        <v>COMMONWEALTH AVE.</v>
      </c>
      <c r="B94" s="5">
        <v>2024</v>
      </c>
      <c r="C94" s="6">
        <f>SOURCE_DATA!K15</f>
        <v>413345</v>
      </c>
      <c r="D94" s="6">
        <f>SOURCE_DATA!U15</f>
        <v>5091</v>
      </c>
      <c r="E94" s="5" t="s">
        <v>15</v>
      </c>
      <c r="F94" s="7">
        <f>SOURCE_DATA!W15</f>
        <v>12.4</v>
      </c>
      <c r="G94" s="8">
        <f>SOURCE_DATA!X15</f>
        <v>18</v>
      </c>
      <c r="H94" s="9">
        <f>SOURCE_DATA!Y15</f>
        <v>223.20000000000002</v>
      </c>
      <c r="I94" s="69">
        <f t="shared" si="7"/>
        <v>4874</v>
      </c>
      <c r="J94" s="11" t="str">
        <f t="shared" si="8"/>
        <v>Actual 2023 crashes of this road</v>
      </c>
      <c r="K94" s="11" t="str">
        <f t="shared" si="9"/>
        <v>Yes</v>
      </c>
    </row>
    <row r="95" spans="1:11" x14ac:dyDescent="0.3">
      <c r="A95" s="4" t="str">
        <f>SOURCE_DATA!A16</f>
        <v>RIZAL AVE.</v>
      </c>
      <c r="B95" s="5">
        <v>2015</v>
      </c>
      <c r="C95" s="6">
        <f>SOURCE_DATA!B16</f>
        <v>70395</v>
      </c>
      <c r="D95" s="6">
        <f>SOURCE_DATA!L16</f>
        <v>426</v>
      </c>
      <c r="E95" s="5" t="s">
        <v>15</v>
      </c>
      <c r="F95" s="7">
        <f>SOURCE_DATA!W16</f>
        <v>6.5730000000000004</v>
      </c>
      <c r="G95" s="8">
        <f>SOURCE_DATA!X16</f>
        <v>5</v>
      </c>
      <c r="H95" s="9">
        <f>SOURCE_DATA!Y16</f>
        <v>32.865000000000002</v>
      </c>
      <c r="I95" s="69" t="str">
        <f t="shared" si="7"/>
        <v>N/A</v>
      </c>
      <c r="J95" s="11" t="str">
        <f t="shared" si="8"/>
        <v>Unavailable – no 2014 MMARAS record (not imputed)</v>
      </c>
      <c r="K95" s="11" t="str">
        <f t="shared" si="9"/>
        <v>No – excluded</v>
      </c>
    </row>
    <row r="96" spans="1:11" x14ac:dyDescent="0.3">
      <c r="A96" s="4" t="str">
        <f>SOURCE_DATA!A16</f>
        <v>RIZAL AVE.</v>
      </c>
      <c r="B96" s="5">
        <v>2016</v>
      </c>
      <c r="C96" s="6">
        <f>SOURCE_DATA!C16</f>
        <v>76295</v>
      </c>
      <c r="D96" s="6">
        <f>SOURCE_DATA!M16</f>
        <v>309</v>
      </c>
      <c r="E96" s="5" t="s">
        <v>15</v>
      </c>
      <c r="F96" s="7">
        <f>SOURCE_DATA!W16</f>
        <v>6.5730000000000004</v>
      </c>
      <c r="G96" s="8">
        <f>SOURCE_DATA!X16</f>
        <v>5</v>
      </c>
      <c r="H96" s="9">
        <f>SOURCE_DATA!Y16</f>
        <v>32.865000000000002</v>
      </c>
      <c r="I96" s="69">
        <f t="shared" si="7"/>
        <v>426</v>
      </c>
      <c r="J96" s="11" t="str">
        <f t="shared" si="8"/>
        <v>Actual 2015 crashes of this road</v>
      </c>
      <c r="K96" s="11" t="str">
        <f t="shared" si="9"/>
        <v>Yes</v>
      </c>
    </row>
    <row r="97" spans="1:11" x14ac:dyDescent="0.3">
      <c r="A97" s="4" t="str">
        <f>SOURCE_DATA!A16</f>
        <v>RIZAL AVE.</v>
      </c>
      <c r="B97" s="5">
        <v>2017</v>
      </c>
      <c r="C97" s="6">
        <f>SOURCE_DATA!D16</f>
        <v>81740</v>
      </c>
      <c r="D97" s="6">
        <f>SOURCE_DATA!N16</f>
        <v>323</v>
      </c>
      <c r="E97" s="5" t="s">
        <v>15</v>
      </c>
      <c r="F97" s="7">
        <f>SOURCE_DATA!W16</f>
        <v>6.5730000000000004</v>
      </c>
      <c r="G97" s="8">
        <f>SOURCE_DATA!X16</f>
        <v>5</v>
      </c>
      <c r="H97" s="9">
        <f>SOURCE_DATA!Y16</f>
        <v>32.865000000000002</v>
      </c>
      <c r="I97" s="69">
        <f t="shared" si="7"/>
        <v>309</v>
      </c>
      <c r="J97" s="11" t="str">
        <f t="shared" si="8"/>
        <v>Actual 2016 crashes of this road</v>
      </c>
      <c r="K97" s="11" t="str">
        <f t="shared" si="9"/>
        <v>Yes</v>
      </c>
    </row>
    <row r="98" spans="1:11" x14ac:dyDescent="0.3">
      <c r="A98" s="4" t="str">
        <f>SOURCE_DATA!A16</f>
        <v>RIZAL AVE.</v>
      </c>
      <c r="B98" s="5">
        <v>2018</v>
      </c>
      <c r="C98" s="6">
        <f>SOURCE_DATA!E16</f>
        <v>89473</v>
      </c>
      <c r="D98" s="6">
        <f>SOURCE_DATA!O16</f>
        <v>480</v>
      </c>
      <c r="E98" s="5" t="s">
        <v>15</v>
      </c>
      <c r="F98" s="7">
        <f>SOURCE_DATA!W16</f>
        <v>6.5730000000000004</v>
      </c>
      <c r="G98" s="8">
        <f>SOURCE_DATA!X16</f>
        <v>5</v>
      </c>
      <c r="H98" s="9">
        <f>SOURCE_DATA!Y16</f>
        <v>32.865000000000002</v>
      </c>
      <c r="I98" s="69">
        <f t="shared" si="7"/>
        <v>323</v>
      </c>
      <c r="J98" s="11" t="str">
        <f t="shared" si="8"/>
        <v>Actual 2017 crashes of this road</v>
      </c>
      <c r="K98" s="11" t="str">
        <f t="shared" si="9"/>
        <v>Yes</v>
      </c>
    </row>
    <row r="99" spans="1:11" x14ac:dyDescent="0.3">
      <c r="A99" s="4" t="str">
        <f>SOURCE_DATA!A16</f>
        <v>RIZAL AVE.</v>
      </c>
      <c r="B99" s="5">
        <v>2019</v>
      </c>
      <c r="C99" s="6">
        <f>SOURCE_DATA!F16</f>
        <v>95041</v>
      </c>
      <c r="D99" s="6">
        <f>SOURCE_DATA!P16</f>
        <v>527</v>
      </c>
      <c r="E99" s="5" t="s">
        <v>15</v>
      </c>
      <c r="F99" s="7">
        <f>SOURCE_DATA!W16</f>
        <v>6.5730000000000004</v>
      </c>
      <c r="G99" s="8">
        <f>SOURCE_DATA!X16</f>
        <v>5</v>
      </c>
      <c r="H99" s="9">
        <f>SOURCE_DATA!Y16</f>
        <v>32.865000000000002</v>
      </c>
      <c r="I99" s="69">
        <f t="shared" si="7"/>
        <v>480</v>
      </c>
      <c r="J99" s="11" t="str">
        <f t="shared" si="8"/>
        <v>Actual 2018 crashes of this road</v>
      </c>
      <c r="K99" s="11" t="str">
        <f t="shared" si="9"/>
        <v>Yes</v>
      </c>
    </row>
    <row r="100" spans="1:11" x14ac:dyDescent="0.3">
      <c r="A100" s="4" t="str">
        <f>SOURCE_DATA!A16</f>
        <v>RIZAL AVE.</v>
      </c>
      <c r="B100" s="5">
        <v>2020</v>
      </c>
      <c r="C100" s="6">
        <f>SOURCE_DATA!G16</f>
        <v>87544</v>
      </c>
      <c r="D100" s="6">
        <f>SOURCE_DATA!Q16</f>
        <v>306</v>
      </c>
      <c r="E100" s="5" t="s">
        <v>15</v>
      </c>
      <c r="F100" s="7">
        <f>SOURCE_DATA!W16</f>
        <v>6.5730000000000004</v>
      </c>
      <c r="G100" s="8">
        <f>SOURCE_DATA!X16</f>
        <v>5</v>
      </c>
      <c r="H100" s="9">
        <f>SOURCE_DATA!Y16</f>
        <v>32.865000000000002</v>
      </c>
      <c r="I100" s="69">
        <f t="shared" si="7"/>
        <v>527</v>
      </c>
      <c r="J100" s="11" t="str">
        <f t="shared" si="8"/>
        <v>Actual 2019 crashes of this road</v>
      </c>
      <c r="K100" s="11" t="str">
        <f t="shared" si="9"/>
        <v>Yes</v>
      </c>
    </row>
    <row r="101" spans="1:11" x14ac:dyDescent="0.3">
      <c r="A101" s="4" t="str">
        <f>SOURCE_DATA!A16</f>
        <v>RIZAL AVE.</v>
      </c>
      <c r="B101" s="5">
        <v>2021</v>
      </c>
      <c r="C101" s="6">
        <f>SOURCE_DATA!H16</f>
        <v>106906</v>
      </c>
      <c r="D101" s="6">
        <f>SOURCE_DATA!R16</f>
        <v>248</v>
      </c>
      <c r="E101" s="5" t="s">
        <v>15</v>
      </c>
      <c r="F101" s="7">
        <f>SOURCE_DATA!W16</f>
        <v>6.5730000000000004</v>
      </c>
      <c r="G101" s="8">
        <f>SOURCE_DATA!X16</f>
        <v>5</v>
      </c>
      <c r="H101" s="9">
        <f>SOURCE_DATA!Y16</f>
        <v>32.865000000000002</v>
      </c>
      <c r="I101" s="69">
        <f t="shared" ref="I101:I132" si="10">IF(COUNTIFS($A$5:$A$144,A101,$B$5:$B$144,B101-1)=1,SUMIFS($D$5:$D$144,$A$5:$A$144,A101,$B$5:$B$144,B101-1),"N/A")</f>
        <v>306</v>
      </c>
      <c r="J101" s="11" t="str">
        <f t="shared" ref="J101:J132" si="11">IF(ISNUMBER(I101),"Actual "&amp;(B101-1)&amp;" crashes of this road","Unavailable – no "&amp;(B101-1)&amp;" MMARAS record (not imputed)")</f>
        <v>Actual 2020 crashes of this road</v>
      </c>
      <c r="K101" s="11" t="str">
        <f t="shared" ref="K101:K132" si="12">IF(ISNUMBER(I101),"Yes","No – excluded")</f>
        <v>Yes</v>
      </c>
    </row>
    <row r="102" spans="1:11" x14ac:dyDescent="0.3">
      <c r="A102" s="4" t="str">
        <f>SOURCE_DATA!A16</f>
        <v>RIZAL AVE.</v>
      </c>
      <c r="B102" s="5">
        <v>2022</v>
      </c>
      <c r="C102" s="6">
        <f>SOURCE_DATA!I16</f>
        <v>99108</v>
      </c>
      <c r="D102" s="6">
        <f>SOURCE_DATA!S16</f>
        <v>357</v>
      </c>
      <c r="E102" s="5" t="s">
        <v>15</v>
      </c>
      <c r="F102" s="7">
        <f>SOURCE_DATA!W16</f>
        <v>6.5730000000000004</v>
      </c>
      <c r="G102" s="8">
        <f>SOURCE_DATA!X16</f>
        <v>5</v>
      </c>
      <c r="H102" s="9">
        <f>SOURCE_DATA!Y16</f>
        <v>32.865000000000002</v>
      </c>
      <c r="I102" s="69">
        <f t="shared" si="10"/>
        <v>248</v>
      </c>
      <c r="J102" s="11" t="str">
        <f t="shared" si="11"/>
        <v>Actual 2021 crashes of this road</v>
      </c>
      <c r="K102" s="11" t="str">
        <f t="shared" si="12"/>
        <v>Yes</v>
      </c>
    </row>
    <row r="103" spans="1:11" x14ac:dyDescent="0.3">
      <c r="A103" s="4" t="str">
        <f>SOURCE_DATA!A16</f>
        <v>RIZAL AVE.</v>
      </c>
      <c r="B103" s="5">
        <v>2023</v>
      </c>
      <c r="C103" s="6">
        <f>SOURCE_DATA!J16</f>
        <v>114674</v>
      </c>
      <c r="D103" s="6">
        <f>SOURCE_DATA!T16</f>
        <v>427</v>
      </c>
      <c r="E103" s="5" t="s">
        <v>15</v>
      </c>
      <c r="F103" s="7">
        <f>SOURCE_DATA!W16</f>
        <v>6.5730000000000004</v>
      </c>
      <c r="G103" s="8">
        <f>SOURCE_DATA!X16</f>
        <v>5</v>
      </c>
      <c r="H103" s="9">
        <f>SOURCE_DATA!Y16</f>
        <v>32.865000000000002</v>
      </c>
      <c r="I103" s="69">
        <f t="shared" si="10"/>
        <v>357</v>
      </c>
      <c r="J103" s="11" t="str">
        <f t="shared" si="11"/>
        <v>Actual 2022 crashes of this road</v>
      </c>
      <c r="K103" s="11" t="str">
        <f t="shared" si="12"/>
        <v>Yes</v>
      </c>
    </row>
    <row r="104" spans="1:11" x14ac:dyDescent="0.3">
      <c r="A104" s="4" t="str">
        <f>SOURCE_DATA!A16</f>
        <v>RIZAL AVE.</v>
      </c>
      <c r="B104" s="5">
        <v>2024</v>
      </c>
      <c r="C104" s="6">
        <f>SOURCE_DATA!K16</f>
        <v>88475</v>
      </c>
      <c r="D104" s="6">
        <f>SOURCE_DATA!U16</f>
        <v>389</v>
      </c>
      <c r="E104" s="5" t="s">
        <v>15</v>
      </c>
      <c r="F104" s="7">
        <f>SOURCE_DATA!W16</f>
        <v>6.5730000000000004</v>
      </c>
      <c r="G104" s="8">
        <f>SOURCE_DATA!X16</f>
        <v>5</v>
      </c>
      <c r="H104" s="9">
        <f>SOURCE_DATA!Y16</f>
        <v>32.865000000000002</v>
      </c>
      <c r="I104" s="69">
        <f t="shared" si="10"/>
        <v>427</v>
      </c>
      <c r="J104" s="11" t="str">
        <f t="shared" si="11"/>
        <v>Actual 2023 crashes of this road</v>
      </c>
      <c r="K104" s="11" t="str">
        <f t="shared" si="12"/>
        <v>Yes</v>
      </c>
    </row>
    <row r="105" spans="1:11" x14ac:dyDescent="0.3">
      <c r="A105" s="4" t="str">
        <f>SOURCE_DATA!A17</f>
        <v>DEL PAN</v>
      </c>
      <c r="B105" s="5">
        <v>2015</v>
      </c>
      <c r="C105" s="6">
        <f>SOURCE_DATA!B17</f>
        <v>69687</v>
      </c>
      <c r="D105" s="6">
        <f>SOURCE_DATA!L17</f>
        <v>1065</v>
      </c>
      <c r="E105" s="5" t="s">
        <v>15</v>
      </c>
      <c r="F105" s="7">
        <f>SOURCE_DATA!W17</f>
        <v>9.6999999999999993</v>
      </c>
      <c r="G105" s="8">
        <f>SOURCE_DATA!X17</f>
        <v>10</v>
      </c>
      <c r="H105" s="9">
        <f>SOURCE_DATA!Y17</f>
        <v>97</v>
      </c>
      <c r="I105" s="69" t="str">
        <f t="shared" si="10"/>
        <v>N/A</v>
      </c>
      <c r="J105" s="11" t="str">
        <f t="shared" si="11"/>
        <v>Unavailable – no 2014 MMARAS record (not imputed)</v>
      </c>
      <c r="K105" s="11" t="str">
        <f t="shared" si="12"/>
        <v>No – excluded</v>
      </c>
    </row>
    <row r="106" spans="1:11" x14ac:dyDescent="0.3">
      <c r="A106" s="4" t="str">
        <f>SOURCE_DATA!A17</f>
        <v>DEL PAN</v>
      </c>
      <c r="B106" s="5">
        <v>2016</v>
      </c>
      <c r="C106" s="6">
        <f>SOURCE_DATA!C17</f>
        <v>70012</v>
      </c>
      <c r="D106" s="6">
        <f>SOURCE_DATA!M17</f>
        <v>1066</v>
      </c>
      <c r="E106" s="5" t="s">
        <v>15</v>
      </c>
      <c r="F106" s="7">
        <f>SOURCE_DATA!W17</f>
        <v>9.6999999999999993</v>
      </c>
      <c r="G106" s="8">
        <f>SOURCE_DATA!X17</f>
        <v>10</v>
      </c>
      <c r="H106" s="9">
        <f>SOURCE_DATA!Y17</f>
        <v>97</v>
      </c>
      <c r="I106" s="69">
        <f t="shared" si="10"/>
        <v>1065</v>
      </c>
      <c r="J106" s="11" t="str">
        <f t="shared" si="11"/>
        <v>Actual 2015 crashes of this road</v>
      </c>
      <c r="K106" s="11" t="str">
        <f t="shared" si="12"/>
        <v>Yes</v>
      </c>
    </row>
    <row r="107" spans="1:11" x14ac:dyDescent="0.3">
      <c r="A107" s="4" t="str">
        <f>SOURCE_DATA!A17</f>
        <v>DEL PAN</v>
      </c>
      <c r="B107" s="5">
        <v>2017</v>
      </c>
      <c r="C107" s="6">
        <f>SOURCE_DATA!D17</f>
        <v>80285</v>
      </c>
      <c r="D107" s="6">
        <f>SOURCE_DATA!N17</f>
        <v>924</v>
      </c>
      <c r="E107" s="5" t="s">
        <v>15</v>
      </c>
      <c r="F107" s="7">
        <f>SOURCE_DATA!W17</f>
        <v>9.6999999999999993</v>
      </c>
      <c r="G107" s="8">
        <f>SOURCE_DATA!X17</f>
        <v>10</v>
      </c>
      <c r="H107" s="9">
        <f>SOURCE_DATA!Y17</f>
        <v>97</v>
      </c>
      <c r="I107" s="69">
        <f t="shared" si="10"/>
        <v>1066</v>
      </c>
      <c r="J107" s="11" t="str">
        <f t="shared" si="11"/>
        <v>Actual 2016 crashes of this road</v>
      </c>
      <c r="K107" s="11" t="str">
        <f t="shared" si="12"/>
        <v>Yes</v>
      </c>
    </row>
    <row r="108" spans="1:11" x14ac:dyDescent="0.3">
      <c r="A108" s="4" t="str">
        <f>SOURCE_DATA!A17</f>
        <v>DEL PAN</v>
      </c>
      <c r="B108" s="5">
        <v>2018</v>
      </c>
      <c r="C108" s="6">
        <f>SOURCE_DATA!E17</f>
        <v>82257</v>
      </c>
      <c r="D108" s="6">
        <f>SOURCE_DATA!O17</f>
        <v>1094</v>
      </c>
      <c r="E108" s="5" t="s">
        <v>15</v>
      </c>
      <c r="F108" s="7">
        <f>SOURCE_DATA!W17</f>
        <v>9.6999999999999993</v>
      </c>
      <c r="G108" s="8">
        <f>SOURCE_DATA!X17</f>
        <v>10</v>
      </c>
      <c r="H108" s="9">
        <f>SOURCE_DATA!Y17</f>
        <v>97</v>
      </c>
      <c r="I108" s="69">
        <f t="shared" si="10"/>
        <v>924</v>
      </c>
      <c r="J108" s="11" t="str">
        <f t="shared" si="11"/>
        <v>Actual 2017 crashes of this road</v>
      </c>
      <c r="K108" s="11" t="str">
        <f t="shared" si="12"/>
        <v>Yes</v>
      </c>
    </row>
    <row r="109" spans="1:11" x14ac:dyDescent="0.3">
      <c r="A109" s="4" t="str">
        <f>SOURCE_DATA!A17</f>
        <v>DEL PAN</v>
      </c>
      <c r="B109" s="5">
        <v>2019</v>
      </c>
      <c r="C109" s="6">
        <f>SOURCE_DATA!F17</f>
        <v>84279</v>
      </c>
      <c r="D109" s="6">
        <f>SOURCE_DATA!P17</f>
        <v>1389</v>
      </c>
      <c r="E109" s="5" t="s">
        <v>15</v>
      </c>
      <c r="F109" s="7">
        <f>SOURCE_DATA!W17</f>
        <v>9.6999999999999993</v>
      </c>
      <c r="G109" s="8">
        <f>SOURCE_DATA!X17</f>
        <v>10</v>
      </c>
      <c r="H109" s="9">
        <f>SOURCE_DATA!Y17</f>
        <v>97</v>
      </c>
      <c r="I109" s="69">
        <f t="shared" si="10"/>
        <v>1094</v>
      </c>
      <c r="J109" s="11" t="str">
        <f t="shared" si="11"/>
        <v>Actual 2018 crashes of this road</v>
      </c>
      <c r="K109" s="11" t="str">
        <f t="shared" si="12"/>
        <v>Yes</v>
      </c>
    </row>
    <row r="110" spans="1:11" x14ac:dyDescent="0.3">
      <c r="A110" s="4" t="str">
        <f>SOURCE_DATA!A17</f>
        <v>DEL PAN</v>
      </c>
      <c r="B110" s="5">
        <v>2020</v>
      </c>
      <c r="C110" s="6">
        <f>SOURCE_DATA!G17</f>
        <v>107595</v>
      </c>
      <c r="D110" s="6">
        <f>SOURCE_DATA!Q17</f>
        <v>839</v>
      </c>
      <c r="E110" s="5" t="s">
        <v>15</v>
      </c>
      <c r="F110" s="7">
        <f>SOURCE_DATA!W17</f>
        <v>9.6999999999999993</v>
      </c>
      <c r="G110" s="8">
        <f>SOURCE_DATA!X17</f>
        <v>10</v>
      </c>
      <c r="H110" s="9">
        <f>SOURCE_DATA!Y17</f>
        <v>97</v>
      </c>
      <c r="I110" s="69">
        <f t="shared" si="10"/>
        <v>1389</v>
      </c>
      <c r="J110" s="11" t="str">
        <f t="shared" si="11"/>
        <v>Actual 2019 crashes of this road</v>
      </c>
      <c r="K110" s="11" t="str">
        <f t="shared" si="12"/>
        <v>Yes</v>
      </c>
    </row>
    <row r="111" spans="1:11" x14ac:dyDescent="0.3">
      <c r="A111" s="4" t="str">
        <f>SOURCE_DATA!A17</f>
        <v>DEL PAN</v>
      </c>
      <c r="B111" s="5">
        <v>2021</v>
      </c>
      <c r="C111" s="6">
        <f>SOURCE_DATA!H17</f>
        <v>102816</v>
      </c>
      <c r="D111" s="6">
        <f>SOURCE_DATA!R17</f>
        <v>580</v>
      </c>
      <c r="E111" s="5" t="s">
        <v>15</v>
      </c>
      <c r="F111" s="7">
        <f>SOURCE_DATA!W17</f>
        <v>9.6999999999999993</v>
      </c>
      <c r="G111" s="8">
        <f>SOURCE_DATA!X17</f>
        <v>10</v>
      </c>
      <c r="H111" s="9">
        <f>SOURCE_DATA!Y17</f>
        <v>97</v>
      </c>
      <c r="I111" s="69">
        <f t="shared" si="10"/>
        <v>839</v>
      </c>
      <c r="J111" s="11" t="str">
        <f t="shared" si="11"/>
        <v>Actual 2020 crashes of this road</v>
      </c>
      <c r="K111" s="11" t="str">
        <f t="shared" si="12"/>
        <v>Yes</v>
      </c>
    </row>
    <row r="112" spans="1:11" x14ac:dyDescent="0.3">
      <c r="A112" s="4" t="str">
        <f>SOURCE_DATA!A17</f>
        <v>DEL PAN</v>
      </c>
      <c r="B112" s="5">
        <v>2022</v>
      </c>
      <c r="C112" s="6">
        <f>SOURCE_DATA!I17</f>
        <v>98102</v>
      </c>
      <c r="D112" s="6">
        <f>SOURCE_DATA!S17</f>
        <v>699</v>
      </c>
      <c r="E112" s="5" t="s">
        <v>15</v>
      </c>
      <c r="F112" s="7">
        <f>SOURCE_DATA!W17</f>
        <v>9.6999999999999993</v>
      </c>
      <c r="G112" s="8">
        <f>SOURCE_DATA!X17</f>
        <v>10</v>
      </c>
      <c r="H112" s="9">
        <f>SOURCE_DATA!Y17</f>
        <v>97</v>
      </c>
      <c r="I112" s="69">
        <f t="shared" si="10"/>
        <v>580</v>
      </c>
      <c r="J112" s="11" t="str">
        <f t="shared" si="11"/>
        <v>Actual 2021 crashes of this road</v>
      </c>
      <c r="K112" s="11" t="str">
        <f t="shared" si="12"/>
        <v>Yes</v>
      </c>
    </row>
    <row r="113" spans="1:11" x14ac:dyDescent="0.3">
      <c r="A113" s="4" t="str">
        <f>SOURCE_DATA!A17</f>
        <v>DEL PAN</v>
      </c>
      <c r="B113" s="5">
        <v>2023</v>
      </c>
      <c r="C113" s="6">
        <f>SOURCE_DATA!J17</f>
        <v>104615</v>
      </c>
      <c r="D113" s="6">
        <f>SOURCE_DATA!T17</f>
        <v>634</v>
      </c>
      <c r="E113" s="5" t="s">
        <v>15</v>
      </c>
      <c r="F113" s="7">
        <f>SOURCE_DATA!W17</f>
        <v>9.6999999999999993</v>
      </c>
      <c r="G113" s="8">
        <f>SOURCE_DATA!X17</f>
        <v>10</v>
      </c>
      <c r="H113" s="9">
        <f>SOURCE_DATA!Y17</f>
        <v>97</v>
      </c>
      <c r="I113" s="69">
        <f t="shared" si="10"/>
        <v>699</v>
      </c>
      <c r="J113" s="11" t="str">
        <f t="shared" si="11"/>
        <v>Actual 2022 crashes of this road</v>
      </c>
      <c r="K113" s="11" t="str">
        <f t="shared" si="12"/>
        <v>Yes</v>
      </c>
    </row>
    <row r="114" spans="1:11" x14ac:dyDescent="0.3">
      <c r="A114" s="4" t="str">
        <f>SOURCE_DATA!A17</f>
        <v>DEL PAN</v>
      </c>
      <c r="B114" s="5">
        <v>2024</v>
      </c>
      <c r="C114" s="6">
        <f>SOURCE_DATA!K17</f>
        <v>116325</v>
      </c>
      <c r="D114" s="6">
        <f>SOURCE_DATA!U17</f>
        <v>660</v>
      </c>
      <c r="E114" s="5" t="s">
        <v>15</v>
      </c>
      <c r="F114" s="7">
        <f>SOURCE_DATA!W17</f>
        <v>9.6999999999999993</v>
      </c>
      <c r="G114" s="8">
        <f>SOURCE_DATA!X17</f>
        <v>10</v>
      </c>
      <c r="H114" s="9">
        <f>SOURCE_DATA!Y17</f>
        <v>97</v>
      </c>
      <c r="I114" s="69">
        <f t="shared" si="10"/>
        <v>634</v>
      </c>
      <c r="J114" s="11" t="str">
        <f t="shared" si="11"/>
        <v>Actual 2023 crashes of this road</v>
      </c>
      <c r="K114" s="11" t="str">
        <f t="shared" si="12"/>
        <v>Yes</v>
      </c>
    </row>
    <row r="115" spans="1:11" x14ac:dyDescent="0.3">
      <c r="A115" s="4" t="str">
        <f>SOURCE_DATA!A18</f>
        <v>MARCOS HIGHWAY</v>
      </c>
      <c r="B115" s="5">
        <v>2015</v>
      </c>
      <c r="C115" s="6">
        <f>SOURCE_DATA!B18</f>
        <v>173015</v>
      </c>
      <c r="D115" s="6">
        <f>SOURCE_DATA!L18</f>
        <v>837</v>
      </c>
      <c r="E115" s="5" t="s">
        <v>15</v>
      </c>
      <c r="F115" s="7">
        <f>SOURCE_DATA!W18</f>
        <v>117.5</v>
      </c>
      <c r="G115" s="8">
        <f>SOURCE_DATA!X18</f>
        <v>6</v>
      </c>
      <c r="H115" s="9">
        <f>SOURCE_DATA!Y18</f>
        <v>705</v>
      </c>
      <c r="I115" s="69" t="str">
        <f t="shared" si="10"/>
        <v>N/A</v>
      </c>
      <c r="J115" s="11" t="str">
        <f t="shared" si="11"/>
        <v>Unavailable – no 2014 MMARAS record (not imputed)</v>
      </c>
      <c r="K115" s="11" t="str">
        <f t="shared" si="12"/>
        <v>No – excluded</v>
      </c>
    </row>
    <row r="116" spans="1:11" x14ac:dyDescent="0.3">
      <c r="A116" s="4" t="str">
        <f>SOURCE_DATA!A18</f>
        <v>MARCOS HIGHWAY</v>
      </c>
      <c r="B116" s="5">
        <v>2016</v>
      </c>
      <c r="C116" s="6">
        <f>SOURCE_DATA!C18</f>
        <v>153626</v>
      </c>
      <c r="D116" s="6">
        <f>SOURCE_DATA!M18</f>
        <v>1320</v>
      </c>
      <c r="E116" s="5" t="s">
        <v>15</v>
      </c>
      <c r="F116" s="7">
        <f>SOURCE_DATA!W18</f>
        <v>117.5</v>
      </c>
      <c r="G116" s="8">
        <f>SOURCE_DATA!X18</f>
        <v>6</v>
      </c>
      <c r="H116" s="9">
        <f>SOURCE_DATA!Y18</f>
        <v>705</v>
      </c>
      <c r="I116" s="69">
        <f t="shared" si="10"/>
        <v>837</v>
      </c>
      <c r="J116" s="11" t="str">
        <f t="shared" si="11"/>
        <v>Actual 2015 crashes of this road</v>
      </c>
      <c r="K116" s="11" t="str">
        <f t="shared" si="12"/>
        <v>Yes</v>
      </c>
    </row>
    <row r="117" spans="1:11" x14ac:dyDescent="0.3">
      <c r="A117" s="4" t="str">
        <f>SOURCE_DATA!A18</f>
        <v>MARCOS HIGHWAY</v>
      </c>
      <c r="B117" s="5">
        <v>2017</v>
      </c>
      <c r="C117" s="6">
        <f>SOURCE_DATA!D18</f>
        <v>162662</v>
      </c>
      <c r="D117" s="6">
        <f>SOURCE_DATA!N18</f>
        <v>688</v>
      </c>
      <c r="E117" s="5" t="s">
        <v>15</v>
      </c>
      <c r="F117" s="7">
        <f>SOURCE_DATA!W18</f>
        <v>117.5</v>
      </c>
      <c r="G117" s="8">
        <f>SOURCE_DATA!X18</f>
        <v>6</v>
      </c>
      <c r="H117" s="9">
        <f>SOURCE_DATA!Y18</f>
        <v>705</v>
      </c>
      <c r="I117" s="69">
        <f t="shared" si="10"/>
        <v>1320</v>
      </c>
      <c r="J117" s="11" t="str">
        <f t="shared" si="11"/>
        <v>Actual 2016 crashes of this road</v>
      </c>
      <c r="K117" s="11" t="str">
        <f t="shared" si="12"/>
        <v>Yes</v>
      </c>
    </row>
    <row r="118" spans="1:11" x14ac:dyDescent="0.3">
      <c r="A118" s="4" t="str">
        <f>SOURCE_DATA!A18</f>
        <v>MARCOS HIGHWAY</v>
      </c>
      <c r="B118" s="5">
        <v>2018</v>
      </c>
      <c r="C118" s="6">
        <f>SOURCE_DATA!E18</f>
        <v>178214</v>
      </c>
      <c r="D118" s="6">
        <f>SOURCE_DATA!O18</f>
        <v>1332</v>
      </c>
      <c r="E118" s="5" t="s">
        <v>15</v>
      </c>
      <c r="F118" s="7">
        <f>SOURCE_DATA!W18</f>
        <v>117.5</v>
      </c>
      <c r="G118" s="8">
        <f>SOURCE_DATA!X18</f>
        <v>6</v>
      </c>
      <c r="H118" s="9">
        <f>SOURCE_DATA!Y18</f>
        <v>705</v>
      </c>
      <c r="I118" s="69">
        <f t="shared" si="10"/>
        <v>688</v>
      </c>
      <c r="J118" s="11" t="str">
        <f t="shared" si="11"/>
        <v>Actual 2017 crashes of this road</v>
      </c>
      <c r="K118" s="11" t="str">
        <f t="shared" si="12"/>
        <v>Yes</v>
      </c>
    </row>
    <row r="119" spans="1:11" x14ac:dyDescent="0.3">
      <c r="A119" s="4" t="str">
        <f>SOURCE_DATA!A18</f>
        <v>MARCOS HIGHWAY</v>
      </c>
      <c r="B119" s="5">
        <v>2019</v>
      </c>
      <c r="C119" s="6">
        <f>SOURCE_DATA!F18</f>
        <v>221360</v>
      </c>
      <c r="D119" s="6">
        <f>SOURCE_DATA!P18</f>
        <v>1321</v>
      </c>
      <c r="E119" s="5" t="s">
        <v>15</v>
      </c>
      <c r="F119" s="7">
        <f>SOURCE_DATA!W18</f>
        <v>117.5</v>
      </c>
      <c r="G119" s="8">
        <f>SOURCE_DATA!X18</f>
        <v>6</v>
      </c>
      <c r="H119" s="9">
        <f>SOURCE_DATA!Y18</f>
        <v>705</v>
      </c>
      <c r="I119" s="69">
        <f t="shared" si="10"/>
        <v>1332</v>
      </c>
      <c r="J119" s="11" t="str">
        <f t="shared" si="11"/>
        <v>Actual 2018 crashes of this road</v>
      </c>
      <c r="K119" s="11" t="str">
        <f t="shared" si="12"/>
        <v>Yes</v>
      </c>
    </row>
    <row r="120" spans="1:11" x14ac:dyDescent="0.3">
      <c r="A120" s="4" t="str">
        <f>SOURCE_DATA!A18</f>
        <v>MARCOS HIGHWAY</v>
      </c>
      <c r="B120" s="5">
        <v>2020</v>
      </c>
      <c r="C120" s="6">
        <f>SOURCE_DATA!G18</f>
        <v>223133</v>
      </c>
      <c r="D120" s="6">
        <f>SOURCE_DATA!Q18</f>
        <v>514</v>
      </c>
      <c r="E120" s="5" t="s">
        <v>15</v>
      </c>
      <c r="F120" s="7">
        <f>SOURCE_DATA!W18</f>
        <v>117.5</v>
      </c>
      <c r="G120" s="8">
        <f>SOURCE_DATA!X18</f>
        <v>6</v>
      </c>
      <c r="H120" s="9">
        <f>SOURCE_DATA!Y18</f>
        <v>705</v>
      </c>
      <c r="I120" s="69">
        <f t="shared" si="10"/>
        <v>1321</v>
      </c>
      <c r="J120" s="11" t="str">
        <f t="shared" si="11"/>
        <v>Actual 2019 crashes of this road</v>
      </c>
      <c r="K120" s="11" t="str">
        <f t="shared" si="12"/>
        <v>Yes</v>
      </c>
    </row>
    <row r="121" spans="1:11" x14ac:dyDescent="0.3">
      <c r="A121" s="4" t="str">
        <f>SOURCE_DATA!A18</f>
        <v>MARCOS HIGHWAY</v>
      </c>
      <c r="B121" s="5">
        <v>2021</v>
      </c>
      <c r="C121" s="6">
        <f>SOURCE_DATA!H18</f>
        <v>233466</v>
      </c>
      <c r="D121" s="6">
        <f>SOURCE_DATA!R18</f>
        <v>533</v>
      </c>
      <c r="E121" s="5" t="s">
        <v>15</v>
      </c>
      <c r="F121" s="7">
        <f>SOURCE_DATA!W18</f>
        <v>117.5</v>
      </c>
      <c r="G121" s="8">
        <f>SOURCE_DATA!X18</f>
        <v>6</v>
      </c>
      <c r="H121" s="9">
        <f>SOURCE_DATA!Y18</f>
        <v>705</v>
      </c>
      <c r="I121" s="69">
        <f t="shared" si="10"/>
        <v>514</v>
      </c>
      <c r="J121" s="11" t="str">
        <f t="shared" si="11"/>
        <v>Actual 2020 crashes of this road</v>
      </c>
      <c r="K121" s="11" t="str">
        <f t="shared" si="12"/>
        <v>Yes</v>
      </c>
    </row>
    <row r="122" spans="1:11" x14ac:dyDescent="0.3">
      <c r="A122" s="4" t="str">
        <f>SOURCE_DATA!A18</f>
        <v>MARCOS HIGHWAY</v>
      </c>
      <c r="B122" s="5">
        <v>2022</v>
      </c>
      <c r="C122" s="6">
        <f>SOURCE_DATA!I18</f>
        <v>228470</v>
      </c>
      <c r="D122" s="6">
        <f>SOURCE_DATA!S18</f>
        <v>752</v>
      </c>
      <c r="E122" s="5" t="s">
        <v>15</v>
      </c>
      <c r="F122" s="7">
        <f>SOURCE_DATA!W18</f>
        <v>117.5</v>
      </c>
      <c r="G122" s="8">
        <f>SOURCE_DATA!X18</f>
        <v>6</v>
      </c>
      <c r="H122" s="9">
        <f>SOURCE_DATA!Y18</f>
        <v>705</v>
      </c>
      <c r="I122" s="69">
        <f t="shared" si="10"/>
        <v>533</v>
      </c>
      <c r="J122" s="11" t="str">
        <f t="shared" si="11"/>
        <v>Actual 2021 crashes of this road</v>
      </c>
      <c r="K122" s="11" t="str">
        <f t="shared" si="12"/>
        <v>Yes</v>
      </c>
    </row>
    <row r="123" spans="1:11" x14ac:dyDescent="0.3">
      <c r="A123" s="4" t="str">
        <f>SOURCE_DATA!A18</f>
        <v>MARCOS HIGHWAY</v>
      </c>
      <c r="B123" s="5">
        <v>2023</v>
      </c>
      <c r="C123" s="6">
        <f>SOURCE_DATA!J18</f>
        <v>243636</v>
      </c>
      <c r="D123" s="6">
        <f>SOURCE_DATA!T18</f>
        <v>1136</v>
      </c>
      <c r="E123" s="5" t="s">
        <v>15</v>
      </c>
      <c r="F123" s="7">
        <f>SOURCE_DATA!W18</f>
        <v>117.5</v>
      </c>
      <c r="G123" s="8">
        <f>SOURCE_DATA!X18</f>
        <v>6</v>
      </c>
      <c r="H123" s="9">
        <f>SOURCE_DATA!Y18</f>
        <v>705</v>
      </c>
      <c r="I123" s="69">
        <f t="shared" si="10"/>
        <v>752</v>
      </c>
      <c r="J123" s="11" t="str">
        <f t="shared" si="11"/>
        <v>Actual 2022 crashes of this road</v>
      </c>
      <c r="K123" s="11" t="str">
        <f t="shared" si="12"/>
        <v>Yes</v>
      </c>
    </row>
    <row r="124" spans="1:11" x14ac:dyDescent="0.3">
      <c r="A124" s="4" t="str">
        <f>SOURCE_DATA!A18</f>
        <v>MARCOS HIGHWAY</v>
      </c>
      <c r="B124" s="5">
        <v>2024</v>
      </c>
      <c r="C124" s="6">
        <f>SOURCE_DATA!K18</f>
        <v>266610</v>
      </c>
      <c r="D124" s="6">
        <f>SOURCE_DATA!U18</f>
        <v>1358</v>
      </c>
      <c r="E124" s="5" t="s">
        <v>15</v>
      </c>
      <c r="F124" s="7">
        <f>SOURCE_DATA!W18</f>
        <v>117.5</v>
      </c>
      <c r="G124" s="8">
        <f>SOURCE_DATA!X18</f>
        <v>6</v>
      </c>
      <c r="H124" s="9">
        <f>SOURCE_DATA!Y18</f>
        <v>705</v>
      </c>
      <c r="I124" s="69">
        <f t="shared" si="10"/>
        <v>1136</v>
      </c>
      <c r="J124" s="11" t="str">
        <f t="shared" si="11"/>
        <v>Actual 2023 crashes of this road</v>
      </c>
      <c r="K124" s="11" t="str">
        <f t="shared" si="12"/>
        <v>Yes</v>
      </c>
    </row>
    <row r="125" spans="1:11" x14ac:dyDescent="0.3">
      <c r="A125" s="4" t="str">
        <f>SOURCE_DATA!A19</f>
        <v>MCARTHUR HIGHWAY</v>
      </c>
      <c r="B125" s="5">
        <v>2015</v>
      </c>
      <c r="C125" s="6">
        <f>SOURCE_DATA!B19</f>
        <v>82170</v>
      </c>
      <c r="D125" s="6">
        <f>SOURCE_DATA!L19</f>
        <v>279</v>
      </c>
      <c r="E125" s="5" t="s">
        <v>15</v>
      </c>
      <c r="F125" s="7">
        <f>SOURCE_DATA!W19</f>
        <v>684.85500000000002</v>
      </c>
      <c r="G125" s="8">
        <f>SOURCE_DATA!X19</f>
        <v>6</v>
      </c>
      <c r="H125" s="9">
        <f>SOURCE_DATA!Y19</f>
        <v>4109.13</v>
      </c>
      <c r="I125" s="69" t="str">
        <f t="shared" si="10"/>
        <v>N/A</v>
      </c>
      <c r="J125" s="11" t="str">
        <f t="shared" si="11"/>
        <v>Unavailable – no 2014 MMARAS record (not imputed)</v>
      </c>
      <c r="K125" s="11" t="str">
        <f t="shared" si="12"/>
        <v>No – excluded</v>
      </c>
    </row>
    <row r="126" spans="1:11" x14ac:dyDescent="0.3">
      <c r="A126" s="4" t="str">
        <f>SOURCE_DATA!A19</f>
        <v>MCARTHUR HIGHWAY</v>
      </c>
      <c r="B126" s="5">
        <v>2016</v>
      </c>
      <c r="C126" s="6">
        <f>SOURCE_DATA!C19</f>
        <v>80079</v>
      </c>
      <c r="D126" s="6">
        <f>SOURCE_DATA!M19</f>
        <v>126</v>
      </c>
      <c r="E126" s="5" t="s">
        <v>15</v>
      </c>
      <c r="F126" s="7">
        <f>SOURCE_DATA!W19</f>
        <v>684.85500000000002</v>
      </c>
      <c r="G126" s="8">
        <f>SOURCE_DATA!X19</f>
        <v>6</v>
      </c>
      <c r="H126" s="9">
        <f>SOURCE_DATA!Y19</f>
        <v>4109.13</v>
      </c>
      <c r="I126" s="69">
        <f t="shared" si="10"/>
        <v>279</v>
      </c>
      <c r="J126" s="11" t="str">
        <f t="shared" si="11"/>
        <v>Actual 2015 crashes of this road</v>
      </c>
      <c r="K126" s="11" t="str">
        <f t="shared" si="12"/>
        <v>Yes</v>
      </c>
    </row>
    <row r="127" spans="1:11" x14ac:dyDescent="0.3">
      <c r="A127" s="4" t="str">
        <f>SOURCE_DATA!A19</f>
        <v>MCARTHUR HIGHWAY</v>
      </c>
      <c r="B127" s="5">
        <v>2017</v>
      </c>
      <c r="C127" s="6">
        <f>SOURCE_DATA!D19</f>
        <v>82957</v>
      </c>
      <c r="D127" s="6">
        <f>SOURCE_DATA!N19</f>
        <v>891</v>
      </c>
      <c r="E127" s="5" t="s">
        <v>15</v>
      </c>
      <c r="F127" s="7">
        <f>SOURCE_DATA!W19</f>
        <v>684.85500000000002</v>
      </c>
      <c r="G127" s="8">
        <f>SOURCE_DATA!X19</f>
        <v>6</v>
      </c>
      <c r="H127" s="9">
        <f>SOURCE_DATA!Y19</f>
        <v>4109.13</v>
      </c>
      <c r="I127" s="69">
        <f t="shared" si="10"/>
        <v>126</v>
      </c>
      <c r="J127" s="11" t="str">
        <f t="shared" si="11"/>
        <v>Actual 2016 crashes of this road</v>
      </c>
      <c r="K127" s="11" t="str">
        <f t="shared" si="12"/>
        <v>Yes</v>
      </c>
    </row>
    <row r="128" spans="1:11" x14ac:dyDescent="0.3">
      <c r="A128" s="4" t="str">
        <f>SOURCE_DATA!A19</f>
        <v>MCARTHUR HIGHWAY</v>
      </c>
      <c r="B128" s="5">
        <v>2018</v>
      </c>
      <c r="C128" s="6">
        <f>SOURCE_DATA!E19</f>
        <v>92165</v>
      </c>
      <c r="D128" s="6">
        <f>SOURCE_DATA!O19</f>
        <v>812</v>
      </c>
      <c r="E128" s="5" t="s">
        <v>15</v>
      </c>
      <c r="F128" s="7">
        <f>SOURCE_DATA!W19</f>
        <v>684.85500000000002</v>
      </c>
      <c r="G128" s="8">
        <f>SOURCE_DATA!X19</f>
        <v>6</v>
      </c>
      <c r="H128" s="9">
        <f>SOURCE_DATA!Y19</f>
        <v>4109.13</v>
      </c>
      <c r="I128" s="69">
        <f t="shared" si="10"/>
        <v>891</v>
      </c>
      <c r="J128" s="11" t="str">
        <f t="shared" si="11"/>
        <v>Actual 2017 crashes of this road</v>
      </c>
      <c r="K128" s="11" t="str">
        <f t="shared" si="12"/>
        <v>Yes</v>
      </c>
    </row>
    <row r="129" spans="1:11" x14ac:dyDescent="0.3">
      <c r="A129" s="4" t="str">
        <f>SOURCE_DATA!A19</f>
        <v>MCARTHUR HIGHWAY</v>
      </c>
      <c r="B129" s="5">
        <v>2019</v>
      </c>
      <c r="C129" s="6">
        <f>SOURCE_DATA!F19</f>
        <v>97927</v>
      </c>
      <c r="D129" s="6">
        <f>SOURCE_DATA!P19</f>
        <v>882</v>
      </c>
      <c r="E129" s="5" t="s">
        <v>15</v>
      </c>
      <c r="F129" s="7">
        <f>SOURCE_DATA!W19</f>
        <v>684.85500000000002</v>
      </c>
      <c r="G129" s="8">
        <f>SOURCE_DATA!X19</f>
        <v>6</v>
      </c>
      <c r="H129" s="9">
        <f>SOURCE_DATA!Y19</f>
        <v>4109.13</v>
      </c>
      <c r="I129" s="69">
        <f t="shared" si="10"/>
        <v>812</v>
      </c>
      <c r="J129" s="11" t="str">
        <f t="shared" si="11"/>
        <v>Actual 2018 crashes of this road</v>
      </c>
      <c r="K129" s="11" t="str">
        <f t="shared" si="12"/>
        <v>Yes</v>
      </c>
    </row>
    <row r="130" spans="1:11" x14ac:dyDescent="0.3">
      <c r="A130" s="4" t="str">
        <f>SOURCE_DATA!A19</f>
        <v>MCARTHUR HIGHWAY</v>
      </c>
      <c r="B130" s="5">
        <v>2020</v>
      </c>
      <c r="C130" s="6">
        <f>SOURCE_DATA!G19</f>
        <v>111070</v>
      </c>
      <c r="D130" s="6">
        <f>SOURCE_DATA!Q19</f>
        <v>721</v>
      </c>
      <c r="E130" s="5" t="s">
        <v>15</v>
      </c>
      <c r="F130" s="7">
        <f>SOURCE_DATA!W19</f>
        <v>684.85500000000002</v>
      </c>
      <c r="G130" s="8">
        <f>SOURCE_DATA!X19</f>
        <v>6</v>
      </c>
      <c r="H130" s="9">
        <f>SOURCE_DATA!Y19</f>
        <v>4109.13</v>
      </c>
      <c r="I130" s="69">
        <f t="shared" si="10"/>
        <v>882</v>
      </c>
      <c r="J130" s="11" t="str">
        <f t="shared" si="11"/>
        <v>Actual 2019 crashes of this road</v>
      </c>
      <c r="K130" s="11" t="str">
        <f t="shared" si="12"/>
        <v>Yes</v>
      </c>
    </row>
    <row r="131" spans="1:11" x14ac:dyDescent="0.3">
      <c r="A131" s="4" t="str">
        <f>SOURCE_DATA!A19</f>
        <v>MCARTHUR HIGHWAY</v>
      </c>
      <c r="B131" s="5">
        <v>2021</v>
      </c>
      <c r="C131" s="6">
        <f>SOURCE_DATA!H19</f>
        <v>123390</v>
      </c>
      <c r="D131" s="6">
        <f>SOURCE_DATA!R19</f>
        <v>463</v>
      </c>
      <c r="E131" s="5" t="s">
        <v>15</v>
      </c>
      <c r="F131" s="7">
        <f>SOURCE_DATA!W19</f>
        <v>684.85500000000002</v>
      </c>
      <c r="G131" s="8">
        <f>SOURCE_DATA!X19</f>
        <v>6</v>
      </c>
      <c r="H131" s="9">
        <f>SOURCE_DATA!Y19</f>
        <v>4109.13</v>
      </c>
      <c r="I131" s="69">
        <f t="shared" si="10"/>
        <v>721</v>
      </c>
      <c r="J131" s="11" t="str">
        <f t="shared" si="11"/>
        <v>Actual 2020 crashes of this road</v>
      </c>
      <c r="K131" s="11" t="str">
        <f t="shared" si="12"/>
        <v>Yes</v>
      </c>
    </row>
    <row r="132" spans="1:11" x14ac:dyDescent="0.3">
      <c r="A132" s="4" t="str">
        <f>SOURCE_DATA!A19</f>
        <v>MCARTHUR HIGHWAY</v>
      </c>
      <c r="B132" s="5">
        <v>2022</v>
      </c>
      <c r="C132" s="6">
        <f>SOURCE_DATA!I19</f>
        <v>100556</v>
      </c>
      <c r="D132" s="6">
        <f>SOURCE_DATA!S19</f>
        <v>334</v>
      </c>
      <c r="E132" s="5" t="s">
        <v>15</v>
      </c>
      <c r="F132" s="7">
        <f>SOURCE_DATA!W19</f>
        <v>684.85500000000002</v>
      </c>
      <c r="G132" s="8">
        <f>SOURCE_DATA!X19</f>
        <v>6</v>
      </c>
      <c r="H132" s="9">
        <f>SOURCE_DATA!Y19</f>
        <v>4109.13</v>
      </c>
      <c r="I132" s="69">
        <f t="shared" si="10"/>
        <v>463</v>
      </c>
      <c r="J132" s="11" t="str">
        <f t="shared" si="11"/>
        <v>Actual 2021 crashes of this road</v>
      </c>
      <c r="K132" s="11" t="str">
        <f t="shared" si="12"/>
        <v>Yes</v>
      </c>
    </row>
    <row r="133" spans="1:11" x14ac:dyDescent="0.3">
      <c r="A133" s="4" t="str">
        <f>SOURCE_DATA!A19</f>
        <v>MCARTHUR HIGHWAY</v>
      </c>
      <c r="B133" s="5">
        <v>2023</v>
      </c>
      <c r="C133" s="6">
        <f>SOURCE_DATA!J19</f>
        <v>121189</v>
      </c>
      <c r="D133" s="6">
        <f>SOURCE_DATA!T19</f>
        <v>426</v>
      </c>
      <c r="E133" s="5" t="s">
        <v>15</v>
      </c>
      <c r="F133" s="7">
        <f>SOURCE_DATA!W19</f>
        <v>684.85500000000002</v>
      </c>
      <c r="G133" s="8">
        <f>SOURCE_DATA!X19</f>
        <v>6</v>
      </c>
      <c r="H133" s="9">
        <f>SOURCE_DATA!Y19</f>
        <v>4109.13</v>
      </c>
      <c r="I133" s="69">
        <f t="shared" ref="I133:I144" si="13">IF(COUNTIFS($A$5:$A$144,A133,$B$5:$B$144,B133-1)=1,SUMIFS($D$5:$D$144,$A$5:$A$144,A133,$B$5:$B$144,B133-1),"N/A")</f>
        <v>334</v>
      </c>
      <c r="J133" s="11" t="str">
        <f t="shared" ref="J133:J144" si="14">IF(ISNUMBER(I133),"Actual "&amp;(B133-1)&amp;" crashes of this road","Unavailable – no "&amp;(B133-1)&amp;" MMARAS record (not imputed)")</f>
        <v>Actual 2022 crashes of this road</v>
      </c>
      <c r="K133" s="11" t="str">
        <f t="shared" ref="K133:K144" si="15">IF(ISNUMBER(I133),"Yes","No – excluded")</f>
        <v>Yes</v>
      </c>
    </row>
    <row r="134" spans="1:11" x14ac:dyDescent="0.3">
      <c r="A134" s="4" t="str">
        <f>SOURCE_DATA!A19</f>
        <v>MCARTHUR HIGHWAY</v>
      </c>
      <c r="B134" s="5">
        <v>2024</v>
      </c>
      <c r="C134" s="6">
        <f>SOURCE_DATA!K19</f>
        <v>126009</v>
      </c>
      <c r="D134" s="6">
        <f>SOURCE_DATA!U19</f>
        <v>473</v>
      </c>
      <c r="E134" s="5" t="s">
        <v>15</v>
      </c>
      <c r="F134" s="7">
        <f>SOURCE_DATA!W19</f>
        <v>684.85500000000002</v>
      </c>
      <c r="G134" s="8">
        <f>SOURCE_DATA!X19</f>
        <v>6</v>
      </c>
      <c r="H134" s="9">
        <f>SOURCE_DATA!Y19</f>
        <v>4109.13</v>
      </c>
      <c r="I134" s="69">
        <f t="shared" si="13"/>
        <v>426</v>
      </c>
      <c r="J134" s="11" t="str">
        <f t="shared" si="14"/>
        <v>Actual 2023 crashes of this road</v>
      </c>
      <c r="K134" s="11" t="str">
        <f t="shared" si="15"/>
        <v>Yes</v>
      </c>
    </row>
    <row r="135" spans="1:11" x14ac:dyDescent="0.3">
      <c r="A135" s="15" t="str">
        <f>SOURCE_DATA!A6</f>
        <v>EDSA</v>
      </c>
      <c r="B135" s="16">
        <v>2015</v>
      </c>
      <c r="C135" s="17">
        <f>SOURCE_DATA!B6</f>
        <v>367675</v>
      </c>
      <c r="D135" s="17">
        <f>SOURCE_DATA!L6</f>
        <v>9801</v>
      </c>
      <c r="E135" s="16" t="s">
        <v>36</v>
      </c>
      <c r="F135" s="18">
        <f>SOURCE_DATA!W6</f>
        <v>23.8</v>
      </c>
      <c r="G135" s="19">
        <f>SOURCE_DATA!X6</f>
        <v>12</v>
      </c>
      <c r="H135" s="20">
        <f>SOURCE_DATA!Y6</f>
        <v>285.60000000000002</v>
      </c>
      <c r="I135" s="70" t="str">
        <f t="shared" si="13"/>
        <v>N/A</v>
      </c>
      <c r="J135" s="22" t="str">
        <f t="shared" si="14"/>
        <v>Unavailable – no 2014 MMARAS record (not imputed)</v>
      </c>
      <c r="K135" s="22" t="str">
        <f t="shared" si="15"/>
        <v>No – excluded</v>
      </c>
    </row>
    <row r="136" spans="1:11" x14ac:dyDescent="0.3">
      <c r="A136" s="15" t="str">
        <f>SOURCE_DATA!A6</f>
        <v>EDSA</v>
      </c>
      <c r="B136" s="16">
        <v>2016</v>
      </c>
      <c r="C136" s="17">
        <f>SOURCE_DATA!C6</f>
        <v>364781</v>
      </c>
      <c r="D136" s="17">
        <f>SOURCE_DATA!M6</f>
        <v>13354</v>
      </c>
      <c r="E136" s="16" t="s">
        <v>36</v>
      </c>
      <c r="F136" s="18">
        <f>SOURCE_DATA!W6</f>
        <v>23.8</v>
      </c>
      <c r="G136" s="19">
        <f>SOURCE_DATA!X6</f>
        <v>12</v>
      </c>
      <c r="H136" s="20">
        <f>SOURCE_DATA!Y6</f>
        <v>285.60000000000002</v>
      </c>
      <c r="I136" s="70">
        <f t="shared" si="13"/>
        <v>9801</v>
      </c>
      <c r="J136" s="22" t="str">
        <f t="shared" si="14"/>
        <v>Actual 2015 crashes of this road</v>
      </c>
      <c r="K136" s="22" t="str">
        <f t="shared" si="15"/>
        <v>Yes</v>
      </c>
    </row>
    <row r="137" spans="1:11" x14ac:dyDescent="0.3">
      <c r="A137" s="15" t="str">
        <f>SOURCE_DATA!A6</f>
        <v>EDSA</v>
      </c>
      <c r="B137" s="16">
        <v>2017</v>
      </c>
      <c r="C137" s="17">
        <f>SOURCE_DATA!D6</f>
        <v>367728</v>
      </c>
      <c r="D137" s="17">
        <f>SOURCE_DATA!N6</f>
        <v>12635</v>
      </c>
      <c r="E137" s="16" t="s">
        <v>36</v>
      </c>
      <c r="F137" s="18">
        <f>SOURCE_DATA!W6</f>
        <v>23.8</v>
      </c>
      <c r="G137" s="19">
        <f>SOURCE_DATA!X6</f>
        <v>12</v>
      </c>
      <c r="H137" s="20">
        <f>SOURCE_DATA!Y6</f>
        <v>285.60000000000002</v>
      </c>
      <c r="I137" s="70">
        <f t="shared" si="13"/>
        <v>13354</v>
      </c>
      <c r="J137" s="22" t="str">
        <f t="shared" si="14"/>
        <v>Actual 2016 crashes of this road</v>
      </c>
      <c r="K137" s="22" t="str">
        <f t="shared" si="15"/>
        <v>Yes</v>
      </c>
    </row>
    <row r="138" spans="1:11" x14ac:dyDescent="0.3">
      <c r="A138" s="15" t="str">
        <f>SOURCE_DATA!A6</f>
        <v>EDSA</v>
      </c>
      <c r="B138" s="16">
        <v>2018</v>
      </c>
      <c r="C138" s="17">
        <f>SOURCE_DATA!E6</f>
        <v>383828</v>
      </c>
      <c r="D138" s="17">
        <f>SOURCE_DATA!O6</f>
        <v>17276</v>
      </c>
      <c r="E138" s="16" t="s">
        <v>36</v>
      </c>
      <c r="F138" s="18">
        <f>SOURCE_DATA!W6</f>
        <v>23.8</v>
      </c>
      <c r="G138" s="19">
        <f>SOURCE_DATA!X6</f>
        <v>12</v>
      </c>
      <c r="H138" s="20">
        <f>SOURCE_DATA!Y6</f>
        <v>285.60000000000002</v>
      </c>
      <c r="I138" s="70">
        <f t="shared" si="13"/>
        <v>12635</v>
      </c>
      <c r="J138" s="22" t="str">
        <f t="shared" si="14"/>
        <v>Actual 2017 crashes of this road</v>
      </c>
      <c r="K138" s="22" t="str">
        <f t="shared" si="15"/>
        <v>Yes</v>
      </c>
    </row>
    <row r="139" spans="1:11" x14ac:dyDescent="0.3">
      <c r="A139" s="15" t="str">
        <f>SOURCE_DATA!A6</f>
        <v>EDSA</v>
      </c>
      <c r="B139" s="16">
        <v>2019</v>
      </c>
      <c r="C139" s="17">
        <f>SOURCE_DATA!F6</f>
        <v>405882</v>
      </c>
      <c r="D139" s="17">
        <f>SOURCE_DATA!P6</f>
        <v>17382</v>
      </c>
      <c r="E139" s="16" t="s">
        <v>36</v>
      </c>
      <c r="F139" s="18">
        <f>SOURCE_DATA!W6</f>
        <v>23.8</v>
      </c>
      <c r="G139" s="19">
        <f>SOURCE_DATA!X6</f>
        <v>12</v>
      </c>
      <c r="H139" s="20">
        <f>SOURCE_DATA!Y6</f>
        <v>285.60000000000002</v>
      </c>
      <c r="I139" s="70">
        <f t="shared" si="13"/>
        <v>17276</v>
      </c>
      <c r="J139" s="22" t="str">
        <f t="shared" si="14"/>
        <v>Actual 2018 crashes of this road</v>
      </c>
      <c r="K139" s="22" t="str">
        <f t="shared" si="15"/>
        <v>Yes</v>
      </c>
    </row>
    <row r="140" spans="1:11" x14ac:dyDescent="0.3">
      <c r="A140" s="15" t="str">
        <f>SOURCE_DATA!A6</f>
        <v>EDSA</v>
      </c>
      <c r="B140" s="16">
        <v>2020</v>
      </c>
      <c r="C140" s="17">
        <f>SOURCE_DATA!G6</f>
        <v>328114</v>
      </c>
      <c r="D140" s="17">
        <f>SOURCE_DATA!Q6</f>
        <v>7319</v>
      </c>
      <c r="E140" s="16" t="s">
        <v>36</v>
      </c>
      <c r="F140" s="18">
        <f>SOURCE_DATA!W6</f>
        <v>23.8</v>
      </c>
      <c r="G140" s="19">
        <f>SOURCE_DATA!X6</f>
        <v>12</v>
      </c>
      <c r="H140" s="20">
        <f>SOURCE_DATA!Y6</f>
        <v>285.60000000000002</v>
      </c>
      <c r="I140" s="70">
        <f t="shared" si="13"/>
        <v>17382</v>
      </c>
      <c r="J140" s="22" t="str">
        <f t="shared" si="14"/>
        <v>Actual 2019 crashes of this road</v>
      </c>
      <c r="K140" s="22" t="str">
        <f t="shared" si="15"/>
        <v>Yes</v>
      </c>
    </row>
    <row r="141" spans="1:11" x14ac:dyDescent="0.3">
      <c r="A141" s="15" t="str">
        <f>SOURCE_DATA!A6</f>
        <v>EDSA</v>
      </c>
      <c r="B141" s="16">
        <v>2021</v>
      </c>
      <c r="C141" s="17">
        <f>SOURCE_DATA!H6</f>
        <v>372271</v>
      </c>
      <c r="D141" s="17">
        <f>SOURCE_DATA!R6</f>
        <v>6523</v>
      </c>
      <c r="E141" s="16" t="s">
        <v>36</v>
      </c>
      <c r="F141" s="18">
        <f>SOURCE_DATA!W6</f>
        <v>23.8</v>
      </c>
      <c r="G141" s="19">
        <f>SOURCE_DATA!X6</f>
        <v>12</v>
      </c>
      <c r="H141" s="20">
        <f>SOURCE_DATA!Y6</f>
        <v>285.60000000000002</v>
      </c>
      <c r="I141" s="70">
        <f t="shared" si="13"/>
        <v>7319</v>
      </c>
      <c r="J141" s="22" t="str">
        <f t="shared" si="14"/>
        <v>Actual 2020 crashes of this road</v>
      </c>
      <c r="K141" s="22" t="str">
        <f t="shared" si="15"/>
        <v>Yes</v>
      </c>
    </row>
    <row r="142" spans="1:11" x14ac:dyDescent="0.3">
      <c r="A142" s="15" t="str">
        <f>SOURCE_DATA!A6</f>
        <v>EDSA</v>
      </c>
      <c r="B142" s="16">
        <v>2022</v>
      </c>
      <c r="C142" s="17">
        <f>SOURCE_DATA!I6</f>
        <v>385096</v>
      </c>
      <c r="D142" s="17">
        <f>SOURCE_DATA!S6</f>
        <v>8009</v>
      </c>
      <c r="E142" s="16" t="s">
        <v>36</v>
      </c>
      <c r="F142" s="18">
        <f>SOURCE_DATA!W6</f>
        <v>23.8</v>
      </c>
      <c r="G142" s="19">
        <f>SOURCE_DATA!X6</f>
        <v>12</v>
      </c>
      <c r="H142" s="20">
        <f>SOURCE_DATA!Y6</f>
        <v>285.60000000000002</v>
      </c>
      <c r="I142" s="70">
        <f t="shared" si="13"/>
        <v>6523</v>
      </c>
      <c r="J142" s="22" t="str">
        <f t="shared" si="14"/>
        <v>Actual 2021 crashes of this road</v>
      </c>
      <c r="K142" s="22" t="str">
        <f t="shared" si="15"/>
        <v>Yes</v>
      </c>
    </row>
    <row r="143" spans="1:11" x14ac:dyDescent="0.3">
      <c r="A143" s="15" t="str">
        <f>SOURCE_DATA!A6</f>
        <v>EDSA</v>
      </c>
      <c r="B143" s="16">
        <v>2023</v>
      </c>
      <c r="C143" s="17">
        <f>SOURCE_DATA!J6</f>
        <v>407342</v>
      </c>
      <c r="D143" s="17">
        <f>SOURCE_DATA!T6</f>
        <v>8727</v>
      </c>
      <c r="E143" s="16" t="s">
        <v>36</v>
      </c>
      <c r="F143" s="18">
        <f>SOURCE_DATA!W6</f>
        <v>23.8</v>
      </c>
      <c r="G143" s="19">
        <f>SOURCE_DATA!X6</f>
        <v>12</v>
      </c>
      <c r="H143" s="20">
        <f>SOURCE_DATA!Y6</f>
        <v>285.60000000000002</v>
      </c>
      <c r="I143" s="70">
        <f t="shared" si="13"/>
        <v>8009</v>
      </c>
      <c r="J143" s="22" t="str">
        <f t="shared" si="14"/>
        <v>Actual 2022 crashes of this road</v>
      </c>
      <c r="K143" s="22" t="str">
        <f t="shared" si="15"/>
        <v>Yes</v>
      </c>
    </row>
    <row r="144" spans="1:11" x14ac:dyDescent="0.3">
      <c r="A144" s="15" t="str">
        <f>SOURCE_DATA!A6</f>
        <v>EDSA</v>
      </c>
      <c r="B144" s="16">
        <v>2024</v>
      </c>
      <c r="C144" s="17">
        <f>SOURCE_DATA!K6</f>
        <v>419952</v>
      </c>
      <c r="D144" s="17">
        <f>SOURCE_DATA!U6</f>
        <v>8873</v>
      </c>
      <c r="E144" s="16" t="s">
        <v>36</v>
      </c>
      <c r="F144" s="18">
        <f>SOURCE_DATA!W6</f>
        <v>23.8</v>
      </c>
      <c r="G144" s="19">
        <f>SOURCE_DATA!X6</f>
        <v>12</v>
      </c>
      <c r="H144" s="20">
        <f>SOURCE_DATA!Y6</f>
        <v>285.60000000000002</v>
      </c>
      <c r="I144" s="70">
        <f t="shared" si="13"/>
        <v>8727</v>
      </c>
      <c r="J144" s="22" t="str">
        <f t="shared" si="14"/>
        <v>Actual 2023 crashes of this road</v>
      </c>
      <c r="K144" s="22" t="str">
        <f t="shared" si="15"/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597"/>
  </sheetPr>
  <dimension ref="A1:Y180"/>
  <sheetViews>
    <sheetView showGridLines="0" topLeftCell="A119" zoomScaleNormal="100" workbookViewId="0">
      <selection activeCell="D9" sqref="D9"/>
    </sheetView>
  </sheetViews>
  <sheetFormatPr defaultColWidth="8.6640625" defaultRowHeight="14.4" x14ac:dyDescent="0.3"/>
  <cols>
    <col min="1" max="1" width="79.109375" customWidth="1"/>
    <col min="2" max="2" width="16" customWidth="1"/>
    <col min="3" max="3" width="18.5546875" customWidth="1"/>
    <col min="4" max="5" width="14" customWidth="1"/>
    <col min="6" max="6" width="12" customWidth="1"/>
    <col min="7" max="7" width="11" customWidth="1"/>
    <col min="8" max="8" width="14" customWidth="1"/>
    <col min="9" max="9" width="18.44140625" customWidth="1"/>
    <col min="10" max="25" width="14" customWidth="1"/>
  </cols>
  <sheetData>
    <row r="1" spans="1:12" ht="16.8" x14ac:dyDescent="0.3">
      <c r="A1" s="1" t="s">
        <v>37</v>
      </c>
    </row>
    <row r="2" spans="1:12" x14ac:dyDescent="0.3">
      <c r="A2" s="2" t="s">
        <v>38</v>
      </c>
    </row>
    <row r="4" spans="1:12" x14ac:dyDescent="0.3">
      <c r="A4" s="13" t="s">
        <v>543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6" spans="1:12" x14ac:dyDescent="0.3">
      <c r="A6" s="11" t="s">
        <v>39</v>
      </c>
      <c r="B6" s="24">
        <f>COUNT($B$53:$B$169)</f>
        <v>117</v>
      </c>
    </row>
    <row r="7" spans="1:12" x14ac:dyDescent="0.3">
      <c r="A7" s="11" t="s">
        <v>40</v>
      </c>
      <c r="B7" s="10">
        <f>SUM($B$53:$B$169)</f>
        <v>19527528.5</v>
      </c>
    </row>
    <row r="8" spans="1:12" x14ac:dyDescent="0.3">
      <c r="A8" s="11" t="s">
        <v>41</v>
      </c>
      <c r="B8" s="10">
        <f>SUM($F$53:$F$169)</f>
        <v>220006</v>
      </c>
    </row>
    <row r="9" spans="1:12" x14ac:dyDescent="0.3">
      <c r="A9" s="11" t="s">
        <v>42</v>
      </c>
      <c r="B9" s="10">
        <f>SUMPRODUCT($B$53:$B$169,$F$53:$F$169)</f>
        <v>46339058925</v>
      </c>
      <c r="C9" s="10">
        <f>SUM(H53:H169)</f>
        <v>46339058925</v>
      </c>
      <c r="D9" s="2" t="str">
        <f>IF(ABS(C9-B9)&lt;0.001,"✔ equals column H total (Excl. Edsa)","CHECK")</f>
        <v>✔ equals column H total (Excl. Edsa)</v>
      </c>
    </row>
    <row r="10" spans="1:12" x14ac:dyDescent="0.3">
      <c r="A10" s="11" t="s">
        <v>43</v>
      </c>
      <c r="B10" s="10">
        <f>SUMSQ($B$53:$B$169)</f>
        <v>3884644538975.25</v>
      </c>
      <c r="C10" s="10">
        <f>SUM(I53:I169)</f>
        <v>3884644538975.25</v>
      </c>
      <c r="D10" s="2" t="str">
        <f>IF(ABS(C10-B10)&lt;0.001,"✔ equals column I total (Excl. Edsa)","CHECK")</f>
        <v>✔ equals column I total (Excl. Edsa)</v>
      </c>
    </row>
    <row r="11" spans="1:12" x14ac:dyDescent="0.3">
      <c r="A11" s="11" t="s">
        <v>44</v>
      </c>
      <c r="B11" s="10">
        <f>SUMSQ($F$53:$F$169)</f>
        <v>830967730</v>
      </c>
      <c r="C11" s="10">
        <f>SUM(J53:J169)</f>
        <v>830967730</v>
      </c>
      <c r="D11" s="2" t="str">
        <f>IF(ABS(C11-B11)&lt;0.001,"✔ equals column J total (Excl. Edsa)","CHECK")</f>
        <v>✔ equals column J total (Excl. Edsa)</v>
      </c>
    </row>
    <row r="12" spans="1:12" x14ac:dyDescent="0.3">
      <c r="A12" s="11" t="s">
        <v>45</v>
      </c>
      <c r="B12" s="25">
        <f>B7/B6</f>
        <v>166901.952991453</v>
      </c>
    </row>
    <row r="13" spans="1:12" x14ac:dyDescent="0.3">
      <c r="A13" s="11" t="s">
        <v>46</v>
      </c>
      <c r="B13" s="25">
        <f>B8/B6</f>
        <v>1880.3931623931624</v>
      </c>
    </row>
    <row r="14" spans="1:12" x14ac:dyDescent="0.3">
      <c r="A14" s="11" t="s">
        <v>47</v>
      </c>
      <c r="B14" s="26">
        <f>(B6*B9-B7*B8)/(B6*B10-B7^2)</f>
        <v>1.5380038222217351E-2</v>
      </c>
    </row>
    <row r="15" spans="1:12" x14ac:dyDescent="0.3">
      <c r="A15" s="11" t="s">
        <v>48</v>
      </c>
      <c r="B15" s="27">
        <f>B13-B14*B12</f>
        <v>-686.56525397810833</v>
      </c>
    </row>
    <row r="16" spans="1:12" x14ac:dyDescent="0.3">
      <c r="A16" s="11" t="s">
        <v>49</v>
      </c>
      <c r="B16" s="28">
        <f>SUM($N$53:$N$169)</f>
        <v>269319707.81862557</v>
      </c>
    </row>
    <row r="17" spans="1:12" x14ac:dyDescent="0.3">
      <c r="A17" s="11" t="s">
        <v>50</v>
      </c>
      <c r="B17" s="28">
        <f>SUM($O$53:$O$169)</f>
        <v>417269951.91452974</v>
      </c>
    </row>
    <row r="18" spans="1:12" x14ac:dyDescent="0.3">
      <c r="A18" s="11" t="s">
        <v>51</v>
      </c>
      <c r="B18" s="29">
        <f>1-B16/B17</f>
        <v>0.35456721342400688</v>
      </c>
    </row>
    <row r="19" spans="1:12" x14ac:dyDescent="0.3">
      <c r="A19" s="11" t="s">
        <v>52</v>
      </c>
      <c r="B19" s="28">
        <f>SUM($M$53:$M$169)/B6</f>
        <v>983.74254554570757</v>
      </c>
    </row>
    <row r="20" spans="1:12" x14ac:dyDescent="0.3">
      <c r="A20" s="11" t="s">
        <v>53</v>
      </c>
      <c r="B20" s="28">
        <f>SQRT(B16/B6)</f>
        <v>1517.1940695255953</v>
      </c>
    </row>
    <row r="21" spans="1:12" x14ac:dyDescent="0.3">
      <c r="A21" s="11" t="s">
        <v>54</v>
      </c>
      <c r="B21" s="30">
        <f>SLOPE($F$53:$F$169,$B$53:$B$169)</f>
        <v>1.5380038222217344E-2</v>
      </c>
      <c r="C21" s="31">
        <f>INTERCEPT($F$53:$F$169,$B$53:$B$169)</f>
        <v>-686.56525397810697</v>
      </c>
      <c r="D21" s="32">
        <f>RSQ($F$53:$F$169,$B$53:$B$169)</f>
        <v>0.35456721342400671</v>
      </c>
      <c r="E21" s="33" t="str">
        <f>IF(AND(ABS(B21-B14)&lt;0.000000001,ABS(C21-B15)&lt;0.000001,ABS(D21-B18)&lt;0.000000001),"✔ matches","CHECK")</f>
        <v>✔ matches</v>
      </c>
    </row>
    <row r="23" spans="1:12" x14ac:dyDescent="0.3">
      <c r="A23" s="13" t="s">
        <v>55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26.4" x14ac:dyDescent="0.3">
      <c r="A24" s="3" t="s">
        <v>56</v>
      </c>
      <c r="B24" s="3" t="s">
        <v>57</v>
      </c>
      <c r="C24" s="3" t="s">
        <v>58</v>
      </c>
    </row>
    <row r="25" spans="1:12" x14ac:dyDescent="0.3">
      <c r="A25" s="11" t="s">
        <v>59</v>
      </c>
      <c r="B25" s="27">
        <f>INDEX(LINEST($F$53:$F$169,$B$53:$E$169,TRUE(),TRUE()),1,5)</f>
        <v>48525.083630501023</v>
      </c>
      <c r="C25" s="2" t="s">
        <v>60</v>
      </c>
    </row>
    <row r="26" spans="1:12" x14ac:dyDescent="0.3">
      <c r="A26" s="11" t="s">
        <v>61</v>
      </c>
      <c r="B26" s="27">
        <f>INDEX(LINEST($F$53:$F$169,$B$53:$E$169,TRUE(),TRUE()),1,4)</f>
        <v>2.9832332098362951E-3</v>
      </c>
      <c r="C26" s="2" t="s">
        <v>62</v>
      </c>
    </row>
    <row r="27" spans="1:12" x14ac:dyDescent="0.3">
      <c r="A27" s="11" t="s">
        <v>63</v>
      </c>
      <c r="B27" s="27">
        <f>INDEX(LINEST($F$53:$F$169,$B$53:$E$169,TRUE(),TRUE()),1,3)</f>
        <v>-24.170108292801999</v>
      </c>
      <c r="C27" s="2" t="s">
        <v>64</v>
      </c>
    </row>
    <row r="28" spans="1:12" x14ac:dyDescent="0.3">
      <c r="A28" s="11" t="s">
        <v>65</v>
      </c>
      <c r="B28" s="27">
        <f>INDEX(LINEST($F$53:$F$169,$B$53:$E$169,TRUE(),TRUE()),1,2)</f>
        <v>0.92466480889651981</v>
      </c>
      <c r="C28" s="2" t="s">
        <v>66</v>
      </c>
    </row>
    <row r="29" spans="1:12" x14ac:dyDescent="0.3">
      <c r="A29" s="11" t="s">
        <v>67</v>
      </c>
      <c r="B29" s="27">
        <f>INDEX(LINEST($F$53:$F$169,$B$53:$E$169,TRUE(),TRUE()),1,1)</f>
        <v>1.3205235887681827E-2</v>
      </c>
      <c r="C29" s="2" t="s">
        <v>68</v>
      </c>
    </row>
    <row r="31" spans="1:12" x14ac:dyDescent="0.3">
      <c r="A31" s="11" t="s">
        <v>49</v>
      </c>
      <c r="B31" s="28">
        <f>SUM($S$53:$S$169)</f>
        <v>50660282.32702551</v>
      </c>
    </row>
    <row r="32" spans="1:12" x14ac:dyDescent="0.3">
      <c r="A32" s="11" t="s">
        <v>50</v>
      </c>
      <c r="B32" s="28">
        <f>SUM($T$53:$T$169)</f>
        <v>417269951.91452974</v>
      </c>
    </row>
    <row r="33" spans="1:3" x14ac:dyDescent="0.3">
      <c r="A33" s="11" t="s">
        <v>51</v>
      </c>
      <c r="B33" s="29">
        <f>1-B31/B32</f>
        <v>0.87859110847885269</v>
      </c>
    </row>
    <row r="34" spans="1:3" x14ac:dyDescent="0.3">
      <c r="A34" s="11" t="s">
        <v>52</v>
      </c>
      <c r="B34" s="28">
        <f>SUM($R$53:$R$169)/B6</f>
        <v>396.3920889740462</v>
      </c>
    </row>
    <row r="35" spans="1:3" x14ac:dyDescent="0.3">
      <c r="A35" s="11" t="s">
        <v>53</v>
      </c>
      <c r="B35" s="28">
        <f>SQRT(B31/B6)</f>
        <v>658.02269417015782</v>
      </c>
    </row>
    <row r="36" spans="1:3" x14ac:dyDescent="0.3">
      <c r="A36" s="11" t="s">
        <v>69</v>
      </c>
      <c r="B36" s="29">
        <f>1-(1-B33)*(B6-1)/(B6-4-1)</f>
        <v>0.87425507663881175</v>
      </c>
    </row>
    <row r="37" spans="1:3" x14ac:dyDescent="0.3">
      <c r="A37" s="11" t="s">
        <v>70</v>
      </c>
      <c r="B37" s="32">
        <f>INDEX(LINEST($F$53:$F$169,$B$53:$E$169,TRUE(),TRUE()),3,1)</f>
        <v>0.87859110847885247</v>
      </c>
      <c r="C37" s="33" t="str">
        <f>IF(ABS(B37-B33)&lt;0.000000001,"✔ matches","CHECK")</f>
        <v>✔ matches</v>
      </c>
    </row>
    <row r="38" spans="1:3" x14ac:dyDescent="0.3">
      <c r="A38" s="11" t="s">
        <v>71</v>
      </c>
      <c r="B38" s="34">
        <f>P53-SUM(U53:Y53)</f>
        <v>1.4779288903810084E-12</v>
      </c>
    </row>
    <row r="40" spans="1:3" ht="17.399999999999999" customHeight="1" x14ac:dyDescent="0.3">
      <c r="A40" s="13" t="s">
        <v>72</v>
      </c>
    </row>
    <row r="41" spans="1:3" x14ac:dyDescent="0.3">
      <c r="A41" s="2" t="s">
        <v>73</v>
      </c>
    </row>
    <row r="42" spans="1:3" x14ac:dyDescent="0.3">
      <c r="A42" s="2" t="s">
        <v>74</v>
      </c>
    </row>
    <row r="43" spans="1:3" x14ac:dyDescent="0.3">
      <c r="A43" s="2" t="s">
        <v>544</v>
      </c>
    </row>
    <row r="44" spans="1:3" x14ac:dyDescent="0.3">
      <c r="A44" s="2" t="s">
        <v>75</v>
      </c>
    </row>
    <row r="45" spans="1:3" x14ac:dyDescent="0.3">
      <c r="A45" s="2" t="s">
        <v>76</v>
      </c>
    </row>
    <row r="46" spans="1:3" x14ac:dyDescent="0.3">
      <c r="A46" s="2" t="s">
        <v>77</v>
      </c>
    </row>
    <row r="47" spans="1:3" x14ac:dyDescent="0.3">
      <c r="A47" s="2" t="s">
        <v>78</v>
      </c>
    </row>
    <row r="48" spans="1:3" x14ac:dyDescent="0.3">
      <c r="A48" s="2" t="s">
        <v>79</v>
      </c>
    </row>
    <row r="50" spans="1:25" ht="30" customHeight="1" x14ac:dyDescent="0.3"/>
    <row r="51" spans="1:25" x14ac:dyDescent="0.3">
      <c r="A51" s="13" t="s">
        <v>80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43.5" customHeight="1" x14ac:dyDescent="0.3">
      <c r="A52" s="3" t="s">
        <v>2</v>
      </c>
      <c r="B52" s="3" t="s">
        <v>81</v>
      </c>
      <c r="C52" s="3" t="s">
        <v>82</v>
      </c>
      <c r="D52" s="3" t="s">
        <v>83</v>
      </c>
      <c r="E52" s="3" t="s">
        <v>84</v>
      </c>
      <c r="F52" s="3" t="s">
        <v>85</v>
      </c>
      <c r="G52" s="3" t="s">
        <v>86</v>
      </c>
      <c r="H52" s="3" t="s">
        <v>87</v>
      </c>
      <c r="I52" s="3" t="s">
        <v>88</v>
      </c>
      <c r="J52" s="3" t="s">
        <v>89</v>
      </c>
      <c r="K52" s="3" t="s">
        <v>90</v>
      </c>
      <c r="L52" s="3" t="s">
        <v>91</v>
      </c>
      <c r="M52" s="3" t="s">
        <v>92</v>
      </c>
      <c r="N52" s="3" t="s">
        <v>93</v>
      </c>
      <c r="O52" s="3" t="s">
        <v>94</v>
      </c>
      <c r="P52" s="3" t="s">
        <v>95</v>
      </c>
      <c r="Q52" s="3" t="s">
        <v>96</v>
      </c>
      <c r="R52" s="3" t="s">
        <v>97</v>
      </c>
      <c r="S52" s="3" t="s">
        <v>98</v>
      </c>
      <c r="T52" s="3" t="s">
        <v>99</v>
      </c>
      <c r="U52" s="3" t="s">
        <v>100</v>
      </c>
      <c r="V52" s="3" t="s">
        <v>101</v>
      </c>
      <c r="W52" s="3" t="s">
        <v>102</v>
      </c>
      <c r="X52" s="3" t="s">
        <v>103</v>
      </c>
      <c r="Y52" s="3" t="s">
        <v>104</v>
      </c>
    </row>
    <row r="53" spans="1:25" x14ac:dyDescent="0.3">
      <c r="A53" s="4" t="str">
        <f>DATASETS!A6</f>
        <v>PRES. QUIRINO AVE.</v>
      </c>
      <c r="B53" s="9">
        <f>DATASETS!C6</f>
        <v>117482</v>
      </c>
      <c r="C53" s="4">
        <f>DATASETS!B6</f>
        <v>2016</v>
      </c>
      <c r="D53" s="6">
        <f>DATASETS!I6</f>
        <v>887</v>
      </c>
      <c r="E53" s="9">
        <f>DATASETS!H6</f>
        <v>28.8</v>
      </c>
      <c r="F53" s="6">
        <f>DATASETS!D6</f>
        <v>1005</v>
      </c>
      <c r="G53" s="4" t="str">
        <f>DATASETS!E6</f>
        <v>Training</v>
      </c>
      <c r="H53" s="10">
        <f t="shared" ref="H53:H84" si="0">B53*F53</f>
        <v>118069410</v>
      </c>
      <c r="I53" s="10">
        <f>B53^2</f>
        <v>13802020324</v>
      </c>
      <c r="J53" s="10">
        <f t="shared" ref="J53:J84" si="1">F53^2</f>
        <v>1010025</v>
      </c>
      <c r="K53" s="35">
        <f t="shared" ref="K53:K84" si="2">$B$15+$B$14*B53</f>
        <v>1120.3123964444305</v>
      </c>
      <c r="L53" s="35">
        <f t="shared" ref="L53:L84" si="3">F53-K53</f>
        <v>-115.31239644443053</v>
      </c>
      <c r="M53" s="35">
        <f t="shared" ref="M53:M84" si="4">ABS(L53)</f>
        <v>115.31239644443053</v>
      </c>
      <c r="N53" s="35">
        <f t="shared" ref="N53:N84" si="5">L53^2</f>
        <v>13296.948773757515</v>
      </c>
      <c r="O53" s="35">
        <f t="shared" ref="O53:O84" si="6">(F53-$B$13)^2</f>
        <v>766313.18876470148</v>
      </c>
      <c r="P53" s="35">
        <f t="shared" ref="P53:P84" si="7">$B$25+$B$26*B53+$B$27*C53+$B$28*D53+$B$29*E53</f>
        <v>969.17951245496226</v>
      </c>
      <c r="Q53" s="35">
        <f t="shared" ref="Q53:Q84" si="8">F53-P53</f>
        <v>35.820487545037736</v>
      </c>
      <c r="R53" s="35">
        <f t="shared" ref="R53:R84" si="9">ABS(Q53)</f>
        <v>35.820487545037736</v>
      </c>
      <c r="S53" s="35">
        <f t="shared" ref="S53:S84" si="10">Q53^2</f>
        <v>1283.1073279642035</v>
      </c>
      <c r="T53" s="35">
        <f t="shared" ref="T53:T84" si="11">(F53-$B$13)^2</f>
        <v>766313.18876470148</v>
      </c>
      <c r="U53" s="35">
        <f t="shared" ref="U53:U84" si="12">$B$26*B53</f>
        <v>350.47620395798765</v>
      </c>
      <c r="V53" s="35">
        <f t="shared" ref="V53:V84" si="13">$B$27*C53</f>
        <v>-48726.938318288827</v>
      </c>
      <c r="W53" s="35">
        <f t="shared" ref="W53:W84" si="14">$B$28*D53</f>
        <v>820.17768549121308</v>
      </c>
      <c r="X53" s="35">
        <f t="shared" ref="X53:X84" si="15">$B$29*E53</f>
        <v>0.38031079356523662</v>
      </c>
      <c r="Y53" s="35">
        <f t="shared" ref="Y53:Y84" si="16">$B$25</f>
        <v>48525.083630501023</v>
      </c>
    </row>
    <row r="54" spans="1:25" x14ac:dyDescent="0.3">
      <c r="A54" s="4" t="str">
        <f>DATASETS!A7</f>
        <v>PRES. QUIRINO AVE.</v>
      </c>
      <c r="B54" s="9">
        <f>DATASETS!C7</f>
        <v>105118</v>
      </c>
      <c r="C54" s="4">
        <f>DATASETS!B7</f>
        <v>2017</v>
      </c>
      <c r="D54" s="6">
        <f>DATASETS!I7</f>
        <v>1005</v>
      </c>
      <c r="E54" s="9">
        <f>DATASETS!H7</f>
        <v>28.8</v>
      </c>
      <c r="F54" s="6">
        <f>DATASETS!D7</f>
        <v>868</v>
      </c>
      <c r="G54" s="4" t="str">
        <f>DATASETS!E7</f>
        <v>Training</v>
      </c>
      <c r="H54" s="10">
        <f t="shared" si="0"/>
        <v>91242424</v>
      </c>
      <c r="I54" s="10">
        <f t="shared" ref="I54:I84" si="17">B54^2</f>
        <v>11049793924</v>
      </c>
      <c r="J54" s="10">
        <f t="shared" si="1"/>
        <v>753424</v>
      </c>
      <c r="K54" s="35">
        <f t="shared" si="2"/>
        <v>930.15360386493512</v>
      </c>
      <c r="L54" s="35">
        <f t="shared" si="3"/>
        <v>-62.153603864935121</v>
      </c>
      <c r="M54" s="35">
        <f t="shared" si="4"/>
        <v>62.153603864935121</v>
      </c>
      <c r="N54" s="35">
        <f t="shared" si="5"/>
        <v>3863.0704733992779</v>
      </c>
      <c r="O54" s="35">
        <f t="shared" si="6"/>
        <v>1024939.915260428</v>
      </c>
      <c r="P54" s="35">
        <f t="shared" si="7"/>
        <v>1017.235156205533</v>
      </c>
      <c r="Q54" s="35">
        <f t="shared" si="8"/>
        <v>-149.23515620553303</v>
      </c>
      <c r="R54" s="35">
        <f t="shared" si="9"/>
        <v>149.23515620553303</v>
      </c>
      <c r="S54" s="35">
        <f t="shared" si="10"/>
        <v>22271.131847689845</v>
      </c>
      <c r="T54" s="35">
        <f t="shared" si="11"/>
        <v>1024939.915260428</v>
      </c>
      <c r="U54" s="35">
        <f t="shared" si="12"/>
        <v>313.59150855157168</v>
      </c>
      <c r="V54" s="35">
        <f t="shared" si="13"/>
        <v>-48751.108426581632</v>
      </c>
      <c r="W54" s="35">
        <f t="shared" si="14"/>
        <v>929.28813294100246</v>
      </c>
      <c r="X54" s="35">
        <f t="shared" si="15"/>
        <v>0.38031079356523662</v>
      </c>
      <c r="Y54" s="35">
        <f t="shared" si="16"/>
        <v>48525.083630501023</v>
      </c>
    </row>
    <row r="55" spans="1:25" x14ac:dyDescent="0.3">
      <c r="A55" s="4" t="str">
        <f>DATASETS!A8</f>
        <v>PRES. QUIRINO AVE.</v>
      </c>
      <c r="B55" s="9">
        <f>DATASETS!C8</f>
        <v>108592</v>
      </c>
      <c r="C55" s="4">
        <f>DATASETS!B8</f>
        <v>2018</v>
      </c>
      <c r="D55" s="6">
        <f>DATASETS!I8</f>
        <v>868</v>
      </c>
      <c r="E55" s="9">
        <f>DATASETS!H8</f>
        <v>28.8</v>
      </c>
      <c r="F55" s="6">
        <f>DATASETS!D8</f>
        <v>953</v>
      </c>
      <c r="G55" s="4" t="str">
        <f>DATASETS!E8</f>
        <v>Training</v>
      </c>
      <c r="H55" s="10">
        <f t="shared" si="0"/>
        <v>103488176</v>
      </c>
      <c r="I55" s="10">
        <f t="shared" si="17"/>
        <v>11792222464</v>
      </c>
      <c r="J55" s="10">
        <f t="shared" si="1"/>
        <v>908209</v>
      </c>
      <c r="K55" s="35">
        <f t="shared" si="2"/>
        <v>983.5838566489183</v>
      </c>
      <c r="L55" s="35">
        <f t="shared" si="3"/>
        <v>-30.583856648918299</v>
      </c>
      <c r="M55" s="35">
        <f t="shared" si="4"/>
        <v>30.583856648918299</v>
      </c>
      <c r="N55" s="35">
        <f t="shared" si="5"/>
        <v>935.3722875215841</v>
      </c>
      <c r="O55" s="35">
        <f t="shared" si="6"/>
        <v>860058.07765359036</v>
      </c>
      <c r="P55" s="35">
        <f t="shared" si="7"/>
        <v>876.74972126487285</v>
      </c>
      <c r="Q55" s="35">
        <f t="shared" si="8"/>
        <v>76.250278735127154</v>
      </c>
      <c r="R55" s="35">
        <f t="shared" si="9"/>
        <v>76.250278735127154</v>
      </c>
      <c r="S55" s="35">
        <f t="shared" si="10"/>
        <v>5814.1050071845839</v>
      </c>
      <c r="T55" s="35">
        <f t="shared" si="11"/>
        <v>860058.07765359036</v>
      </c>
      <c r="U55" s="35">
        <f t="shared" si="12"/>
        <v>323.95526072254296</v>
      </c>
      <c r="V55" s="35">
        <f t="shared" si="13"/>
        <v>-48775.278534874436</v>
      </c>
      <c r="W55" s="35">
        <f t="shared" si="14"/>
        <v>802.60905412217915</v>
      </c>
      <c r="X55" s="35">
        <f t="shared" si="15"/>
        <v>0.38031079356523662</v>
      </c>
      <c r="Y55" s="35">
        <f t="shared" si="16"/>
        <v>48525.083630501023</v>
      </c>
    </row>
    <row r="56" spans="1:25" x14ac:dyDescent="0.3">
      <c r="A56" s="4" t="str">
        <f>DATASETS!A9</f>
        <v>PRES. QUIRINO AVE.</v>
      </c>
      <c r="B56" s="9">
        <f>DATASETS!C9</f>
        <v>116767</v>
      </c>
      <c r="C56" s="4">
        <f>DATASETS!B9</f>
        <v>2019</v>
      </c>
      <c r="D56" s="6">
        <f>DATASETS!I9</f>
        <v>953</v>
      </c>
      <c r="E56" s="9">
        <f>DATASETS!H9</f>
        <v>28.8</v>
      </c>
      <c r="F56" s="6">
        <f>DATASETS!D9</f>
        <v>1127</v>
      </c>
      <c r="G56" s="4" t="str">
        <f>DATASETS!E9</f>
        <v>Training</v>
      </c>
      <c r="H56" s="10">
        <f t="shared" si="0"/>
        <v>131596409</v>
      </c>
      <c r="I56" s="10">
        <f t="shared" si="17"/>
        <v>13634532289</v>
      </c>
      <c r="J56" s="10">
        <f t="shared" si="1"/>
        <v>1270129</v>
      </c>
      <c r="K56" s="35">
        <f t="shared" si="2"/>
        <v>1109.315669115545</v>
      </c>
      <c r="L56" s="35">
        <f t="shared" si="3"/>
        <v>17.684330884454994</v>
      </c>
      <c r="M56" s="35">
        <f t="shared" si="4"/>
        <v>17.684330884454994</v>
      </c>
      <c r="N56" s="35">
        <f t="shared" si="5"/>
        <v>312.73555883088875</v>
      </c>
      <c r="O56" s="35">
        <f t="shared" si="6"/>
        <v>567601.25714076986</v>
      </c>
      <c r="P56" s="35">
        <f t="shared" si="7"/>
        <v>955.56405321869113</v>
      </c>
      <c r="Q56" s="35">
        <f t="shared" si="8"/>
        <v>171.43594678130887</v>
      </c>
      <c r="R56" s="35">
        <f t="shared" si="9"/>
        <v>171.43594678130887</v>
      </c>
      <c r="S56" s="35">
        <f t="shared" si="10"/>
        <v>29390.283848803767</v>
      </c>
      <c r="T56" s="35">
        <f t="shared" si="11"/>
        <v>567601.25714076986</v>
      </c>
      <c r="U56" s="35">
        <f t="shared" si="12"/>
        <v>348.34319221295465</v>
      </c>
      <c r="V56" s="35">
        <f t="shared" si="13"/>
        <v>-48799.448643167234</v>
      </c>
      <c r="W56" s="35">
        <f t="shared" si="14"/>
        <v>881.20556287838338</v>
      </c>
      <c r="X56" s="35">
        <f t="shared" si="15"/>
        <v>0.38031079356523662</v>
      </c>
      <c r="Y56" s="35">
        <f t="shared" si="16"/>
        <v>48525.083630501023</v>
      </c>
    </row>
    <row r="57" spans="1:25" x14ac:dyDescent="0.3">
      <c r="A57" s="4" t="str">
        <f>DATASETS!A10</f>
        <v>PRES. QUIRINO AVE.</v>
      </c>
      <c r="B57" s="9">
        <f>DATASETS!C10</f>
        <v>84967</v>
      </c>
      <c r="C57" s="4">
        <f>DATASETS!B10</f>
        <v>2020</v>
      </c>
      <c r="D57" s="6">
        <f>DATASETS!I10</f>
        <v>1127</v>
      </c>
      <c r="E57" s="9">
        <f>DATASETS!H10</f>
        <v>28.8</v>
      </c>
      <c r="F57" s="6">
        <f>DATASETS!D10</f>
        <v>484</v>
      </c>
      <c r="G57" s="4" t="str">
        <f>DATASETS!E10</f>
        <v>Training</v>
      </c>
      <c r="H57" s="10">
        <f t="shared" si="0"/>
        <v>41124028</v>
      </c>
      <c r="I57" s="10">
        <f t="shared" si="17"/>
        <v>7219391089</v>
      </c>
      <c r="J57" s="10">
        <f t="shared" si="1"/>
        <v>234256</v>
      </c>
      <c r="K57" s="35">
        <f t="shared" si="2"/>
        <v>620.23045364903328</v>
      </c>
      <c r="L57" s="35">
        <f t="shared" si="3"/>
        <v>-136.23045364903328</v>
      </c>
      <c r="M57" s="35">
        <f t="shared" si="4"/>
        <v>136.23045364903328</v>
      </c>
      <c r="N57" s="35">
        <f t="shared" si="5"/>
        <v>18558.736501421405</v>
      </c>
      <c r="O57" s="35">
        <f t="shared" si="6"/>
        <v>1949913.8639783766</v>
      </c>
      <c r="P57" s="35">
        <f t="shared" si="7"/>
        <v>997.41880560109053</v>
      </c>
      <c r="Q57" s="35">
        <f t="shared" si="8"/>
        <v>-513.41880560109053</v>
      </c>
      <c r="R57" s="35">
        <f t="shared" si="9"/>
        <v>513.41880560109053</v>
      </c>
      <c r="S57" s="35">
        <f t="shared" si="10"/>
        <v>263598.86994485039</v>
      </c>
      <c r="T57" s="35">
        <f t="shared" si="11"/>
        <v>1949913.8639783766</v>
      </c>
      <c r="U57" s="35">
        <f t="shared" si="12"/>
        <v>253.47637614016048</v>
      </c>
      <c r="V57" s="35">
        <f t="shared" si="13"/>
        <v>-48823.618751460039</v>
      </c>
      <c r="W57" s="35">
        <f t="shared" si="14"/>
        <v>1042.0972396263778</v>
      </c>
      <c r="X57" s="35">
        <f t="shared" si="15"/>
        <v>0.38031079356523662</v>
      </c>
      <c r="Y57" s="35">
        <f t="shared" si="16"/>
        <v>48525.083630501023</v>
      </c>
    </row>
    <row r="58" spans="1:25" x14ac:dyDescent="0.3">
      <c r="A58" s="4" t="str">
        <f>DATASETS!A11</f>
        <v>PRES. QUIRINO AVE.</v>
      </c>
      <c r="B58" s="9">
        <f>DATASETS!C11</f>
        <v>72582</v>
      </c>
      <c r="C58" s="4">
        <f>DATASETS!B11</f>
        <v>2021</v>
      </c>
      <c r="D58" s="6">
        <f>DATASETS!I11</f>
        <v>484</v>
      </c>
      <c r="E58" s="9">
        <f>DATASETS!H11</f>
        <v>28.8</v>
      </c>
      <c r="F58" s="6">
        <f>DATASETS!D11</f>
        <v>350</v>
      </c>
      <c r="G58" s="4" t="str">
        <f>DATASETS!E11</f>
        <v>Training</v>
      </c>
      <c r="H58" s="10">
        <f t="shared" si="0"/>
        <v>25403700</v>
      </c>
      <c r="I58" s="10">
        <f t="shared" si="17"/>
        <v>5268146724</v>
      </c>
      <c r="J58" s="10">
        <f t="shared" si="1"/>
        <v>122500</v>
      </c>
      <c r="K58" s="35">
        <f t="shared" si="2"/>
        <v>429.74868026687136</v>
      </c>
      <c r="L58" s="35">
        <f t="shared" si="3"/>
        <v>-79.748680266871361</v>
      </c>
      <c r="M58" s="35">
        <f t="shared" si="4"/>
        <v>79.748680266871361</v>
      </c>
      <c r="N58" s="35">
        <f t="shared" si="5"/>
        <v>6359.8520043076778</v>
      </c>
      <c r="O58" s="35">
        <f t="shared" si="6"/>
        <v>2342103.2314997441</v>
      </c>
      <c r="P58" s="35">
        <f t="shared" si="7"/>
        <v>341.74188188400876</v>
      </c>
      <c r="Q58" s="35">
        <f t="shared" si="8"/>
        <v>8.2581181159912376</v>
      </c>
      <c r="R58" s="35">
        <f t="shared" si="9"/>
        <v>8.2581181159912376</v>
      </c>
      <c r="S58" s="35">
        <f t="shared" si="10"/>
        <v>68.196514817662674</v>
      </c>
      <c r="T58" s="35">
        <f t="shared" si="11"/>
        <v>2342103.2314997441</v>
      </c>
      <c r="U58" s="35">
        <f t="shared" si="12"/>
        <v>216.52903283633796</v>
      </c>
      <c r="V58" s="35">
        <f t="shared" si="13"/>
        <v>-48847.788859752836</v>
      </c>
      <c r="W58" s="35">
        <f t="shared" si="14"/>
        <v>447.53776750591561</v>
      </c>
      <c r="X58" s="35">
        <f t="shared" si="15"/>
        <v>0.38031079356523662</v>
      </c>
      <c r="Y58" s="35">
        <f t="shared" si="16"/>
        <v>48525.083630501023</v>
      </c>
    </row>
    <row r="59" spans="1:25" x14ac:dyDescent="0.3">
      <c r="A59" s="4" t="str">
        <f>DATASETS!A12</f>
        <v>PRES. QUIRINO AVE.</v>
      </c>
      <c r="B59" s="9">
        <f>DATASETS!C12</f>
        <v>147617</v>
      </c>
      <c r="C59" s="4">
        <f>DATASETS!B12</f>
        <v>2022</v>
      </c>
      <c r="D59" s="6">
        <f>DATASETS!I12</f>
        <v>350</v>
      </c>
      <c r="E59" s="9">
        <f>DATASETS!H12</f>
        <v>28.8</v>
      </c>
      <c r="F59" s="6">
        <f>DATASETS!D12</f>
        <v>808</v>
      </c>
      <c r="G59" s="4" t="str">
        <f>DATASETS!E12</f>
        <v>Training</v>
      </c>
      <c r="H59" s="10">
        <f t="shared" si="0"/>
        <v>119274536</v>
      </c>
      <c r="I59" s="10">
        <f t="shared" si="17"/>
        <v>21790778689</v>
      </c>
      <c r="J59" s="10">
        <f t="shared" si="1"/>
        <v>652864</v>
      </c>
      <c r="K59" s="35">
        <f t="shared" si="2"/>
        <v>1583.7898482709504</v>
      </c>
      <c r="L59" s="35">
        <f t="shared" si="3"/>
        <v>-775.78984827095042</v>
      </c>
      <c r="M59" s="35">
        <f t="shared" si="4"/>
        <v>775.78984827095042</v>
      </c>
      <c r="N59" s="35">
        <f t="shared" si="5"/>
        <v>601849.88868026424</v>
      </c>
      <c r="O59" s="35">
        <f t="shared" si="6"/>
        <v>1150027.0947476076</v>
      </c>
      <c r="P59" s="35">
        <f t="shared" si="7"/>
        <v>417.51359309913317</v>
      </c>
      <c r="Q59" s="35">
        <f t="shared" si="8"/>
        <v>390.48640690086683</v>
      </c>
      <c r="R59" s="35">
        <f t="shared" si="9"/>
        <v>390.48640690086683</v>
      </c>
      <c r="S59" s="35">
        <f t="shared" si="10"/>
        <v>152479.63397434933</v>
      </c>
      <c r="T59" s="35">
        <f t="shared" si="11"/>
        <v>1150027.0947476076</v>
      </c>
      <c r="U59" s="35">
        <f t="shared" si="12"/>
        <v>440.37593673640436</v>
      </c>
      <c r="V59" s="35">
        <f t="shared" si="13"/>
        <v>-48871.958968045641</v>
      </c>
      <c r="W59" s="35">
        <f t="shared" si="14"/>
        <v>323.63268311378192</v>
      </c>
      <c r="X59" s="35">
        <f t="shared" si="15"/>
        <v>0.38031079356523662</v>
      </c>
      <c r="Y59" s="35">
        <f t="shared" si="16"/>
        <v>48525.083630501023</v>
      </c>
    </row>
    <row r="60" spans="1:25" x14ac:dyDescent="0.3">
      <c r="A60" s="4" t="str">
        <f>DATASETS!A13</f>
        <v>PRES. QUIRINO AVE.</v>
      </c>
      <c r="B60" s="9">
        <f>DATASETS!C13</f>
        <v>177881</v>
      </c>
      <c r="C60" s="4">
        <f>DATASETS!B13</f>
        <v>2023</v>
      </c>
      <c r="D60" s="6">
        <f>DATASETS!I13</f>
        <v>808</v>
      </c>
      <c r="E60" s="9">
        <f>DATASETS!H13</f>
        <v>28.8</v>
      </c>
      <c r="F60" s="6">
        <f>DATASETS!D13</f>
        <v>951</v>
      </c>
      <c r="G60" s="4" t="str">
        <f>DATASETS!E13</f>
        <v>Training</v>
      </c>
      <c r="H60" s="10">
        <f t="shared" si="0"/>
        <v>169164831</v>
      </c>
      <c r="I60" s="10">
        <f t="shared" si="17"/>
        <v>31641650161</v>
      </c>
      <c r="J60" s="10">
        <f t="shared" si="1"/>
        <v>904401</v>
      </c>
      <c r="K60" s="35">
        <f t="shared" si="2"/>
        <v>2049.2513250281363</v>
      </c>
      <c r="L60" s="35">
        <f t="shared" si="3"/>
        <v>-1098.2513250281363</v>
      </c>
      <c r="M60" s="35">
        <f t="shared" si="4"/>
        <v>1098.2513250281363</v>
      </c>
      <c r="N60" s="35">
        <f t="shared" si="5"/>
        <v>1206155.9729260572</v>
      </c>
      <c r="O60" s="35">
        <f t="shared" si="6"/>
        <v>863771.6503031631</v>
      </c>
      <c r="P60" s="35">
        <f t="shared" si="7"/>
        <v>907.12453714342234</v>
      </c>
      <c r="Q60" s="35">
        <f t="shared" si="8"/>
        <v>43.875462856577656</v>
      </c>
      <c r="R60" s="35">
        <f t="shared" si="9"/>
        <v>43.875462856577656</v>
      </c>
      <c r="S60" s="35">
        <f t="shared" si="10"/>
        <v>1925.0562408789256</v>
      </c>
      <c r="T60" s="35">
        <f t="shared" si="11"/>
        <v>863771.6503031631</v>
      </c>
      <c r="U60" s="35">
        <f t="shared" si="12"/>
        <v>530.66050659889004</v>
      </c>
      <c r="V60" s="35">
        <f t="shared" si="13"/>
        <v>-48896.129076338446</v>
      </c>
      <c r="W60" s="35">
        <f t="shared" si="14"/>
        <v>747.12916558838799</v>
      </c>
      <c r="X60" s="35">
        <f t="shared" si="15"/>
        <v>0.38031079356523662</v>
      </c>
      <c r="Y60" s="35">
        <f t="shared" si="16"/>
        <v>48525.083630501023</v>
      </c>
    </row>
    <row r="61" spans="1:25" x14ac:dyDescent="0.3">
      <c r="A61" s="4" t="str">
        <f>DATASETS!A14</f>
        <v>PRES. QUIRINO AVE.</v>
      </c>
      <c r="B61" s="9">
        <f>DATASETS!C14</f>
        <v>195138</v>
      </c>
      <c r="C61" s="4">
        <f>DATASETS!B14</f>
        <v>2024</v>
      </c>
      <c r="D61" s="6">
        <f>DATASETS!I14</f>
        <v>951</v>
      </c>
      <c r="E61" s="9">
        <f>DATASETS!H14</f>
        <v>28.8</v>
      </c>
      <c r="F61" s="6">
        <f>DATASETS!D14</f>
        <v>1041</v>
      </c>
      <c r="G61" s="4" t="str">
        <f>DATASETS!E14</f>
        <v>Training</v>
      </c>
      <c r="H61" s="10">
        <f t="shared" si="0"/>
        <v>203138658</v>
      </c>
      <c r="I61" s="10">
        <f t="shared" si="17"/>
        <v>38078839044</v>
      </c>
      <c r="J61" s="10">
        <f t="shared" si="1"/>
        <v>1083681</v>
      </c>
      <c r="K61" s="35">
        <f t="shared" si="2"/>
        <v>2314.6646446289415</v>
      </c>
      <c r="L61" s="35">
        <f t="shared" si="3"/>
        <v>-1273.6646446289415</v>
      </c>
      <c r="M61" s="35">
        <f t="shared" si="4"/>
        <v>1273.6646446289415</v>
      </c>
      <c r="N61" s="35">
        <f t="shared" si="5"/>
        <v>1622221.6269777678</v>
      </c>
      <c r="O61" s="35">
        <f t="shared" si="6"/>
        <v>704580.88107239385</v>
      </c>
      <c r="P61" s="35">
        <f t="shared" si="7"/>
        <v>1066.6631520249732</v>
      </c>
      <c r="Q61" s="35">
        <f t="shared" si="8"/>
        <v>-25.663152024973215</v>
      </c>
      <c r="R61" s="35">
        <f t="shared" si="9"/>
        <v>25.663152024973215</v>
      </c>
      <c r="S61" s="35">
        <f t="shared" si="10"/>
        <v>658.59737185688687</v>
      </c>
      <c r="T61" s="35">
        <f t="shared" si="11"/>
        <v>704580.88107239385</v>
      </c>
      <c r="U61" s="35">
        <f t="shared" si="12"/>
        <v>582.14216210103496</v>
      </c>
      <c r="V61" s="35">
        <f t="shared" si="13"/>
        <v>-48920.299184631243</v>
      </c>
      <c r="W61" s="35">
        <f t="shared" si="14"/>
        <v>879.35623326059033</v>
      </c>
      <c r="X61" s="35">
        <f t="shared" si="15"/>
        <v>0.38031079356523662</v>
      </c>
      <c r="Y61" s="35">
        <f t="shared" si="16"/>
        <v>48525.083630501023</v>
      </c>
    </row>
    <row r="62" spans="1:25" x14ac:dyDescent="0.3">
      <c r="A62" s="4" t="str">
        <f>DATASETS!A16</f>
        <v>C.P. GARCIA /KATIPUNAN AVE. / TANDANG SORA</v>
      </c>
      <c r="B62" s="9">
        <f>DATASETS!C16</f>
        <v>218155</v>
      </c>
      <c r="C62" s="4">
        <f>DATASETS!B16</f>
        <v>2016</v>
      </c>
      <c r="D62" s="6">
        <f>DATASETS!I16</f>
        <v>4598</v>
      </c>
      <c r="E62" s="9">
        <f>DATASETS!H16</f>
        <v>438.7</v>
      </c>
      <c r="F62" s="6">
        <f>DATASETS!D16</f>
        <v>5911</v>
      </c>
      <c r="G62" s="4" t="str">
        <f>DATASETS!E16</f>
        <v>Training</v>
      </c>
      <c r="H62" s="10">
        <f t="shared" si="0"/>
        <v>1289514205</v>
      </c>
      <c r="I62" s="10">
        <f t="shared" si="17"/>
        <v>47591604025</v>
      </c>
      <c r="J62" s="10">
        <f t="shared" si="1"/>
        <v>34939921</v>
      </c>
      <c r="K62" s="35">
        <f t="shared" si="2"/>
        <v>2668.666984389718</v>
      </c>
      <c r="L62" s="35">
        <f t="shared" si="3"/>
        <v>3242.333015610282</v>
      </c>
      <c r="M62" s="35">
        <f t="shared" si="4"/>
        <v>3242.333015610282</v>
      </c>
      <c r="N62" s="35">
        <f t="shared" si="5"/>
        <v>10512723.384116465</v>
      </c>
      <c r="O62" s="35">
        <f t="shared" si="6"/>
        <v>16245791.479362994</v>
      </c>
      <c r="P62" s="35">
        <f t="shared" si="7"/>
        <v>4706.3544813941589</v>
      </c>
      <c r="Q62" s="35">
        <f t="shared" si="8"/>
        <v>1204.6455186058411</v>
      </c>
      <c r="R62" s="35">
        <f t="shared" si="9"/>
        <v>1204.6455186058411</v>
      </c>
      <c r="S62" s="35">
        <f t="shared" si="10"/>
        <v>1451170.8254971358</v>
      </c>
      <c r="T62" s="35">
        <f t="shared" si="11"/>
        <v>16245791.479362994</v>
      </c>
      <c r="U62" s="35">
        <f t="shared" si="12"/>
        <v>650.80724089183695</v>
      </c>
      <c r="V62" s="35">
        <f t="shared" si="13"/>
        <v>-48726.938318288827</v>
      </c>
      <c r="W62" s="35">
        <f t="shared" si="14"/>
        <v>4251.6087913061983</v>
      </c>
      <c r="X62" s="35">
        <f t="shared" si="15"/>
        <v>5.7931369839260167</v>
      </c>
      <c r="Y62" s="35">
        <f t="shared" si="16"/>
        <v>48525.083630501023</v>
      </c>
    </row>
    <row r="63" spans="1:25" x14ac:dyDescent="0.3">
      <c r="A63" s="4" t="str">
        <f>DATASETS!A17</f>
        <v>C.P. GARCIA /KATIPUNAN AVE. / TANDANG SORA</v>
      </c>
      <c r="B63" s="9">
        <f>DATASETS!C17</f>
        <v>218751</v>
      </c>
      <c r="C63" s="4">
        <f>DATASETS!B17</f>
        <v>2017</v>
      </c>
      <c r="D63" s="6">
        <f>DATASETS!I17</f>
        <v>5911</v>
      </c>
      <c r="E63" s="9">
        <f>DATASETS!H17</f>
        <v>438.7</v>
      </c>
      <c r="F63" s="6">
        <f>DATASETS!D17</f>
        <v>5794</v>
      </c>
      <c r="G63" s="4" t="str">
        <f>DATASETS!E17</f>
        <v>Training</v>
      </c>
      <c r="H63" s="10">
        <f t="shared" si="0"/>
        <v>1267443294</v>
      </c>
      <c r="I63" s="10">
        <f t="shared" si="17"/>
        <v>47852000001</v>
      </c>
      <c r="J63" s="10">
        <f t="shared" si="1"/>
        <v>33570436</v>
      </c>
      <c r="K63" s="35">
        <f t="shared" si="2"/>
        <v>2677.8334871701591</v>
      </c>
      <c r="L63" s="35">
        <f t="shared" si="3"/>
        <v>3116.1665128298409</v>
      </c>
      <c r="M63" s="35">
        <f t="shared" si="4"/>
        <v>3116.1665128298409</v>
      </c>
      <c r="N63" s="35">
        <f t="shared" si="5"/>
        <v>9710493.7356820907</v>
      </c>
      <c r="O63" s="35">
        <f t="shared" si="6"/>
        <v>15316318.479362994</v>
      </c>
      <c r="P63" s="35">
        <f t="shared" si="7"/>
        <v>5898.0472741755439</v>
      </c>
      <c r="Q63" s="35">
        <f t="shared" si="8"/>
        <v>-104.04727417554386</v>
      </c>
      <c r="R63" s="35">
        <f t="shared" si="9"/>
        <v>104.04727417554386</v>
      </c>
      <c r="S63" s="35">
        <f t="shared" si="10"/>
        <v>10825.835263360797</v>
      </c>
      <c r="T63" s="35">
        <f t="shared" si="11"/>
        <v>15316318.479362994</v>
      </c>
      <c r="U63" s="35">
        <f t="shared" si="12"/>
        <v>652.58524788489945</v>
      </c>
      <c r="V63" s="35">
        <f t="shared" si="13"/>
        <v>-48751.108426581632</v>
      </c>
      <c r="W63" s="35">
        <f t="shared" si="14"/>
        <v>5465.6936853873285</v>
      </c>
      <c r="X63" s="35">
        <f t="shared" si="15"/>
        <v>5.7931369839260167</v>
      </c>
      <c r="Y63" s="35">
        <f t="shared" si="16"/>
        <v>48525.083630501023</v>
      </c>
    </row>
    <row r="64" spans="1:25" x14ac:dyDescent="0.3">
      <c r="A64" s="4" t="str">
        <f>DATASETS!A18</f>
        <v>C.P. GARCIA /KATIPUNAN AVE. / TANDANG SORA</v>
      </c>
      <c r="B64" s="9">
        <f>DATASETS!C18</f>
        <v>235744</v>
      </c>
      <c r="C64" s="4">
        <f>DATASETS!B18</f>
        <v>2018</v>
      </c>
      <c r="D64" s="6">
        <f>DATASETS!I18</f>
        <v>5794</v>
      </c>
      <c r="E64" s="9">
        <f>DATASETS!H18</f>
        <v>438.7</v>
      </c>
      <c r="F64" s="6">
        <f>DATASETS!D18</f>
        <v>8252</v>
      </c>
      <c r="G64" s="4" t="str">
        <f>DATASETS!E18</f>
        <v>Training</v>
      </c>
      <c r="H64" s="10">
        <f t="shared" si="0"/>
        <v>1945359488</v>
      </c>
      <c r="I64" s="10">
        <f t="shared" si="17"/>
        <v>55575233536</v>
      </c>
      <c r="J64" s="10">
        <f t="shared" si="1"/>
        <v>68095504</v>
      </c>
      <c r="K64" s="35">
        <f t="shared" si="2"/>
        <v>2939.1864766802992</v>
      </c>
      <c r="L64" s="35">
        <f t="shared" si="3"/>
        <v>5312.8135233197008</v>
      </c>
      <c r="M64" s="35">
        <f t="shared" si="4"/>
        <v>5312.8135233197008</v>
      </c>
      <c r="N64" s="35">
        <f t="shared" si="5"/>
        <v>28225987.533568695</v>
      </c>
      <c r="O64" s="35">
        <f t="shared" si="6"/>
        <v>40597373.69303821</v>
      </c>
      <c r="P64" s="35">
        <f t="shared" si="7"/>
        <v>5816.3854651765969</v>
      </c>
      <c r="Q64" s="35">
        <f t="shared" si="8"/>
        <v>2435.6145348234031</v>
      </c>
      <c r="R64" s="35">
        <f t="shared" si="9"/>
        <v>2435.6145348234031</v>
      </c>
      <c r="S64" s="35">
        <f t="shared" si="10"/>
        <v>5932218.1622430226</v>
      </c>
      <c r="T64" s="35">
        <f t="shared" si="11"/>
        <v>40597373.69303821</v>
      </c>
      <c r="U64" s="35">
        <f t="shared" si="12"/>
        <v>703.2793298196475</v>
      </c>
      <c r="V64" s="35">
        <f t="shared" si="13"/>
        <v>-48775.278534874436</v>
      </c>
      <c r="W64" s="35">
        <f t="shared" si="14"/>
        <v>5357.5079027464353</v>
      </c>
      <c r="X64" s="35">
        <f t="shared" si="15"/>
        <v>5.7931369839260167</v>
      </c>
      <c r="Y64" s="35">
        <f t="shared" si="16"/>
        <v>48525.083630501023</v>
      </c>
    </row>
    <row r="65" spans="1:25" x14ac:dyDescent="0.3">
      <c r="A65" s="4" t="str">
        <f>DATASETS!A19</f>
        <v>C.P. GARCIA /KATIPUNAN AVE. / TANDANG SORA</v>
      </c>
      <c r="B65" s="9">
        <f>DATASETS!C19</f>
        <v>236060</v>
      </c>
      <c r="C65" s="4">
        <f>DATASETS!B19</f>
        <v>2019</v>
      </c>
      <c r="D65" s="6">
        <f>DATASETS!I19</f>
        <v>8252</v>
      </c>
      <c r="E65" s="9">
        <f>DATASETS!H19</f>
        <v>438.7</v>
      </c>
      <c r="F65" s="6">
        <f>DATASETS!D19</f>
        <v>8735</v>
      </c>
      <c r="G65" s="4" t="str">
        <f>DATASETS!E19</f>
        <v>Training</v>
      </c>
      <c r="H65" s="10">
        <f t="shared" si="0"/>
        <v>2061984100</v>
      </c>
      <c r="I65" s="10">
        <f t="shared" si="17"/>
        <v>55724323600</v>
      </c>
      <c r="J65" s="10">
        <f t="shared" si="1"/>
        <v>76300225</v>
      </c>
      <c r="K65" s="35">
        <f t="shared" si="2"/>
        <v>2944.0465687585192</v>
      </c>
      <c r="L65" s="35">
        <f t="shared" si="3"/>
        <v>5790.9534312414808</v>
      </c>
      <c r="M65" s="35">
        <f t="shared" si="4"/>
        <v>5790.9534312414808</v>
      </c>
      <c r="N65" s="35">
        <f t="shared" si="5"/>
        <v>33535141.64280748</v>
      </c>
      <c r="O65" s="35">
        <f t="shared" si="6"/>
        <v>46985634.898166418</v>
      </c>
      <c r="P65" s="35">
        <f t="shared" si="7"/>
        <v>8065.9841588457539</v>
      </c>
      <c r="Q65" s="35">
        <f t="shared" si="8"/>
        <v>669.01584115424612</v>
      </c>
      <c r="R65" s="35">
        <f t="shared" si="9"/>
        <v>669.01584115424612</v>
      </c>
      <c r="S65" s="35">
        <f t="shared" si="10"/>
        <v>447582.1957153235</v>
      </c>
      <c r="T65" s="35">
        <f t="shared" si="11"/>
        <v>46985634.898166418</v>
      </c>
      <c r="U65" s="35">
        <f t="shared" si="12"/>
        <v>704.22203151395581</v>
      </c>
      <c r="V65" s="35">
        <f t="shared" si="13"/>
        <v>-48799.448643167234</v>
      </c>
      <c r="W65" s="35">
        <f t="shared" si="14"/>
        <v>7630.3340030140816</v>
      </c>
      <c r="X65" s="35">
        <f t="shared" si="15"/>
        <v>5.7931369839260167</v>
      </c>
      <c r="Y65" s="35">
        <f t="shared" si="16"/>
        <v>48525.083630501023</v>
      </c>
    </row>
    <row r="66" spans="1:25" x14ac:dyDescent="0.3">
      <c r="A66" s="4" t="str">
        <f>DATASETS!A20</f>
        <v>C.P. GARCIA /KATIPUNAN AVE. / TANDANG SORA</v>
      </c>
      <c r="B66" s="9">
        <f>DATASETS!C20</f>
        <v>192418</v>
      </c>
      <c r="C66" s="4">
        <f>DATASETS!B20</f>
        <v>2020</v>
      </c>
      <c r="D66" s="6">
        <f>DATASETS!I20</f>
        <v>8735</v>
      </c>
      <c r="E66" s="9">
        <f>DATASETS!H20</f>
        <v>438.7</v>
      </c>
      <c r="F66" s="6">
        <f>DATASETS!D20</f>
        <v>5208</v>
      </c>
      <c r="G66" s="4" t="str">
        <f>DATASETS!E20</f>
        <v>Training</v>
      </c>
      <c r="H66" s="10">
        <f t="shared" si="0"/>
        <v>1002112944</v>
      </c>
      <c r="I66" s="10">
        <f t="shared" si="17"/>
        <v>37024686724</v>
      </c>
      <c r="J66" s="10">
        <f t="shared" si="1"/>
        <v>27123264</v>
      </c>
      <c r="K66" s="35">
        <f t="shared" si="2"/>
        <v>2272.8309406645103</v>
      </c>
      <c r="L66" s="35">
        <f t="shared" si="3"/>
        <v>2935.1690593354897</v>
      </c>
      <c r="M66" s="35">
        <f t="shared" si="4"/>
        <v>2935.1690593354897</v>
      </c>
      <c r="N66" s="35">
        <f t="shared" si="5"/>
        <v>8615217.4068803843</v>
      </c>
      <c r="O66" s="35">
        <f t="shared" si="6"/>
        <v>11072967.26568778</v>
      </c>
      <c r="P66" s="35">
        <f t="shared" si="7"/>
        <v>8358.2328895062947</v>
      </c>
      <c r="Q66" s="35">
        <f t="shared" si="8"/>
        <v>-3150.2328895062947</v>
      </c>
      <c r="R66" s="35">
        <f t="shared" si="9"/>
        <v>3150.2328895062947</v>
      </c>
      <c r="S66" s="35">
        <f t="shared" si="10"/>
        <v>9923967.258127179</v>
      </c>
      <c r="T66" s="35">
        <f t="shared" si="11"/>
        <v>11072967.26568778</v>
      </c>
      <c r="U66" s="35">
        <f t="shared" si="12"/>
        <v>574.02776777028021</v>
      </c>
      <c r="V66" s="35">
        <f t="shared" si="13"/>
        <v>-48823.618751460039</v>
      </c>
      <c r="W66" s="35">
        <f t="shared" si="14"/>
        <v>8076.9471057111004</v>
      </c>
      <c r="X66" s="35">
        <f t="shared" si="15"/>
        <v>5.7931369839260167</v>
      </c>
      <c r="Y66" s="35">
        <f t="shared" si="16"/>
        <v>48525.083630501023</v>
      </c>
    </row>
    <row r="67" spans="1:25" x14ac:dyDescent="0.3">
      <c r="A67" s="4" t="str">
        <f>DATASETS!A21</f>
        <v>C.P. GARCIA /KATIPUNAN AVE. / TANDANG SORA</v>
      </c>
      <c r="B67" s="9">
        <f>DATASETS!C21</f>
        <v>212285</v>
      </c>
      <c r="C67" s="4">
        <f>DATASETS!B21</f>
        <v>2021</v>
      </c>
      <c r="D67" s="6">
        <f>DATASETS!I21</f>
        <v>5208</v>
      </c>
      <c r="E67" s="9">
        <f>DATASETS!H21</f>
        <v>438.7</v>
      </c>
      <c r="F67" s="6">
        <f>DATASETS!D21</f>
        <v>5769</v>
      </c>
      <c r="G67" s="4" t="str">
        <f>DATASETS!E21</f>
        <v>Training</v>
      </c>
      <c r="H67" s="10">
        <f t="shared" si="0"/>
        <v>1224672165</v>
      </c>
      <c r="I67" s="10">
        <f t="shared" si="17"/>
        <v>45064921225</v>
      </c>
      <c r="J67" s="10">
        <f t="shared" si="1"/>
        <v>33281361</v>
      </c>
      <c r="K67" s="35">
        <f t="shared" si="2"/>
        <v>2578.3861600253022</v>
      </c>
      <c r="L67" s="35">
        <f t="shared" si="3"/>
        <v>3190.6138399746978</v>
      </c>
      <c r="M67" s="35">
        <f t="shared" si="4"/>
        <v>3190.6138399746978</v>
      </c>
      <c r="N67" s="35">
        <f t="shared" si="5"/>
        <v>10180016.675838087</v>
      </c>
      <c r="O67" s="35">
        <f t="shared" si="6"/>
        <v>15121263.137482652</v>
      </c>
      <c r="P67" s="35">
        <f t="shared" si="7"/>
        <v>5132.0378944152872</v>
      </c>
      <c r="Q67" s="35">
        <f t="shared" si="8"/>
        <v>636.96210558471284</v>
      </c>
      <c r="R67" s="35">
        <f t="shared" si="9"/>
        <v>636.96210558471284</v>
      </c>
      <c r="S67" s="35">
        <f t="shared" si="10"/>
        <v>405720.72395091085</v>
      </c>
      <c r="T67" s="35">
        <f t="shared" si="11"/>
        <v>15121263.137482652</v>
      </c>
      <c r="U67" s="35">
        <f t="shared" si="12"/>
        <v>633.29566195009795</v>
      </c>
      <c r="V67" s="35">
        <f t="shared" si="13"/>
        <v>-48847.788859752836</v>
      </c>
      <c r="W67" s="35">
        <f t="shared" si="14"/>
        <v>4815.6543247330756</v>
      </c>
      <c r="X67" s="35">
        <f t="shared" si="15"/>
        <v>5.7931369839260167</v>
      </c>
      <c r="Y67" s="35">
        <f t="shared" si="16"/>
        <v>48525.083630501023</v>
      </c>
    </row>
    <row r="68" spans="1:25" x14ac:dyDescent="0.3">
      <c r="A68" s="4" t="str">
        <f>DATASETS!A22</f>
        <v>C.P. GARCIA /KATIPUNAN AVE. / TANDANG SORA</v>
      </c>
      <c r="B68" s="9">
        <f>DATASETS!C22</f>
        <v>211819</v>
      </c>
      <c r="C68" s="4">
        <f>DATASETS!B22</f>
        <v>2022</v>
      </c>
      <c r="D68" s="6">
        <f>DATASETS!I22</f>
        <v>5769</v>
      </c>
      <c r="E68" s="9">
        <f>DATASETS!H22</f>
        <v>438.7</v>
      </c>
      <c r="F68" s="6">
        <f>DATASETS!D22</f>
        <v>7255</v>
      </c>
      <c r="G68" s="4" t="str">
        <f>DATASETS!E22</f>
        <v>Training</v>
      </c>
      <c r="H68" s="10">
        <f t="shared" si="0"/>
        <v>1536746845</v>
      </c>
      <c r="I68" s="10">
        <f t="shared" si="17"/>
        <v>44867288761</v>
      </c>
      <c r="J68" s="10">
        <f t="shared" si="1"/>
        <v>52635025</v>
      </c>
      <c r="K68" s="35">
        <f t="shared" si="2"/>
        <v>2571.2190622137487</v>
      </c>
      <c r="L68" s="35">
        <f t="shared" si="3"/>
        <v>4683.7809377862513</v>
      </c>
      <c r="M68" s="35">
        <f t="shared" si="4"/>
        <v>4683.7809377862513</v>
      </c>
      <c r="N68" s="35">
        <f t="shared" si="5"/>
        <v>21937803.873169854</v>
      </c>
      <c r="O68" s="35">
        <f t="shared" si="6"/>
        <v>28886398.658850174</v>
      </c>
      <c r="P68" s="35">
        <f t="shared" si="7"/>
        <v>5625.2145572376494</v>
      </c>
      <c r="Q68" s="35">
        <f t="shared" si="8"/>
        <v>1629.7854427623506</v>
      </c>
      <c r="R68" s="35">
        <f t="shared" si="9"/>
        <v>1629.7854427623506</v>
      </c>
      <c r="S68" s="35">
        <f t="shared" si="10"/>
        <v>2656200.589440071</v>
      </c>
      <c r="T68" s="35">
        <f t="shared" si="11"/>
        <v>28886398.658850174</v>
      </c>
      <c r="U68" s="35">
        <f t="shared" si="12"/>
        <v>631.9054752743142</v>
      </c>
      <c r="V68" s="35">
        <f t="shared" si="13"/>
        <v>-48871.958968045641</v>
      </c>
      <c r="W68" s="35">
        <f t="shared" si="14"/>
        <v>5334.3912825240232</v>
      </c>
      <c r="X68" s="35">
        <f t="shared" si="15"/>
        <v>5.7931369839260167</v>
      </c>
      <c r="Y68" s="35">
        <f t="shared" si="16"/>
        <v>48525.083630501023</v>
      </c>
    </row>
    <row r="69" spans="1:25" x14ac:dyDescent="0.3">
      <c r="A69" s="4" t="str">
        <f>DATASETS!A23</f>
        <v>C.P. GARCIA /KATIPUNAN AVE. / TANDANG SORA</v>
      </c>
      <c r="B69" s="9">
        <f>DATASETS!C23</f>
        <v>238695</v>
      </c>
      <c r="C69" s="4">
        <f>DATASETS!B23</f>
        <v>2023</v>
      </c>
      <c r="D69" s="6">
        <f>DATASETS!I23</f>
        <v>7255</v>
      </c>
      <c r="E69" s="9">
        <f>DATASETS!H23</f>
        <v>438.7</v>
      </c>
      <c r="F69" s="6">
        <f>DATASETS!D23</f>
        <v>8119</v>
      </c>
      <c r="G69" s="4" t="str">
        <f>DATASETS!E23</f>
        <v>Training</v>
      </c>
      <c r="H69" s="10">
        <f t="shared" si="0"/>
        <v>1937964705</v>
      </c>
      <c r="I69" s="10">
        <f t="shared" si="17"/>
        <v>56975303025</v>
      </c>
      <c r="J69" s="10">
        <f t="shared" si="1"/>
        <v>65918161</v>
      </c>
      <c r="K69" s="35">
        <f t="shared" si="2"/>
        <v>2984.5729694740621</v>
      </c>
      <c r="L69" s="35">
        <f t="shared" si="3"/>
        <v>5134.4270305259379</v>
      </c>
      <c r="M69" s="35">
        <f t="shared" si="4"/>
        <v>5134.4270305259379</v>
      </c>
      <c r="N69" s="35">
        <f t="shared" si="5"/>
        <v>26362340.9317954</v>
      </c>
      <c r="O69" s="35">
        <f t="shared" si="6"/>
        <v>38920215.274234787</v>
      </c>
      <c r="P69" s="35">
        <f t="shared" si="7"/>
        <v>7055.2737307126326</v>
      </c>
      <c r="Q69" s="35">
        <f t="shared" si="8"/>
        <v>1063.7262692873674</v>
      </c>
      <c r="R69" s="35">
        <f t="shared" si="9"/>
        <v>1063.7262692873674</v>
      </c>
      <c r="S69" s="35">
        <f t="shared" si="10"/>
        <v>1131513.5759720209</v>
      </c>
      <c r="T69" s="35">
        <f t="shared" si="11"/>
        <v>38920215.274234787</v>
      </c>
      <c r="U69" s="35">
        <f t="shared" si="12"/>
        <v>712.08285102187449</v>
      </c>
      <c r="V69" s="35">
        <f t="shared" si="13"/>
        <v>-48896.129076338446</v>
      </c>
      <c r="W69" s="35">
        <f t="shared" si="14"/>
        <v>6708.4431885442509</v>
      </c>
      <c r="X69" s="35">
        <f t="shared" si="15"/>
        <v>5.7931369839260167</v>
      </c>
      <c r="Y69" s="35">
        <f t="shared" si="16"/>
        <v>48525.083630501023</v>
      </c>
    </row>
    <row r="70" spans="1:25" x14ac:dyDescent="0.3">
      <c r="A70" s="4" t="str">
        <f>DATASETS!A24</f>
        <v>C.P. GARCIA /KATIPUNAN AVE. / TANDANG SORA</v>
      </c>
      <c r="B70" s="9">
        <f>DATASETS!C24</f>
        <v>250762</v>
      </c>
      <c r="C70" s="4">
        <f>DATASETS!B24</f>
        <v>2024</v>
      </c>
      <c r="D70" s="6">
        <f>DATASETS!I24</f>
        <v>8119</v>
      </c>
      <c r="E70" s="9">
        <f>DATASETS!H24</f>
        <v>438.7</v>
      </c>
      <c r="F70" s="6">
        <f>DATASETS!D24</f>
        <v>8633</v>
      </c>
      <c r="G70" s="4" t="str">
        <f>DATASETS!E24</f>
        <v>Training</v>
      </c>
      <c r="H70" s="10">
        <f t="shared" si="0"/>
        <v>2164828346</v>
      </c>
      <c r="I70" s="10">
        <f t="shared" si="17"/>
        <v>62881580644</v>
      </c>
      <c r="J70" s="10">
        <f t="shared" si="1"/>
        <v>74528689</v>
      </c>
      <c r="K70" s="35">
        <f t="shared" si="2"/>
        <v>3170.1638907015586</v>
      </c>
      <c r="L70" s="35">
        <f t="shared" si="3"/>
        <v>5462.8361092984414</v>
      </c>
      <c r="M70" s="35">
        <f t="shared" si="4"/>
        <v>5462.8361092984414</v>
      </c>
      <c r="N70" s="35">
        <f t="shared" si="5"/>
        <v>29842578.357054934</v>
      </c>
      <c r="O70" s="35">
        <f t="shared" si="6"/>
        <v>45597699.103294618</v>
      </c>
      <c r="P70" s="35">
        <f t="shared" si="7"/>
        <v>7866.0126924495198</v>
      </c>
      <c r="Q70" s="35">
        <f t="shared" si="8"/>
        <v>766.98730755048018</v>
      </c>
      <c r="R70" s="35">
        <f t="shared" si="9"/>
        <v>766.98730755048018</v>
      </c>
      <c r="S70" s="35">
        <f t="shared" si="10"/>
        <v>588269.52994353487</v>
      </c>
      <c r="T70" s="35">
        <f t="shared" si="11"/>
        <v>45597699.103294618</v>
      </c>
      <c r="U70" s="35">
        <f t="shared" si="12"/>
        <v>748.08152616496898</v>
      </c>
      <c r="V70" s="35">
        <f t="shared" si="13"/>
        <v>-48920.299184631243</v>
      </c>
      <c r="W70" s="35">
        <f t="shared" si="14"/>
        <v>7507.3535834308441</v>
      </c>
      <c r="X70" s="35">
        <f t="shared" si="15"/>
        <v>5.7931369839260167</v>
      </c>
      <c r="Y70" s="35">
        <f t="shared" si="16"/>
        <v>48525.083630501023</v>
      </c>
    </row>
    <row r="71" spans="1:25" x14ac:dyDescent="0.3">
      <c r="A71" s="4" t="str">
        <f>DATASETS!A26</f>
        <v>ROXAS BLVD.</v>
      </c>
      <c r="B71" s="9">
        <f>DATASETS!C26</f>
        <v>175185</v>
      </c>
      <c r="C71" s="4">
        <f>DATASETS!B26</f>
        <v>2016</v>
      </c>
      <c r="D71" s="6">
        <f>DATASETS!I26</f>
        <v>1528</v>
      </c>
      <c r="E71" s="9">
        <f>DATASETS!H26</f>
        <v>60.8</v>
      </c>
      <c r="F71" s="6">
        <f>DATASETS!D26</f>
        <v>1877</v>
      </c>
      <c r="G71" s="4" t="str">
        <f>DATASETS!E26</f>
        <v>Training</v>
      </c>
      <c r="H71" s="10">
        <f t="shared" si="0"/>
        <v>328822245</v>
      </c>
      <c r="I71" s="10">
        <f t="shared" si="17"/>
        <v>30689784225</v>
      </c>
      <c r="J71" s="10">
        <f t="shared" si="1"/>
        <v>3523129</v>
      </c>
      <c r="K71" s="35">
        <f t="shared" si="2"/>
        <v>2007.7867419810384</v>
      </c>
      <c r="L71" s="35">
        <f t="shared" si="3"/>
        <v>-130.7867419810384</v>
      </c>
      <c r="M71" s="35">
        <f t="shared" si="4"/>
        <v>130.7867419810384</v>
      </c>
      <c r="N71" s="35">
        <f t="shared" si="5"/>
        <v>17105.171878014713</v>
      </c>
      <c r="O71" s="35">
        <f t="shared" si="6"/>
        <v>11.513551026371289</v>
      </c>
      <c r="P71" s="35">
        <f t="shared" si="7"/>
        <v>1734.4537284132177</v>
      </c>
      <c r="Q71" s="35">
        <f t="shared" si="8"/>
        <v>142.54627158678227</v>
      </c>
      <c r="R71" s="35">
        <f t="shared" si="9"/>
        <v>142.54627158678227</v>
      </c>
      <c r="S71" s="35">
        <f t="shared" si="10"/>
        <v>20319.43954329269</v>
      </c>
      <c r="T71" s="35">
        <f t="shared" si="11"/>
        <v>11.513551026371289</v>
      </c>
      <c r="U71" s="35">
        <f t="shared" si="12"/>
        <v>522.61770986517138</v>
      </c>
      <c r="V71" s="35">
        <f t="shared" si="13"/>
        <v>-48726.938318288827</v>
      </c>
      <c r="W71" s="35">
        <f t="shared" si="14"/>
        <v>1412.8878279938822</v>
      </c>
      <c r="X71" s="35">
        <f t="shared" si="15"/>
        <v>0.80287834197105501</v>
      </c>
      <c r="Y71" s="35">
        <f t="shared" si="16"/>
        <v>48525.083630501023</v>
      </c>
    </row>
    <row r="72" spans="1:25" x14ac:dyDescent="0.3">
      <c r="A72" s="4" t="str">
        <f>DATASETS!A27</f>
        <v>ROXAS BLVD.</v>
      </c>
      <c r="B72" s="9">
        <f>DATASETS!C27</f>
        <v>191120</v>
      </c>
      <c r="C72" s="4">
        <f>DATASETS!B27</f>
        <v>2017</v>
      </c>
      <c r="D72" s="6">
        <f>DATASETS!I27</f>
        <v>1877</v>
      </c>
      <c r="E72" s="9">
        <f>DATASETS!H27</f>
        <v>60.8</v>
      </c>
      <c r="F72" s="6">
        <f>DATASETS!D27</f>
        <v>2365</v>
      </c>
      <c r="G72" s="4" t="str">
        <f>DATASETS!E27</f>
        <v>Training</v>
      </c>
      <c r="H72" s="10">
        <f t="shared" si="0"/>
        <v>451998800</v>
      </c>
      <c r="I72" s="10">
        <f t="shared" si="17"/>
        <v>36526854400</v>
      </c>
      <c r="J72" s="10">
        <f t="shared" si="1"/>
        <v>5593225</v>
      </c>
      <c r="K72" s="35">
        <f t="shared" si="2"/>
        <v>2252.8676510520718</v>
      </c>
      <c r="L72" s="35">
        <f t="shared" si="3"/>
        <v>112.13234894792822</v>
      </c>
      <c r="M72" s="35">
        <f t="shared" si="4"/>
        <v>112.13234894792822</v>
      </c>
      <c r="N72" s="35">
        <f t="shared" si="5"/>
        <v>12573.663680579939</v>
      </c>
      <c r="O72" s="35">
        <f t="shared" si="6"/>
        <v>234843.78705529991</v>
      </c>
      <c r="P72" s="35">
        <f t="shared" si="7"/>
        <v>2080.529459624046</v>
      </c>
      <c r="Q72" s="35">
        <f t="shared" si="8"/>
        <v>284.47054037595399</v>
      </c>
      <c r="R72" s="35">
        <f t="shared" si="9"/>
        <v>284.47054037595399</v>
      </c>
      <c r="S72" s="35">
        <f t="shared" si="10"/>
        <v>80923.488341787262</v>
      </c>
      <c r="T72" s="35">
        <f t="shared" si="11"/>
        <v>234843.78705529991</v>
      </c>
      <c r="U72" s="35">
        <f t="shared" si="12"/>
        <v>570.15553106391269</v>
      </c>
      <c r="V72" s="35">
        <f t="shared" si="13"/>
        <v>-48751.108426581632</v>
      </c>
      <c r="W72" s="35">
        <f t="shared" si="14"/>
        <v>1735.5958462987676</v>
      </c>
      <c r="X72" s="35">
        <f t="shared" si="15"/>
        <v>0.80287834197105501</v>
      </c>
      <c r="Y72" s="35">
        <f t="shared" si="16"/>
        <v>48525.083630501023</v>
      </c>
    </row>
    <row r="73" spans="1:25" x14ac:dyDescent="0.3">
      <c r="A73" s="4" t="str">
        <f>DATASETS!A28</f>
        <v>ROXAS BLVD.</v>
      </c>
      <c r="B73" s="9">
        <f>DATASETS!C28</f>
        <v>203487</v>
      </c>
      <c r="C73" s="4">
        <f>DATASETS!B28</f>
        <v>2018</v>
      </c>
      <c r="D73" s="6">
        <f>DATASETS!I28</f>
        <v>2365</v>
      </c>
      <c r="E73" s="9">
        <f>DATASETS!H28</f>
        <v>60.8</v>
      </c>
      <c r="F73" s="6">
        <f>DATASETS!D28</f>
        <v>2540</v>
      </c>
      <c r="G73" s="4" t="str">
        <f>DATASETS!E28</f>
        <v>Training</v>
      </c>
      <c r="H73" s="10">
        <f t="shared" si="0"/>
        <v>516856980</v>
      </c>
      <c r="I73" s="10">
        <f t="shared" si="17"/>
        <v>41406959169</v>
      </c>
      <c r="J73" s="10">
        <f t="shared" si="1"/>
        <v>6451600</v>
      </c>
      <c r="K73" s="35">
        <f t="shared" si="2"/>
        <v>2443.0725837462342</v>
      </c>
      <c r="L73" s="35">
        <f t="shared" si="3"/>
        <v>96.927416253765841</v>
      </c>
      <c r="M73" s="35">
        <f t="shared" si="4"/>
        <v>96.927416253765841</v>
      </c>
      <c r="N73" s="35">
        <f t="shared" si="5"/>
        <v>9394.9240216307899</v>
      </c>
      <c r="O73" s="35">
        <f t="shared" si="6"/>
        <v>435081.18021769309</v>
      </c>
      <c r="P73" s="35">
        <f t="shared" si="7"/>
        <v>2544.4894231787866</v>
      </c>
      <c r="Q73" s="35">
        <f t="shared" si="8"/>
        <v>-4.4894231787866374</v>
      </c>
      <c r="R73" s="35">
        <f t="shared" si="9"/>
        <v>4.4894231787866374</v>
      </c>
      <c r="S73" s="35">
        <f t="shared" si="10"/>
        <v>20.154920478226718</v>
      </c>
      <c r="T73" s="35">
        <f t="shared" si="11"/>
        <v>435081.18021769309</v>
      </c>
      <c r="U73" s="35">
        <f t="shared" si="12"/>
        <v>607.04917616995817</v>
      </c>
      <c r="V73" s="35">
        <f t="shared" si="13"/>
        <v>-48775.278534874436</v>
      </c>
      <c r="W73" s="35">
        <f t="shared" si="14"/>
        <v>2186.8322730402692</v>
      </c>
      <c r="X73" s="35">
        <f t="shared" si="15"/>
        <v>0.80287834197105501</v>
      </c>
      <c r="Y73" s="35">
        <f t="shared" si="16"/>
        <v>48525.083630501023</v>
      </c>
    </row>
    <row r="74" spans="1:25" x14ac:dyDescent="0.3">
      <c r="A74" s="4" t="str">
        <f>DATASETS!A29</f>
        <v>ROXAS BLVD.</v>
      </c>
      <c r="B74" s="9">
        <f>DATASETS!C29</f>
        <v>203582</v>
      </c>
      <c r="C74" s="4">
        <f>DATASETS!B29</f>
        <v>2019</v>
      </c>
      <c r="D74" s="6">
        <f>DATASETS!I29</f>
        <v>2540</v>
      </c>
      <c r="E74" s="9">
        <f>DATASETS!H29</f>
        <v>60.8</v>
      </c>
      <c r="F74" s="6">
        <f>DATASETS!D29</f>
        <v>2737</v>
      </c>
      <c r="G74" s="4" t="str">
        <f>DATASETS!E29</f>
        <v>Training</v>
      </c>
      <c r="H74" s="10">
        <f t="shared" si="0"/>
        <v>557203934</v>
      </c>
      <c r="I74" s="10">
        <f t="shared" si="17"/>
        <v>41445630724</v>
      </c>
      <c r="J74" s="10">
        <f t="shared" si="1"/>
        <v>7491169</v>
      </c>
      <c r="K74" s="35">
        <f t="shared" si="2"/>
        <v>2444.533687377344</v>
      </c>
      <c r="L74" s="35">
        <f t="shared" si="3"/>
        <v>292.46631262265601</v>
      </c>
      <c r="M74" s="35">
        <f t="shared" si="4"/>
        <v>292.46631262265601</v>
      </c>
      <c r="N74" s="35">
        <f t="shared" si="5"/>
        <v>85536.544019093155</v>
      </c>
      <c r="O74" s="35">
        <f t="shared" si="6"/>
        <v>733775.2742347871</v>
      </c>
      <c r="P74" s="35">
        <f t="shared" si="7"/>
        <v>2682.4190635978098</v>
      </c>
      <c r="Q74" s="35">
        <f t="shared" si="8"/>
        <v>54.580936402190218</v>
      </c>
      <c r="R74" s="35">
        <f t="shared" si="9"/>
        <v>54.580936402190218</v>
      </c>
      <c r="S74" s="35">
        <f t="shared" si="10"/>
        <v>2979.0786185399334</v>
      </c>
      <c r="T74" s="35">
        <f t="shared" si="11"/>
        <v>733775.2742347871</v>
      </c>
      <c r="U74" s="35">
        <f t="shared" si="12"/>
        <v>607.33258332489265</v>
      </c>
      <c r="V74" s="35">
        <f t="shared" si="13"/>
        <v>-48799.448643167234</v>
      </c>
      <c r="W74" s="35">
        <f t="shared" si="14"/>
        <v>2348.6486145971603</v>
      </c>
      <c r="X74" s="35">
        <f t="shared" si="15"/>
        <v>0.80287834197105501</v>
      </c>
      <c r="Y74" s="35">
        <f t="shared" si="16"/>
        <v>48525.083630501023</v>
      </c>
    </row>
    <row r="75" spans="1:25" x14ac:dyDescent="0.3">
      <c r="A75" s="4" t="str">
        <f>DATASETS!A30</f>
        <v>ROXAS BLVD.</v>
      </c>
      <c r="B75" s="9">
        <f>DATASETS!C30</f>
        <v>190626</v>
      </c>
      <c r="C75" s="4">
        <f>DATASETS!B30</f>
        <v>2020</v>
      </c>
      <c r="D75" s="6">
        <f>DATASETS!I30</f>
        <v>2737</v>
      </c>
      <c r="E75" s="9">
        <f>DATASETS!H30</f>
        <v>60.8</v>
      </c>
      <c r="F75" s="6">
        <f>DATASETS!D30</f>
        <v>1401</v>
      </c>
      <c r="G75" s="4" t="str">
        <f>DATASETS!E30</f>
        <v>Training</v>
      </c>
      <c r="H75" s="10">
        <f t="shared" si="0"/>
        <v>267067026</v>
      </c>
      <c r="I75" s="10">
        <f t="shared" si="17"/>
        <v>36338271876</v>
      </c>
      <c r="J75" s="10">
        <f t="shared" si="1"/>
        <v>1962801</v>
      </c>
      <c r="K75" s="35">
        <f t="shared" si="2"/>
        <v>2245.2699121702963</v>
      </c>
      <c r="L75" s="35">
        <f t="shared" si="3"/>
        <v>-844.26991217029627</v>
      </c>
      <c r="M75" s="35">
        <f t="shared" si="4"/>
        <v>844.26991217029627</v>
      </c>
      <c r="N75" s="35">
        <f t="shared" si="5"/>
        <v>712791.68459603982</v>
      </c>
      <c r="O75" s="35">
        <f t="shared" si="6"/>
        <v>229817.80414931694</v>
      </c>
      <c r="P75" s="35">
        <f t="shared" si="7"/>
        <v>2801.7571531909834</v>
      </c>
      <c r="Q75" s="35">
        <f t="shared" si="8"/>
        <v>-1400.7571531909834</v>
      </c>
      <c r="R75" s="35">
        <f t="shared" si="9"/>
        <v>1400.7571531909834</v>
      </c>
      <c r="S75" s="35">
        <f t="shared" si="10"/>
        <v>1962120.6022157082</v>
      </c>
      <c r="T75" s="35">
        <f t="shared" si="11"/>
        <v>229817.80414931694</v>
      </c>
      <c r="U75" s="35">
        <f t="shared" si="12"/>
        <v>568.68181385825358</v>
      </c>
      <c r="V75" s="35">
        <f t="shared" si="13"/>
        <v>-48823.618751460039</v>
      </c>
      <c r="W75" s="35">
        <f t="shared" si="14"/>
        <v>2530.8075819497749</v>
      </c>
      <c r="X75" s="35">
        <f t="shared" si="15"/>
        <v>0.80287834197105501</v>
      </c>
      <c r="Y75" s="35">
        <f t="shared" si="16"/>
        <v>48525.083630501023</v>
      </c>
    </row>
    <row r="76" spans="1:25" x14ac:dyDescent="0.3">
      <c r="A76" s="4" t="str">
        <f>DATASETS!A31</f>
        <v>ROXAS BLVD.</v>
      </c>
      <c r="B76" s="9">
        <f>DATASETS!C31</f>
        <v>209339</v>
      </c>
      <c r="C76" s="4">
        <f>DATASETS!B31</f>
        <v>2021</v>
      </c>
      <c r="D76" s="6">
        <f>DATASETS!I31</f>
        <v>1401</v>
      </c>
      <c r="E76" s="9">
        <f>DATASETS!H31</f>
        <v>60.8</v>
      </c>
      <c r="F76" s="6">
        <f>DATASETS!D31</f>
        <v>1283</v>
      </c>
      <c r="G76" s="4" t="str">
        <f>DATASETS!E31</f>
        <v>Training</v>
      </c>
      <c r="H76" s="10">
        <f t="shared" si="0"/>
        <v>268581937</v>
      </c>
      <c r="I76" s="10">
        <f t="shared" si="17"/>
        <v>43822816921</v>
      </c>
      <c r="J76" s="10">
        <f t="shared" si="1"/>
        <v>1646089</v>
      </c>
      <c r="K76" s="35">
        <f t="shared" si="2"/>
        <v>2533.0765674226495</v>
      </c>
      <c r="L76" s="35">
        <f t="shared" si="3"/>
        <v>-1250.0765674226495</v>
      </c>
      <c r="M76" s="35">
        <f t="shared" si="4"/>
        <v>1250.0765674226495</v>
      </c>
      <c r="N76" s="35">
        <f t="shared" si="5"/>
        <v>1562691.424419194</v>
      </c>
      <c r="O76" s="35">
        <f t="shared" si="6"/>
        <v>356878.59047410323</v>
      </c>
      <c r="P76" s="35">
        <f t="shared" si="7"/>
        <v>1598.0601032681031</v>
      </c>
      <c r="Q76" s="35">
        <f t="shared" si="8"/>
        <v>-315.06010326810315</v>
      </c>
      <c r="R76" s="35">
        <f t="shared" si="9"/>
        <v>315.06010326810315</v>
      </c>
      <c r="S76" s="35">
        <f t="shared" si="10"/>
        <v>99262.86867130782</v>
      </c>
      <c r="T76" s="35">
        <f t="shared" si="11"/>
        <v>356878.59047410323</v>
      </c>
      <c r="U76" s="35">
        <f t="shared" si="12"/>
        <v>624.50705691392022</v>
      </c>
      <c r="V76" s="35">
        <f t="shared" si="13"/>
        <v>-48847.788859752836</v>
      </c>
      <c r="W76" s="35">
        <f t="shared" si="14"/>
        <v>1295.4553972640242</v>
      </c>
      <c r="X76" s="35">
        <f t="shared" si="15"/>
        <v>0.80287834197105501</v>
      </c>
      <c r="Y76" s="35">
        <f t="shared" si="16"/>
        <v>48525.083630501023</v>
      </c>
    </row>
    <row r="77" spans="1:25" x14ac:dyDescent="0.3">
      <c r="A77" s="4" t="str">
        <f>DATASETS!A32</f>
        <v>ROXAS BLVD.</v>
      </c>
      <c r="B77" s="9">
        <f>DATASETS!C32</f>
        <v>186079</v>
      </c>
      <c r="C77" s="4">
        <f>DATASETS!B32</f>
        <v>2022</v>
      </c>
      <c r="D77" s="6">
        <f>DATASETS!I32</f>
        <v>1283</v>
      </c>
      <c r="E77" s="9">
        <f>DATASETS!H32</f>
        <v>60.8</v>
      </c>
      <c r="F77" s="6">
        <f>DATASETS!D32</f>
        <v>1786</v>
      </c>
      <c r="G77" s="4" t="str">
        <f>DATASETS!E32</f>
        <v>Training</v>
      </c>
      <c r="H77" s="10">
        <f t="shared" si="0"/>
        <v>332337094</v>
      </c>
      <c r="I77" s="10">
        <f t="shared" si="17"/>
        <v>34625394241</v>
      </c>
      <c r="J77" s="10">
        <f t="shared" si="1"/>
        <v>3189796</v>
      </c>
      <c r="K77" s="35">
        <f t="shared" si="2"/>
        <v>2175.3368783738742</v>
      </c>
      <c r="L77" s="35">
        <f t="shared" si="3"/>
        <v>-389.33687837387424</v>
      </c>
      <c r="M77" s="35">
        <f t="shared" si="4"/>
        <v>389.33687837387424</v>
      </c>
      <c r="N77" s="35">
        <f t="shared" si="5"/>
        <v>151583.20486191293</v>
      </c>
      <c r="O77" s="35">
        <f t="shared" si="6"/>
        <v>8910.069106581921</v>
      </c>
      <c r="P77" s="35">
        <f t="shared" si="7"/>
        <v>1395.3895430647146</v>
      </c>
      <c r="Q77" s="35">
        <f t="shared" si="8"/>
        <v>390.61045693528536</v>
      </c>
      <c r="R77" s="35">
        <f t="shared" si="9"/>
        <v>390.61045693528536</v>
      </c>
      <c r="S77" s="35">
        <f t="shared" si="10"/>
        <v>152576.5290671924</v>
      </c>
      <c r="T77" s="35">
        <f t="shared" si="11"/>
        <v>8910.069106581921</v>
      </c>
      <c r="U77" s="35">
        <f t="shared" si="12"/>
        <v>555.11705245312794</v>
      </c>
      <c r="V77" s="35">
        <f t="shared" si="13"/>
        <v>-48871.958968045641</v>
      </c>
      <c r="W77" s="35">
        <f t="shared" si="14"/>
        <v>1186.344949814235</v>
      </c>
      <c r="X77" s="35">
        <f t="shared" si="15"/>
        <v>0.80287834197105501</v>
      </c>
      <c r="Y77" s="35">
        <f t="shared" si="16"/>
        <v>48525.083630501023</v>
      </c>
    </row>
    <row r="78" spans="1:25" x14ac:dyDescent="0.3">
      <c r="A78" s="4" t="str">
        <f>DATASETS!A33</f>
        <v>ROXAS BLVD.</v>
      </c>
      <c r="B78" s="9">
        <f>DATASETS!C33</f>
        <v>190184</v>
      </c>
      <c r="C78" s="4">
        <f>DATASETS!B33</f>
        <v>2023</v>
      </c>
      <c r="D78" s="6">
        <f>DATASETS!I33</f>
        <v>1786</v>
      </c>
      <c r="E78" s="9">
        <f>DATASETS!H33</f>
        <v>60.8</v>
      </c>
      <c r="F78" s="6">
        <f>DATASETS!D33</f>
        <v>1817</v>
      </c>
      <c r="G78" s="4" t="str">
        <f>DATASETS!E33</f>
        <v>Training</v>
      </c>
      <c r="H78" s="10">
        <f t="shared" si="0"/>
        <v>345564328</v>
      </c>
      <c r="I78" s="10">
        <f t="shared" si="17"/>
        <v>36169953856</v>
      </c>
      <c r="J78" s="10">
        <f t="shared" si="1"/>
        <v>3301489</v>
      </c>
      <c r="K78" s="35">
        <f t="shared" si="2"/>
        <v>2238.4719352760767</v>
      </c>
      <c r="L78" s="35">
        <f t="shared" si="3"/>
        <v>-421.47193527607669</v>
      </c>
      <c r="M78" s="35">
        <f t="shared" si="4"/>
        <v>421.47193527607669</v>
      </c>
      <c r="N78" s="35">
        <f t="shared" si="5"/>
        <v>177638.59222536138</v>
      </c>
      <c r="O78" s="35">
        <f t="shared" si="6"/>
        <v>4018.693038205854</v>
      </c>
      <c r="P78" s="35">
        <f t="shared" si="7"/>
        <v>1848.5720059732362</v>
      </c>
      <c r="Q78" s="35">
        <f t="shared" si="8"/>
        <v>-31.572005973236173</v>
      </c>
      <c r="R78" s="35">
        <f t="shared" si="9"/>
        <v>31.572005973236173</v>
      </c>
      <c r="S78" s="35">
        <f t="shared" si="10"/>
        <v>996.79156117406058</v>
      </c>
      <c r="T78" s="35">
        <f t="shared" si="11"/>
        <v>4018.693038205854</v>
      </c>
      <c r="U78" s="35">
        <f t="shared" si="12"/>
        <v>567.36322477950591</v>
      </c>
      <c r="V78" s="35">
        <f t="shared" si="13"/>
        <v>-48896.129076338446</v>
      </c>
      <c r="W78" s="35">
        <f t="shared" si="14"/>
        <v>1651.4513486891844</v>
      </c>
      <c r="X78" s="35">
        <f t="shared" si="15"/>
        <v>0.80287834197105501</v>
      </c>
      <c r="Y78" s="35">
        <f t="shared" si="16"/>
        <v>48525.083630501023</v>
      </c>
    </row>
    <row r="79" spans="1:25" x14ac:dyDescent="0.3">
      <c r="A79" s="4" t="str">
        <f>DATASETS!A34</f>
        <v>ROXAS BLVD.</v>
      </c>
      <c r="B79" s="9">
        <f>DATASETS!C34</f>
        <v>202820</v>
      </c>
      <c r="C79" s="4">
        <f>DATASETS!B34</f>
        <v>2024</v>
      </c>
      <c r="D79" s="6">
        <f>DATASETS!I34</f>
        <v>1817</v>
      </c>
      <c r="E79" s="9">
        <f>DATASETS!H34</f>
        <v>60.8</v>
      </c>
      <c r="F79" s="6">
        <f>DATASETS!D34</f>
        <v>1659</v>
      </c>
      <c r="G79" s="4" t="str">
        <f>DATASETS!E34</f>
        <v>Training</v>
      </c>
      <c r="H79" s="10">
        <f t="shared" si="0"/>
        <v>336478380</v>
      </c>
      <c r="I79" s="10">
        <f t="shared" si="17"/>
        <v>41135952400</v>
      </c>
      <c r="J79" s="10">
        <f t="shared" si="1"/>
        <v>2752281</v>
      </c>
      <c r="K79" s="35">
        <f t="shared" si="2"/>
        <v>2432.8140982520144</v>
      </c>
      <c r="L79" s="35">
        <f t="shared" si="3"/>
        <v>-773.81409825201445</v>
      </c>
      <c r="M79" s="35">
        <f t="shared" si="4"/>
        <v>773.81409825201445</v>
      </c>
      <c r="N79" s="35">
        <f t="shared" si="5"/>
        <v>598788.25865357823</v>
      </c>
      <c r="O79" s="35">
        <f t="shared" si="6"/>
        <v>49014.932354445162</v>
      </c>
      <c r="P79" s="35">
        <f t="shared" si="7"/>
        <v>1890.7626415957213</v>
      </c>
      <c r="Q79" s="35">
        <f t="shared" si="8"/>
        <v>-231.76264159572133</v>
      </c>
      <c r="R79" s="35">
        <f t="shared" si="9"/>
        <v>231.76264159572133</v>
      </c>
      <c r="S79" s="35">
        <f t="shared" si="10"/>
        <v>53713.922039426783</v>
      </c>
      <c r="T79" s="35">
        <f t="shared" si="11"/>
        <v>49014.932354445162</v>
      </c>
      <c r="U79" s="35">
        <f t="shared" si="12"/>
        <v>605.05935961899741</v>
      </c>
      <c r="V79" s="35">
        <f t="shared" si="13"/>
        <v>-48920.299184631243</v>
      </c>
      <c r="W79" s="35">
        <f t="shared" si="14"/>
        <v>1680.1159577649764</v>
      </c>
      <c r="X79" s="35">
        <f t="shared" si="15"/>
        <v>0.80287834197105501</v>
      </c>
      <c r="Y79" s="35">
        <f t="shared" si="16"/>
        <v>48525.083630501023</v>
      </c>
    </row>
    <row r="80" spans="1:25" x14ac:dyDescent="0.3">
      <c r="A80" s="4" t="str">
        <f>DATASETS!A36</f>
        <v>TAFT AVE.</v>
      </c>
      <c r="B80" s="9">
        <f>DATASETS!C36</f>
        <v>89848</v>
      </c>
      <c r="C80" s="4">
        <f>DATASETS!B36</f>
        <v>2016</v>
      </c>
      <c r="D80" s="6">
        <f>DATASETS!I36</f>
        <v>789</v>
      </c>
      <c r="E80" s="9">
        <f>DATASETS!H36</f>
        <v>42</v>
      </c>
      <c r="F80" s="6">
        <f>DATASETS!D36</f>
        <v>979</v>
      </c>
      <c r="G80" s="4" t="str">
        <f>DATASETS!E36</f>
        <v>Training</v>
      </c>
      <c r="H80" s="10">
        <f t="shared" si="0"/>
        <v>87961192</v>
      </c>
      <c r="I80" s="10">
        <f t="shared" si="17"/>
        <v>8072663104</v>
      </c>
      <c r="J80" s="10">
        <f t="shared" si="1"/>
        <v>958441</v>
      </c>
      <c r="K80" s="35">
        <f t="shared" si="2"/>
        <v>695.30042021167628</v>
      </c>
      <c r="L80" s="35">
        <f t="shared" si="3"/>
        <v>283.69957978832372</v>
      </c>
      <c r="M80" s="35">
        <f t="shared" si="4"/>
        <v>283.69957978832372</v>
      </c>
      <c r="N80" s="35">
        <f t="shared" si="5"/>
        <v>80485.451572071455</v>
      </c>
      <c r="O80" s="35">
        <f t="shared" si="6"/>
        <v>812509.63320914598</v>
      </c>
      <c r="P80" s="35">
        <f t="shared" si="7"/>
        <v>796.29800377620222</v>
      </c>
      <c r="Q80" s="35">
        <f t="shared" si="8"/>
        <v>182.70199622379778</v>
      </c>
      <c r="R80" s="35">
        <f t="shared" si="9"/>
        <v>182.70199622379778</v>
      </c>
      <c r="S80" s="35">
        <f t="shared" si="10"/>
        <v>33380.019424160615</v>
      </c>
      <c r="T80" s="35">
        <f t="shared" si="11"/>
        <v>812509.63320914598</v>
      </c>
      <c r="U80" s="35">
        <f t="shared" si="12"/>
        <v>268.03753743737144</v>
      </c>
      <c r="V80" s="35">
        <f t="shared" si="13"/>
        <v>-48726.938318288827</v>
      </c>
      <c r="W80" s="35">
        <f t="shared" si="14"/>
        <v>729.56053421935417</v>
      </c>
      <c r="X80" s="35">
        <f t="shared" si="15"/>
        <v>0.55461990728263677</v>
      </c>
      <c r="Y80" s="35">
        <f t="shared" si="16"/>
        <v>48525.083630501023</v>
      </c>
    </row>
    <row r="81" spans="1:25" x14ac:dyDescent="0.3">
      <c r="A81" s="4" t="str">
        <f>DATASETS!A37</f>
        <v>TAFT AVE.</v>
      </c>
      <c r="B81" s="9">
        <f>DATASETS!C37</f>
        <v>90586</v>
      </c>
      <c r="C81" s="4">
        <f>DATASETS!B37</f>
        <v>2017</v>
      </c>
      <c r="D81" s="6">
        <f>DATASETS!I37</f>
        <v>979</v>
      </c>
      <c r="E81" s="9">
        <f>DATASETS!H37</f>
        <v>42</v>
      </c>
      <c r="F81" s="6">
        <f>DATASETS!D37</f>
        <v>937</v>
      </c>
      <c r="G81" s="4" t="str">
        <f>DATASETS!E37</f>
        <v>Training</v>
      </c>
      <c r="H81" s="10">
        <f t="shared" si="0"/>
        <v>84879082</v>
      </c>
      <c r="I81" s="10">
        <f t="shared" si="17"/>
        <v>8205823396</v>
      </c>
      <c r="J81" s="10">
        <f t="shared" si="1"/>
        <v>877969</v>
      </c>
      <c r="K81" s="35">
        <f t="shared" si="2"/>
        <v>706.65088841967258</v>
      </c>
      <c r="L81" s="35">
        <f t="shared" si="3"/>
        <v>230.34911158032742</v>
      </c>
      <c r="M81" s="35">
        <f t="shared" si="4"/>
        <v>230.34911158032742</v>
      </c>
      <c r="N81" s="35">
        <f t="shared" si="5"/>
        <v>53060.713205846128</v>
      </c>
      <c r="O81" s="35">
        <f t="shared" si="6"/>
        <v>889990.6588501716</v>
      </c>
      <c r="P81" s="35">
        <f t="shared" si="7"/>
        <v>950.01583528260085</v>
      </c>
      <c r="Q81" s="35">
        <f t="shared" si="8"/>
        <v>-13.015835282600847</v>
      </c>
      <c r="R81" s="35">
        <f t="shared" si="9"/>
        <v>13.015835282600847</v>
      </c>
      <c r="S81" s="35">
        <f t="shared" si="10"/>
        <v>169.41196810379705</v>
      </c>
      <c r="T81" s="35">
        <f t="shared" si="11"/>
        <v>889990.6588501716</v>
      </c>
      <c r="U81" s="35">
        <f t="shared" si="12"/>
        <v>270.23916354623066</v>
      </c>
      <c r="V81" s="35">
        <f t="shared" si="13"/>
        <v>-48751.108426581632</v>
      </c>
      <c r="W81" s="35">
        <f t="shared" si="14"/>
        <v>905.24684790969286</v>
      </c>
      <c r="X81" s="35">
        <f t="shared" si="15"/>
        <v>0.55461990728263677</v>
      </c>
      <c r="Y81" s="35">
        <f t="shared" si="16"/>
        <v>48525.083630501023</v>
      </c>
    </row>
    <row r="82" spans="1:25" x14ac:dyDescent="0.3">
      <c r="A82" s="4" t="str">
        <f>DATASETS!A38</f>
        <v>TAFT AVE.</v>
      </c>
      <c r="B82" s="9">
        <f>DATASETS!C38</f>
        <v>91766</v>
      </c>
      <c r="C82" s="4">
        <f>DATASETS!B38</f>
        <v>2018</v>
      </c>
      <c r="D82" s="6">
        <f>DATASETS!I38</f>
        <v>937</v>
      </c>
      <c r="E82" s="9">
        <f>DATASETS!H38</f>
        <v>42</v>
      </c>
      <c r="F82" s="6">
        <f>DATASETS!D38</f>
        <v>930</v>
      </c>
      <c r="G82" s="4" t="str">
        <f>DATASETS!E38</f>
        <v>Training</v>
      </c>
      <c r="H82" s="10">
        <f t="shared" si="0"/>
        <v>85342380</v>
      </c>
      <c r="I82" s="10">
        <f t="shared" si="17"/>
        <v>8420998756</v>
      </c>
      <c r="J82" s="10">
        <f t="shared" si="1"/>
        <v>864900</v>
      </c>
      <c r="K82" s="35">
        <f t="shared" si="2"/>
        <v>724.79933352188914</v>
      </c>
      <c r="L82" s="35">
        <f t="shared" si="3"/>
        <v>205.20066647811086</v>
      </c>
      <c r="M82" s="35">
        <f t="shared" si="4"/>
        <v>205.20066647811086</v>
      </c>
      <c r="N82" s="35">
        <f t="shared" si="5"/>
        <v>42107.31352306089</v>
      </c>
      <c r="O82" s="35">
        <f t="shared" si="6"/>
        <v>903247.16312367585</v>
      </c>
      <c r="P82" s="35">
        <f t="shared" si="7"/>
        <v>890.53002020374959</v>
      </c>
      <c r="Q82" s="35">
        <f t="shared" si="8"/>
        <v>39.469979796250414</v>
      </c>
      <c r="R82" s="35">
        <f t="shared" si="9"/>
        <v>39.469979796250414</v>
      </c>
      <c r="S82" s="35">
        <f t="shared" si="10"/>
        <v>1557.8793051164159</v>
      </c>
      <c r="T82" s="35">
        <f t="shared" si="11"/>
        <v>903247.16312367585</v>
      </c>
      <c r="U82" s="35">
        <f t="shared" si="12"/>
        <v>273.75937873383748</v>
      </c>
      <c r="V82" s="35">
        <f t="shared" si="13"/>
        <v>-48775.278534874436</v>
      </c>
      <c r="W82" s="35">
        <f t="shared" si="14"/>
        <v>866.41092593603901</v>
      </c>
      <c r="X82" s="35">
        <f t="shared" si="15"/>
        <v>0.55461990728263677</v>
      </c>
      <c r="Y82" s="35">
        <f t="shared" si="16"/>
        <v>48525.083630501023</v>
      </c>
    </row>
    <row r="83" spans="1:25" x14ac:dyDescent="0.3">
      <c r="A83" s="4" t="str">
        <f>DATASETS!A39</f>
        <v>TAFT AVE.</v>
      </c>
      <c r="B83" s="9">
        <f>DATASETS!C39</f>
        <v>100065</v>
      </c>
      <c r="C83" s="4">
        <f>DATASETS!B39</f>
        <v>2019</v>
      </c>
      <c r="D83" s="6">
        <f>DATASETS!I39</f>
        <v>930</v>
      </c>
      <c r="E83" s="9">
        <f>DATASETS!H39</f>
        <v>42</v>
      </c>
      <c r="F83" s="6">
        <f>DATASETS!D39</f>
        <v>1101</v>
      </c>
      <c r="G83" s="4" t="str">
        <f>DATASETS!E39</f>
        <v>Training</v>
      </c>
      <c r="H83" s="10">
        <f t="shared" si="0"/>
        <v>110171565</v>
      </c>
      <c r="I83" s="10">
        <f t="shared" si="17"/>
        <v>10013004225</v>
      </c>
      <c r="J83" s="10">
        <f t="shared" si="1"/>
        <v>1212201</v>
      </c>
      <c r="K83" s="35">
        <f t="shared" si="2"/>
        <v>852.43827072807085</v>
      </c>
      <c r="L83" s="35">
        <f t="shared" si="3"/>
        <v>248.56172927192915</v>
      </c>
      <c r="M83" s="35">
        <f t="shared" si="4"/>
        <v>248.56172927192915</v>
      </c>
      <c r="N83" s="35">
        <f t="shared" si="5"/>
        <v>61782.933258651799</v>
      </c>
      <c r="O83" s="35">
        <f t="shared" si="6"/>
        <v>607453.70158521435</v>
      </c>
      <c r="P83" s="35">
        <f t="shared" si="7"/>
        <v>884.64511065710758</v>
      </c>
      <c r="Q83" s="35">
        <f t="shared" si="8"/>
        <v>216.35488934289242</v>
      </c>
      <c r="R83" s="35">
        <f t="shared" si="9"/>
        <v>216.35488934289242</v>
      </c>
      <c r="S83" s="35">
        <f t="shared" si="10"/>
        <v>46809.438142575222</v>
      </c>
      <c r="T83" s="35">
        <f t="shared" si="11"/>
        <v>607453.70158521435</v>
      </c>
      <c r="U83" s="35">
        <f t="shared" si="12"/>
        <v>298.51723114226888</v>
      </c>
      <c r="V83" s="35">
        <f t="shared" si="13"/>
        <v>-48799.448643167234</v>
      </c>
      <c r="W83" s="35">
        <f t="shared" si="14"/>
        <v>859.93827227376346</v>
      </c>
      <c r="X83" s="35">
        <f t="shared" si="15"/>
        <v>0.55461990728263677</v>
      </c>
      <c r="Y83" s="35">
        <f t="shared" si="16"/>
        <v>48525.083630501023</v>
      </c>
    </row>
    <row r="84" spans="1:25" x14ac:dyDescent="0.3">
      <c r="A84" s="4" t="str">
        <f>DATASETS!A40</f>
        <v>TAFT AVE.</v>
      </c>
      <c r="B84" s="9">
        <f>DATASETS!C40</f>
        <v>110916</v>
      </c>
      <c r="C84" s="4">
        <f>DATASETS!B40</f>
        <v>2020</v>
      </c>
      <c r="D84" s="6">
        <f>DATASETS!I40</f>
        <v>1101</v>
      </c>
      <c r="E84" s="9">
        <f>DATASETS!H40</f>
        <v>42</v>
      </c>
      <c r="F84" s="6">
        <f>DATASETS!D40</f>
        <v>502</v>
      </c>
      <c r="G84" s="4" t="str">
        <f>DATASETS!E40</f>
        <v>Training</v>
      </c>
      <c r="H84" s="10">
        <f t="shared" si="0"/>
        <v>55679832</v>
      </c>
      <c r="I84" s="10">
        <f t="shared" si="17"/>
        <v>12302359056</v>
      </c>
      <c r="J84" s="10">
        <f t="shared" si="1"/>
        <v>252004</v>
      </c>
      <c r="K84" s="35">
        <f t="shared" si="2"/>
        <v>1019.3270654773514</v>
      </c>
      <c r="L84" s="35">
        <f t="shared" si="3"/>
        <v>-517.32706547735143</v>
      </c>
      <c r="M84" s="35">
        <f t="shared" si="4"/>
        <v>517.32706547735143</v>
      </c>
      <c r="N84" s="35">
        <f t="shared" si="5"/>
        <v>267627.29267540784</v>
      </c>
      <c r="O84" s="35">
        <f t="shared" si="6"/>
        <v>1899967.7101322229</v>
      </c>
      <c r="P84" s="35">
        <f t="shared" si="7"/>
        <v>1050.9637482455348</v>
      </c>
      <c r="Q84" s="35">
        <f t="shared" si="8"/>
        <v>-548.96374824553482</v>
      </c>
      <c r="R84" s="35">
        <f t="shared" si="9"/>
        <v>548.96374824553482</v>
      </c>
      <c r="S84" s="35">
        <f t="shared" si="10"/>
        <v>301361.19688778691</v>
      </c>
      <c r="T84" s="35">
        <f t="shared" si="11"/>
        <v>1899967.7101322229</v>
      </c>
      <c r="U84" s="35">
        <f t="shared" si="12"/>
        <v>330.88829470220253</v>
      </c>
      <c r="V84" s="35">
        <f t="shared" si="13"/>
        <v>-48823.618751460039</v>
      </c>
      <c r="W84" s="35">
        <f t="shared" si="14"/>
        <v>1018.0559545950683</v>
      </c>
      <c r="X84" s="35">
        <f t="shared" si="15"/>
        <v>0.55461990728263677</v>
      </c>
      <c r="Y84" s="35">
        <f t="shared" si="16"/>
        <v>48525.083630501023</v>
      </c>
    </row>
    <row r="85" spans="1:25" x14ac:dyDescent="0.3">
      <c r="A85" s="4" t="str">
        <f>DATASETS!A41</f>
        <v>TAFT AVE.</v>
      </c>
      <c r="B85" s="9">
        <f>DATASETS!C41</f>
        <v>114715</v>
      </c>
      <c r="C85" s="4">
        <f>DATASETS!B41</f>
        <v>2021</v>
      </c>
      <c r="D85" s="6">
        <f>DATASETS!I41</f>
        <v>502</v>
      </c>
      <c r="E85" s="9">
        <f>DATASETS!H41</f>
        <v>42</v>
      </c>
      <c r="F85" s="6">
        <f>DATASETS!D41</f>
        <v>395</v>
      </c>
      <c r="G85" s="4" t="str">
        <f>DATASETS!E41</f>
        <v>Training</v>
      </c>
      <c r="H85" s="10">
        <f t="shared" ref="H85:H116" si="18">B85*F85</f>
        <v>45312425</v>
      </c>
      <c r="I85" s="10">
        <f t="shared" ref="I85:I116" si="19">B85^2</f>
        <v>13159531225</v>
      </c>
      <c r="J85" s="10">
        <f t="shared" ref="J85:J116" si="20">F85^2</f>
        <v>156025</v>
      </c>
      <c r="K85" s="35">
        <f t="shared" ref="K85:K116" si="21">$B$15+$B$14*B85</f>
        <v>1077.7558306835551</v>
      </c>
      <c r="L85" s="35">
        <f t="shared" ref="L85:L116" si="22">F85-K85</f>
        <v>-682.75583068355513</v>
      </c>
      <c r="M85" s="35">
        <f t="shared" ref="M85:M116" si="23">ABS(L85)</f>
        <v>682.75583068355513</v>
      </c>
      <c r="N85" s="35">
        <f t="shared" ref="N85:N116" si="24">L85^2</f>
        <v>466155.52433239139</v>
      </c>
      <c r="O85" s="35">
        <f t="shared" ref="O85:O116" si="25">(F85-$B$13)^2</f>
        <v>2206392.8468843596</v>
      </c>
      <c r="P85" s="35">
        <f t="shared" ref="P85:P116" si="26">$B$25+$B$26*B85+$B$27*C85+$B$28*D85+$B$29*E85</f>
        <v>484.25272238789472</v>
      </c>
      <c r="Q85" s="35">
        <f t="shared" ref="Q85:Q116" si="27">F85-P85</f>
        <v>-89.252722387894721</v>
      </c>
      <c r="R85" s="35">
        <f t="shared" ref="R85:R116" si="28">ABS(Q85)</f>
        <v>89.252722387894721</v>
      </c>
      <c r="S85" s="35">
        <f t="shared" ref="S85:S116" si="29">Q85^2</f>
        <v>7966.0484536506037</v>
      </c>
      <c r="T85" s="35">
        <f t="shared" ref="T85:T116" si="30">(F85-$B$13)^2</f>
        <v>2206392.8468843596</v>
      </c>
      <c r="U85" s="35">
        <f t="shared" ref="U85:U116" si="31">$B$26*B85</f>
        <v>342.2215976663706</v>
      </c>
      <c r="V85" s="35">
        <f t="shared" ref="V85:V116" si="32">$B$27*C85</f>
        <v>-48847.788859752836</v>
      </c>
      <c r="W85" s="35">
        <f t="shared" ref="W85:W116" si="33">$B$28*D85</f>
        <v>464.18173406605297</v>
      </c>
      <c r="X85" s="35">
        <f t="shared" ref="X85:X116" si="34">$B$29*E85</f>
        <v>0.55461990728263677</v>
      </c>
      <c r="Y85" s="35">
        <f t="shared" ref="Y85:Y116" si="35">$B$25</f>
        <v>48525.083630501023</v>
      </c>
    </row>
    <row r="86" spans="1:25" x14ac:dyDescent="0.3">
      <c r="A86" s="4" t="str">
        <f>DATASETS!A42</f>
        <v>TAFT AVE.</v>
      </c>
      <c r="B86" s="9">
        <f>DATASETS!C42</f>
        <v>194464</v>
      </c>
      <c r="C86" s="4">
        <f>DATASETS!B42</f>
        <v>2022</v>
      </c>
      <c r="D86" s="6">
        <f>DATASETS!I42</f>
        <v>395</v>
      </c>
      <c r="E86" s="9">
        <f>DATASETS!H42</f>
        <v>42</v>
      </c>
      <c r="F86" s="6">
        <f>DATASETS!D42</f>
        <v>538</v>
      </c>
      <c r="G86" s="4" t="str">
        <f>DATASETS!E42</f>
        <v>Training</v>
      </c>
      <c r="H86" s="10">
        <f t="shared" si="18"/>
        <v>104621632</v>
      </c>
      <c r="I86" s="10">
        <f t="shared" si="19"/>
        <v>37816247296</v>
      </c>
      <c r="J86" s="10">
        <f t="shared" si="20"/>
        <v>289444</v>
      </c>
      <c r="K86" s="35">
        <f t="shared" si="21"/>
        <v>2304.2984988671669</v>
      </c>
      <c r="L86" s="35">
        <f t="shared" si="22"/>
        <v>-1766.2984988671669</v>
      </c>
      <c r="M86" s="35">
        <f t="shared" si="23"/>
        <v>1766.2984988671669</v>
      </c>
      <c r="N86" s="35">
        <f t="shared" si="24"/>
        <v>3119810.3871004074</v>
      </c>
      <c r="O86" s="35">
        <f t="shared" si="25"/>
        <v>1802019.4024399151</v>
      </c>
      <c r="P86" s="35">
        <f t="shared" si="26"/>
        <v>599.05334479439523</v>
      </c>
      <c r="Q86" s="35">
        <f t="shared" si="27"/>
        <v>-61.05334479439523</v>
      </c>
      <c r="R86" s="35">
        <f t="shared" si="28"/>
        <v>61.05334479439523</v>
      </c>
      <c r="S86" s="35">
        <f t="shared" si="29"/>
        <v>3727.5109105833071</v>
      </c>
      <c r="T86" s="35">
        <f t="shared" si="30"/>
        <v>1802019.4024399151</v>
      </c>
      <c r="U86" s="35">
        <f t="shared" si="31"/>
        <v>580.13146291760529</v>
      </c>
      <c r="V86" s="35">
        <f t="shared" si="32"/>
        <v>-48871.958968045641</v>
      </c>
      <c r="W86" s="35">
        <f t="shared" si="33"/>
        <v>365.24259951412535</v>
      </c>
      <c r="X86" s="35">
        <f t="shared" si="34"/>
        <v>0.55461990728263677</v>
      </c>
      <c r="Y86" s="35">
        <f t="shared" si="35"/>
        <v>48525.083630501023</v>
      </c>
    </row>
    <row r="87" spans="1:25" x14ac:dyDescent="0.3">
      <c r="A87" s="4" t="str">
        <f>DATASETS!A43</f>
        <v>TAFT AVE.</v>
      </c>
      <c r="B87" s="9">
        <f>DATASETS!C43</f>
        <v>134321</v>
      </c>
      <c r="C87" s="4">
        <f>DATASETS!B43</f>
        <v>2023</v>
      </c>
      <c r="D87" s="6">
        <f>DATASETS!I43</f>
        <v>538</v>
      </c>
      <c r="E87" s="9">
        <f>DATASETS!H43</f>
        <v>42</v>
      </c>
      <c r="F87" s="6">
        <f>DATASETS!D43</f>
        <v>587</v>
      </c>
      <c r="G87" s="4" t="str">
        <f>DATASETS!E43</f>
        <v>Training</v>
      </c>
      <c r="H87" s="10">
        <f t="shared" si="18"/>
        <v>78846427</v>
      </c>
      <c r="I87" s="10">
        <f t="shared" si="19"/>
        <v>18042131041</v>
      </c>
      <c r="J87" s="10">
        <f t="shared" si="20"/>
        <v>344569</v>
      </c>
      <c r="K87" s="35">
        <f t="shared" si="21"/>
        <v>1379.2968600683482</v>
      </c>
      <c r="L87" s="35">
        <f t="shared" si="22"/>
        <v>-792.29686006834822</v>
      </c>
      <c r="M87" s="35">
        <f t="shared" si="23"/>
        <v>792.29686006834822</v>
      </c>
      <c r="N87" s="35">
        <f t="shared" si="24"/>
        <v>627734.31447416381</v>
      </c>
      <c r="O87" s="35">
        <f t="shared" si="25"/>
        <v>1672865.8725253853</v>
      </c>
      <c r="P87" s="35">
        <f t="shared" si="26"/>
        <v>527.68970923460927</v>
      </c>
      <c r="Q87" s="35">
        <f t="shared" si="27"/>
        <v>59.310290765390732</v>
      </c>
      <c r="R87" s="35">
        <f t="shared" si="28"/>
        <v>59.310290765390732</v>
      </c>
      <c r="S87" s="35">
        <f t="shared" si="29"/>
        <v>3517.7105906751931</v>
      </c>
      <c r="T87" s="35">
        <f t="shared" si="30"/>
        <v>1672865.8725253853</v>
      </c>
      <c r="U87" s="35">
        <f t="shared" si="31"/>
        <v>400.71086797842099</v>
      </c>
      <c r="V87" s="35">
        <f t="shared" si="32"/>
        <v>-48896.129076338446</v>
      </c>
      <c r="W87" s="35">
        <f t="shared" si="33"/>
        <v>497.46966718632768</v>
      </c>
      <c r="X87" s="35">
        <f t="shared" si="34"/>
        <v>0.55461990728263677</v>
      </c>
      <c r="Y87" s="35">
        <f t="shared" si="35"/>
        <v>48525.083630501023</v>
      </c>
    </row>
    <row r="88" spans="1:25" x14ac:dyDescent="0.3">
      <c r="A88" s="4" t="str">
        <f>DATASETS!A44</f>
        <v>TAFT AVE.</v>
      </c>
      <c r="B88" s="9">
        <f>DATASETS!C44</f>
        <v>119119</v>
      </c>
      <c r="C88" s="4">
        <f>DATASETS!B44</f>
        <v>2024</v>
      </c>
      <c r="D88" s="6">
        <f>DATASETS!I44</f>
        <v>587</v>
      </c>
      <c r="E88" s="9">
        <f>DATASETS!H44</f>
        <v>42</v>
      </c>
      <c r="F88" s="6">
        <f>DATASETS!D44</f>
        <v>481</v>
      </c>
      <c r="G88" s="4" t="str">
        <f>DATASETS!E44</f>
        <v>Training</v>
      </c>
      <c r="H88" s="10">
        <f t="shared" si="18"/>
        <v>57296239</v>
      </c>
      <c r="I88" s="10">
        <f t="shared" si="19"/>
        <v>14189336161</v>
      </c>
      <c r="J88" s="10">
        <f t="shared" si="20"/>
        <v>231361</v>
      </c>
      <c r="K88" s="35">
        <f t="shared" si="21"/>
        <v>1145.4895190142004</v>
      </c>
      <c r="L88" s="35">
        <f t="shared" si="22"/>
        <v>-664.48951901420037</v>
      </c>
      <c r="M88" s="35">
        <f t="shared" si="23"/>
        <v>664.48951901420037</v>
      </c>
      <c r="N88" s="35">
        <f t="shared" si="24"/>
        <v>441546.32087972335</v>
      </c>
      <c r="O88" s="35">
        <f t="shared" si="25"/>
        <v>1958301.2229527356</v>
      </c>
      <c r="P88" s="35">
        <f t="shared" si="26"/>
        <v>503.47706532180581</v>
      </c>
      <c r="Q88" s="35">
        <f t="shared" si="27"/>
        <v>-22.47706532180581</v>
      </c>
      <c r="R88" s="35">
        <f t="shared" si="28"/>
        <v>22.47706532180581</v>
      </c>
      <c r="S88" s="35">
        <f t="shared" si="29"/>
        <v>505.21846548072534</v>
      </c>
      <c r="T88" s="35">
        <f t="shared" si="30"/>
        <v>1958301.2229527356</v>
      </c>
      <c r="U88" s="35">
        <f t="shared" si="31"/>
        <v>355.35975672248964</v>
      </c>
      <c r="V88" s="35">
        <f t="shared" si="32"/>
        <v>-48920.299184631243</v>
      </c>
      <c r="W88" s="35">
        <f t="shared" si="33"/>
        <v>542.77824282225708</v>
      </c>
      <c r="X88" s="35">
        <f t="shared" si="34"/>
        <v>0.55461990728263677</v>
      </c>
      <c r="Y88" s="35">
        <f t="shared" si="35"/>
        <v>48525.083630501023</v>
      </c>
    </row>
    <row r="89" spans="1:25" x14ac:dyDescent="0.3">
      <c r="A89" s="4" t="str">
        <f>DATASETS!A46</f>
        <v>SSH</v>
      </c>
      <c r="B89" s="9">
        <f>DATASETS!C46</f>
        <v>99923</v>
      </c>
      <c r="C89" s="4">
        <f>DATASETS!B46</f>
        <v>2016</v>
      </c>
      <c r="D89" s="6">
        <f>DATASETS!I46</f>
        <v>1481</v>
      </c>
      <c r="E89" s="9">
        <f>DATASETS!H46</f>
        <v>396.48</v>
      </c>
      <c r="F89" s="6">
        <f>DATASETS!D46</f>
        <v>1075</v>
      </c>
      <c r="G89" s="4" t="str">
        <f>DATASETS!E46</f>
        <v>Training</v>
      </c>
      <c r="H89" s="10">
        <f t="shared" si="18"/>
        <v>107417225</v>
      </c>
      <c r="I89" s="10">
        <f t="shared" si="19"/>
        <v>9984605929</v>
      </c>
      <c r="J89" s="10">
        <f t="shared" si="20"/>
        <v>1155625</v>
      </c>
      <c r="K89" s="35">
        <f t="shared" si="21"/>
        <v>850.25430530051608</v>
      </c>
      <c r="L89" s="35">
        <f t="shared" si="22"/>
        <v>224.74569469948392</v>
      </c>
      <c r="M89" s="35">
        <f t="shared" si="23"/>
        <v>224.74569469948392</v>
      </c>
      <c r="N89" s="35">
        <f t="shared" si="24"/>
        <v>50510.627285953633</v>
      </c>
      <c r="O89" s="35">
        <f t="shared" si="25"/>
        <v>648658.14602965885</v>
      </c>
      <c r="P89" s="35">
        <f t="shared" si="26"/>
        <v>1470.9031181391647</v>
      </c>
      <c r="Q89" s="35">
        <f t="shared" si="27"/>
        <v>-395.90311813916469</v>
      </c>
      <c r="R89" s="35">
        <f t="shared" si="28"/>
        <v>395.90311813916469</v>
      </c>
      <c r="S89" s="35">
        <f t="shared" si="29"/>
        <v>156739.27895231338</v>
      </c>
      <c r="T89" s="35">
        <f t="shared" si="30"/>
        <v>648658.14602965885</v>
      </c>
      <c r="U89" s="35">
        <f t="shared" si="31"/>
        <v>298.0936120264721</v>
      </c>
      <c r="V89" s="35">
        <f t="shared" si="32"/>
        <v>-48726.938318288827</v>
      </c>
      <c r="W89" s="35">
        <f t="shared" si="33"/>
        <v>1369.4285819757458</v>
      </c>
      <c r="X89" s="35">
        <f t="shared" si="34"/>
        <v>5.235611924748091</v>
      </c>
      <c r="Y89" s="35">
        <f t="shared" si="35"/>
        <v>48525.083630501023</v>
      </c>
    </row>
    <row r="90" spans="1:25" x14ac:dyDescent="0.3">
      <c r="A90" s="4" t="str">
        <f>DATASETS!A47</f>
        <v>SSH</v>
      </c>
      <c r="B90" s="9">
        <f>DATASETS!C47</f>
        <v>103377</v>
      </c>
      <c r="C90" s="4">
        <f>DATASETS!B47</f>
        <v>2017</v>
      </c>
      <c r="D90" s="6">
        <f>DATASETS!I47</f>
        <v>1075</v>
      </c>
      <c r="E90" s="9">
        <f>DATASETS!H47</f>
        <v>396.48</v>
      </c>
      <c r="F90" s="6">
        <f>DATASETS!D47</f>
        <v>970</v>
      </c>
      <c r="G90" s="4" t="str">
        <f>DATASETS!E47</f>
        <v>Training</v>
      </c>
      <c r="H90" s="10">
        <f t="shared" si="18"/>
        <v>100275690</v>
      </c>
      <c r="I90" s="10">
        <f t="shared" si="19"/>
        <v>10686804129</v>
      </c>
      <c r="J90" s="10">
        <f t="shared" si="20"/>
        <v>940900</v>
      </c>
      <c r="K90" s="35">
        <f t="shared" si="21"/>
        <v>903.37695732005477</v>
      </c>
      <c r="L90" s="35">
        <f t="shared" si="22"/>
        <v>66.623042679945229</v>
      </c>
      <c r="M90" s="35">
        <f t="shared" si="23"/>
        <v>66.623042679945229</v>
      </c>
      <c r="N90" s="35">
        <f t="shared" si="24"/>
        <v>4438.6298159338039</v>
      </c>
      <c r="O90" s="35">
        <f t="shared" si="25"/>
        <v>828815.71013222286</v>
      </c>
      <c r="P90" s="35">
        <f t="shared" si="26"/>
        <v>1081.6231849411474</v>
      </c>
      <c r="Q90" s="35">
        <f t="shared" si="27"/>
        <v>-111.62318494114743</v>
      </c>
      <c r="R90" s="35">
        <f t="shared" si="28"/>
        <v>111.62318494114743</v>
      </c>
      <c r="S90" s="35">
        <f t="shared" si="29"/>
        <v>12459.735416405601</v>
      </c>
      <c r="T90" s="35">
        <f t="shared" si="30"/>
        <v>828815.71013222286</v>
      </c>
      <c r="U90" s="35">
        <f t="shared" si="31"/>
        <v>308.39769953324668</v>
      </c>
      <c r="V90" s="35">
        <f t="shared" si="32"/>
        <v>-48751.108426581632</v>
      </c>
      <c r="W90" s="35">
        <f t="shared" si="33"/>
        <v>994.01466956375884</v>
      </c>
      <c r="X90" s="35">
        <f t="shared" si="34"/>
        <v>5.235611924748091</v>
      </c>
      <c r="Y90" s="35">
        <f t="shared" si="35"/>
        <v>48525.083630501023</v>
      </c>
    </row>
    <row r="91" spans="1:25" x14ac:dyDescent="0.3">
      <c r="A91" s="4" t="str">
        <f>DATASETS!A48</f>
        <v>SSH</v>
      </c>
      <c r="B91" s="9">
        <f>DATASETS!C48</f>
        <v>100909</v>
      </c>
      <c r="C91" s="4">
        <f>DATASETS!B48</f>
        <v>2018</v>
      </c>
      <c r="D91" s="6">
        <f>DATASETS!I48</f>
        <v>970</v>
      </c>
      <c r="E91" s="9">
        <f>DATASETS!H48</f>
        <v>396.48</v>
      </c>
      <c r="F91" s="6">
        <f>DATASETS!D48</f>
        <v>1130</v>
      </c>
      <c r="G91" s="4" t="str">
        <f>DATASETS!E48</f>
        <v>Training</v>
      </c>
      <c r="H91" s="10">
        <f t="shared" si="18"/>
        <v>114027170</v>
      </c>
      <c r="I91" s="10">
        <f t="shared" si="19"/>
        <v>10182626281</v>
      </c>
      <c r="J91" s="10">
        <f t="shared" si="20"/>
        <v>1276900</v>
      </c>
      <c r="K91" s="35">
        <f t="shared" si="21"/>
        <v>865.41902298762238</v>
      </c>
      <c r="L91" s="35">
        <f t="shared" si="22"/>
        <v>264.58097701237762</v>
      </c>
      <c r="M91" s="35">
        <f t="shared" si="23"/>
        <v>264.58097701237762</v>
      </c>
      <c r="N91" s="35">
        <f t="shared" si="24"/>
        <v>70003.09339682429</v>
      </c>
      <c r="O91" s="35">
        <f t="shared" si="25"/>
        <v>563089.89816641097</v>
      </c>
      <c r="P91" s="35">
        <f t="shared" si="26"/>
        <v>953.00065215232996</v>
      </c>
      <c r="Q91" s="35">
        <f t="shared" si="27"/>
        <v>176.99934784767004</v>
      </c>
      <c r="R91" s="35">
        <f t="shared" si="28"/>
        <v>176.99934784767004</v>
      </c>
      <c r="S91" s="35">
        <f t="shared" si="29"/>
        <v>31328.769138500495</v>
      </c>
      <c r="T91" s="35">
        <f t="shared" si="30"/>
        <v>563089.89816641097</v>
      </c>
      <c r="U91" s="35">
        <f t="shared" si="31"/>
        <v>301.03507997137069</v>
      </c>
      <c r="V91" s="35">
        <f t="shared" si="32"/>
        <v>-48775.278534874436</v>
      </c>
      <c r="W91" s="35">
        <f t="shared" si="33"/>
        <v>896.92486462962427</v>
      </c>
      <c r="X91" s="35">
        <f t="shared" si="34"/>
        <v>5.235611924748091</v>
      </c>
      <c r="Y91" s="35">
        <f t="shared" si="35"/>
        <v>48525.083630501023</v>
      </c>
    </row>
    <row r="92" spans="1:25" x14ac:dyDescent="0.3">
      <c r="A92" s="4" t="str">
        <f>DATASETS!A49</f>
        <v>SSH</v>
      </c>
      <c r="B92" s="9">
        <f>DATASETS!C49</f>
        <v>130434</v>
      </c>
      <c r="C92" s="4">
        <f>DATASETS!B49</f>
        <v>2019</v>
      </c>
      <c r="D92" s="6">
        <f>DATASETS!I49</f>
        <v>1130</v>
      </c>
      <c r="E92" s="9">
        <f>DATASETS!H49</f>
        <v>396.48</v>
      </c>
      <c r="F92" s="6">
        <f>DATASETS!D49</f>
        <v>1293</v>
      </c>
      <c r="G92" s="4" t="str">
        <f>DATASETS!E49</f>
        <v>Training</v>
      </c>
      <c r="H92" s="10">
        <f t="shared" si="18"/>
        <v>168651162</v>
      </c>
      <c r="I92" s="10">
        <f t="shared" si="19"/>
        <v>17013028356</v>
      </c>
      <c r="J92" s="10">
        <f t="shared" si="20"/>
        <v>1671849</v>
      </c>
      <c r="K92" s="35">
        <f t="shared" si="21"/>
        <v>1319.5146514985895</v>
      </c>
      <c r="L92" s="35">
        <f t="shared" si="22"/>
        <v>-26.514651498589501</v>
      </c>
      <c r="M92" s="35">
        <f t="shared" si="23"/>
        <v>26.514651498589501</v>
      </c>
      <c r="N92" s="35">
        <f t="shared" si="24"/>
        <v>703.02674409165445</v>
      </c>
      <c r="O92" s="35">
        <f t="shared" si="25"/>
        <v>345030.72722623998</v>
      </c>
      <c r="P92" s="35">
        <f t="shared" si="26"/>
        <v>1164.8568738033912</v>
      </c>
      <c r="Q92" s="35">
        <f t="shared" si="27"/>
        <v>128.14312619660882</v>
      </c>
      <c r="R92" s="35">
        <f t="shared" si="28"/>
        <v>128.14312619660882</v>
      </c>
      <c r="S92" s="35">
        <f t="shared" si="29"/>
        <v>16420.660791440012</v>
      </c>
      <c r="T92" s="35">
        <f t="shared" si="30"/>
        <v>345030.72722623998</v>
      </c>
      <c r="U92" s="35">
        <f t="shared" si="31"/>
        <v>389.11504049178734</v>
      </c>
      <c r="V92" s="35">
        <f t="shared" si="32"/>
        <v>-48799.448643167234</v>
      </c>
      <c r="W92" s="35">
        <f t="shared" si="33"/>
        <v>1044.8712340530674</v>
      </c>
      <c r="X92" s="35">
        <f t="shared" si="34"/>
        <v>5.235611924748091</v>
      </c>
      <c r="Y92" s="35">
        <f t="shared" si="35"/>
        <v>48525.083630501023</v>
      </c>
    </row>
    <row r="93" spans="1:25" x14ac:dyDescent="0.3">
      <c r="A93" s="4" t="str">
        <f>DATASETS!A50</f>
        <v>SSH</v>
      </c>
      <c r="B93" s="9">
        <f>DATASETS!C50</f>
        <v>142755</v>
      </c>
      <c r="C93" s="4">
        <f>DATASETS!B50</f>
        <v>2020</v>
      </c>
      <c r="D93" s="6">
        <f>DATASETS!I50</f>
        <v>1293</v>
      </c>
      <c r="E93" s="9">
        <f>DATASETS!H50</f>
        <v>396.48</v>
      </c>
      <c r="F93" s="6">
        <f>DATASETS!D50</f>
        <v>639</v>
      </c>
      <c r="G93" s="4" t="str">
        <f>DATASETS!E50</f>
        <v>Training</v>
      </c>
      <c r="H93" s="10">
        <f t="shared" si="18"/>
        <v>91220445</v>
      </c>
      <c r="I93" s="10">
        <f t="shared" si="19"/>
        <v>20378990025</v>
      </c>
      <c r="J93" s="10">
        <f t="shared" si="20"/>
        <v>408321</v>
      </c>
      <c r="K93" s="35">
        <f t="shared" si="21"/>
        <v>1509.0121024345297</v>
      </c>
      <c r="L93" s="35">
        <f t="shared" si="22"/>
        <v>-870.01210243452965</v>
      </c>
      <c r="M93" s="35">
        <f t="shared" si="23"/>
        <v>870.01210243452965</v>
      </c>
      <c r="N93" s="35">
        <f t="shared" si="24"/>
        <v>756921.05838255049</v>
      </c>
      <c r="O93" s="35">
        <f t="shared" si="25"/>
        <v>1541056.9836364964</v>
      </c>
      <c r="P93" s="35">
        <f t="shared" si="26"/>
        <v>1328.1635457391164</v>
      </c>
      <c r="Q93" s="35">
        <f t="shared" si="27"/>
        <v>-689.16354573911644</v>
      </c>
      <c r="R93" s="35">
        <f t="shared" si="28"/>
        <v>689.16354573911644</v>
      </c>
      <c r="S93" s="35">
        <f t="shared" si="29"/>
        <v>474946.39277571125</v>
      </c>
      <c r="T93" s="35">
        <f t="shared" si="30"/>
        <v>1541056.9836364964</v>
      </c>
      <c r="U93" s="35">
        <f t="shared" si="31"/>
        <v>425.87145687018028</v>
      </c>
      <c r="V93" s="35">
        <f t="shared" si="32"/>
        <v>-48823.618751460039</v>
      </c>
      <c r="W93" s="35">
        <f t="shared" si="33"/>
        <v>1195.5915979032002</v>
      </c>
      <c r="X93" s="35">
        <f t="shared" si="34"/>
        <v>5.235611924748091</v>
      </c>
      <c r="Y93" s="35">
        <f t="shared" si="35"/>
        <v>48525.083630501023</v>
      </c>
    </row>
    <row r="94" spans="1:25" x14ac:dyDescent="0.3">
      <c r="A94" s="4" t="str">
        <f>DATASETS!A51</f>
        <v>SSH</v>
      </c>
      <c r="B94" s="9">
        <f>DATASETS!C51</f>
        <v>187189</v>
      </c>
      <c r="C94" s="4">
        <f>DATASETS!B51</f>
        <v>2021</v>
      </c>
      <c r="D94" s="6">
        <f>DATASETS!I51</f>
        <v>639</v>
      </c>
      <c r="E94" s="9">
        <f>DATASETS!H51</f>
        <v>396.48</v>
      </c>
      <c r="F94" s="6">
        <f>DATASETS!D51</f>
        <v>223</v>
      </c>
      <c r="G94" s="4" t="str">
        <f>DATASETS!E51</f>
        <v>Training</v>
      </c>
      <c r="H94" s="10">
        <f t="shared" si="18"/>
        <v>41743147</v>
      </c>
      <c r="I94" s="10">
        <f t="shared" si="19"/>
        <v>35039721721</v>
      </c>
      <c r="J94" s="10">
        <f t="shared" si="20"/>
        <v>49729</v>
      </c>
      <c r="K94" s="35">
        <f t="shared" si="21"/>
        <v>2192.4087208005358</v>
      </c>
      <c r="L94" s="35">
        <f t="shared" si="22"/>
        <v>-1969.4087208005358</v>
      </c>
      <c r="M94" s="35">
        <f t="shared" si="23"/>
        <v>1969.4087208005358</v>
      </c>
      <c r="N94" s="35">
        <f t="shared" si="24"/>
        <v>3878570.7095652027</v>
      </c>
      <c r="O94" s="35">
        <f t="shared" si="25"/>
        <v>2746952.0947476076</v>
      </c>
      <c r="P94" s="35">
        <f t="shared" si="26"/>
        <v>831.81963687386087</v>
      </c>
      <c r="Q94" s="35">
        <f t="shared" si="27"/>
        <v>-608.81963687386087</v>
      </c>
      <c r="R94" s="35">
        <f t="shared" si="28"/>
        <v>608.81963687386087</v>
      </c>
      <c r="S94" s="35">
        <f t="shared" si="29"/>
        <v>370661.35024321981</v>
      </c>
      <c r="T94" s="35">
        <f t="shared" si="30"/>
        <v>2746952.0947476076</v>
      </c>
      <c r="U94" s="35">
        <f t="shared" si="31"/>
        <v>558.42844131604625</v>
      </c>
      <c r="V94" s="35">
        <f t="shared" si="32"/>
        <v>-48847.788859752836</v>
      </c>
      <c r="W94" s="35">
        <f t="shared" si="33"/>
        <v>590.86081288487617</v>
      </c>
      <c r="X94" s="35">
        <f t="shared" si="34"/>
        <v>5.235611924748091</v>
      </c>
      <c r="Y94" s="35">
        <f t="shared" si="35"/>
        <v>48525.083630501023</v>
      </c>
    </row>
    <row r="95" spans="1:25" x14ac:dyDescent="0.3">
      <c r="A95" s="4" t="str">
        <f>DATASETS!A52</f>
        <v>SSH</v>
      </c>
      <c r="B95" s="9">
        <f>DATASETS!C52</f>
        <v>260549</v>
      </c>
      <c r="C95" s="4">
        <f>DATASETS!B52</f>
        <v>2022</v>
      </c>
      <c r="D95" s="6">
        <f>DATASETS!I52</f>
        <v>223</v>
      </c>
      <c r="E95" s="9">
        <f>DATASETS!H52</f>
        <v>396.48</v>
      </c>
      <c r="F95" s="6">
        <f>DATASETS!D52</f>
        <v>909</v>
      </c>
      <c r="G95" s="4" t="str">
        <f>DATASETS!E52</f>
        <v>Training</v>
      </c>
      <c r="H95" s="10">
        <f t="shared" si="18"/>
        <v>236839041</v>
      </c>
      <c r="I95" s="10">
        <f t="shared" si="19"/>
        <v>67885781401</v>
      </c>
      <c r="J95" s="10">
        <f t="shared" si="20"/>
        <v>826281</v>
      </c>
      <c r="K95" s="35">
        <f t="shared" si="21"/>
        <v>3320.6883247823998</v>
      </c>
      <c r="L95" s="35">
        <f t="shared" si="22"/>
        <v>-2411.6883247823998</v>
      </c>
      <c r="M95" s="35">
        <f t="shared" si="23"/>
        <v>2411.6883247823998</v>
      </c>
      <c r="N95" s="35">
        <f t="shared" si="24"/>
        <v>5816240.5758917378</v>
      </c>
      <c r="O95" s="35">
        <f t="shared" si="25"/>
        <v>943604.67594418873</v>
      </c>
      <c r="P95" s="35">
        <f t="shared" si="26"/>
        <v>641.8389563536889</v>
      </c>
      <c r="Q95" s="35">
        <f t="shared" si="27"/>
        <v>267.1610436463111</v>
      </c>
      <c r="R95" s="35">
        <f t="shared" si="28"/>
        <v>267.1610436463111</v>
      </c>
      <c r="S95" s="35">
        <f t="shared" si="29"/>
        <v>71375.023242186144</v>
      </c>
      <c r="T95" s="35">
        <f t="shared" si="30"/>
        <v>943604.67594418873</v>
      </c>
      <c r="U95" s="35">
        <f t="shared" si="31"/>
        <v>777.27842958963686</v>
      </c>
      <c r="V95" s="35">
        <f t="shared" si="32"/>
        <v>-48871.958968045641</v>
      </c>
      <c r="W95" s="35">
        <f t="shared" si="33"/>
        <v>206.20025238392392</v>
      </c>
      <c r="X95" s="35">
        <f t="shared" si="34"/>
        <v>5.235611924748091</v>
      </c>
      <c r="Y95" s="35">
        <f t="shared" si="35"/>
        <v>48525.083630501023</v>
      </c>
    </row>
    <row r="96" spans="1:25" x14ac:dyDescent="0.3">
      <c r="A96" s="4" t="str">
        <f>DATASETS!A53</f>
        <v>SSH</v>
      </c>
      <c r="B96" s="9">
        <f>DATASETS!C53</f>
        <v>176904</v>
      </c>
      <c r="C96" s="4">
        <f>DATASETS!B53</f>
        <v>2023</v>
      </c>
      <c r="D96" s="6">
        <f>DATASETS!I53</f>
        <v>909</v>
      </c>
      <c r="E96" s="9">
        <f>DATASETS!H53</f>
        <v>396.48</v>
      </c>
      <c r="F96" s="6">
        <f>DATASETS!D53</f>
        <v>947</v>
      </c>
      <c r="G96" s="4" t="str">
        <f>DATASETS!E53</f>
        <v>Training</v>
      </c>
      <c r="H96" s="10">
        <f t="shared" si="18"/>
        <v>167528088</v>
      </c>
      <c r="I96" s="10">
        <f t="shared" si="19"/>
        <v>31295025216</v>
      </c>
      <c r="J96" s="10">
        <f t="shared" si="20"/>
        <v>896809</v>
      </c>
      <c r="K96" s="35">
        <f t="shared" si="21"/>
        <v>2034.2250276850298</v>
      </c>
      <c r="L96" s="35">
        <f t="shared" si="22"/>
        <v>-1087.2250276850298</v>
      </c>
      <c r="M96" s="35">
        <f t="shared" si="23"/>
        <v>1087.2250276850298</v>
      </c>
      <c r="N96" s="35">
        <f t="shared" si="24"/>
        <v>1182058.2608247139</v>
      </c>
      <c r="O96" s="35">
        <f t="shared" si="25"/>
        <v>871222.79560230835</v>
      </c>
      <c r="P96" s="35">
        <f t="shared" si="26"/>
        <v>1002.4563651271392</v>
      </c>
      <c r="Q96" s="35">
        <f t="shared" si="27"/>
        <v>-55.456365127139179</v>
      </c>
      <c r="R96" s="35">
        <f t="shared" si="28"/>
        <v>55.456365127139179</v>
      </c>
      <c r="S96" s="35">
        <f t="shared" si="29"/>
        <v>3075.4084331145787</v>
      </c>
      <c r="T96" s="35">
        <f t="shared" si="30"/>
        <v>871222.79560230835</v>
      </c>
      <c r="U96" s="35">
        <f t="shared" si="31"/>
        <v>527.74588775287998</v>
      </c>
      <c r="V96" s="35">
        <f t="shared" si="32"/>
        <v>-48896.129076338446</v>
      </c>
      <c r="W96" s="35">
        <f t="shared" si="33"/>
        <v>840.52031128693648</v>
      </c>
      <c r="X96" s="35">
        <f t="shared" si="34"/>
        <v>5.235611924748091</v>
      </c>
      <c r="Y96" s="35">
        <f t="shared" si="35"/>
        <v>48525.083630501023</v>
      </c>
    </row>
    <row r="97" spans="1:25" x14ac:dyDescent="0.3">
      <c r="A97" s="4" t="str">
        <f>DATASETS!A54</f>
        <v>SSH</v>
      </c>
      <c r="B97" s="9">
        <f>DATASETS!C54</f>
        <v>193641</v>
      </c>
      <c r="C97" s="4">
        <f>DATASETS!B54</f>
        <v>2024</v>
      </c>
      <c r="D97" s="6">
        <f>DATASETS!I54</f>
        <v>947</v>
      </c>
      <c r="E97" s="9">
        <f>DATASETS!H54</f>
        <v>396.48</v>
      </c>
      <c r="F97" s="6">
        <f>DATASETS!D54</f>
        <v>1040</v>
      </c>
      <c r="G97" s="4" t="str">
        <f>DATASETS!E54</f>
        <v>Training</v>
      </c>
      <c r="H97" s="10">
        <f t="shared" si="18"/>
        <v>201386640</v>
      </c>
      <c r="I97" s="10">
        <f t="shared" si="19"/>
        <v>37496836881</v>
      </c>
      <c r="J97" s="10">
        <f t="shared" si="20"/>
        <v>1081600</v>
      </c>
      <c r="K97" s="35">
        <f t="shared" si="21"/>
        <v>2291.6407274102821</v>
      </c>
      <c r="L97" s="35">
        <f t="shared" si="22"/>
        <v>-1251.6407274102821</v>
      </c>
      <c r="M97" s="35">
        <f t="shared" si="23"/>
        <v>1251.6407274102821</v>
      </c>
      <c r="N97" s="35">
        <f t="shared" si="24"/>
        <v>1566604.5105121401</v>
      </c>
      <c r="O97" s="35">
        <f t="shared" si="25"/>
        <v>706260.66739718011</v>
      </c>
      <c r="P97" s="35">
        <f t="shared" si="26"/>
        <v>1063.3538938054396</v>
      </c>
      <c r="Q97" s="35">
        <f t="shared" si="27"/>
        <v>-23.353893805439611</v>
      </c>
      <c r="R97" s="35">
        <f t="shared" si="28"/>
        <v>23.353893805439611</v>
      </c>
      <c r="S97" s="35">
        <f t="shared" si="29"/>
        <v>545.40435587575064</v>
      </c>
      <c r="T97" s="35">
        <f t="shared" si="30"/>
        <v>706260.66739718011</v>
      </c>
      <c r="U97" s="35">
        <f t="shared" si="31"/>
        <v>577.67626198591006</v>
      </c>
      <c r="V97" s="35">
        <f t="shared" si="32"/>
        <v>-48920.299184631243</v>
      </c>
      <c r="W97" s="35">
        <f t="shared" si="33"/>
        <v>875.65757402500424</v>
      </c>
      <c r="X97" s="35">
        <f t="shared" si="34"/>
        <v>5.235611924748091</v>
      </c>
      <c r="Y97" s="35">
        <f t="shared" si="35"/>
        <v>48525.083630501023</v>
      </c>
    </row>
    <row r="98" spans="1:25" x14ac:dyDescent="0.3">
      <c r="A98" s="4" t="str">
        <f>DATASETS!A56</f>
        <v>ORTIGAS AVE.</v>
      </c>
      <c r="B98" s="9">
        <f>DATASETS!C56</f>
        <v>153425</v>
      </c>
      <c r="C98" s="4">
        <f>DATASETS!B56</f>
        <v>2016</v>
      </c>
      <c r="D98" s="6">
        <f>DATASETS!I56</f>
        <v>1973</v>
      </c>
      <c r="E98" s="9">
        <f>DATASETS!H56</f>
        <v>72.599999999999994</v>
      </c>
      <c r="F98" s="6">
        <f>DATASETS!D56</f>
        <v>2289</v>
      </c>
      <c r="G98" s="4" t="str">
        <f>DATASETS!E56</f>
        <v>Training</v>
      </c>
      <c r="H98" s="10">
        <f t="shared" si="18"/>
        <v>351189825</v>
      </c>
      <c r="I98" s="10">
        <f t="shared" si="19"/>
        <v>23539230625</v>
      </c>
      <c r="J98" s="10">
        <f t="shared" si="20"/>
        <v>5239521</v>
      </c>
      <c r="K98" s="35">
        <f t="shared" si="21"/>
        <v>1673.1171102655887</v>
      </c>
      <c r="L98" s="35">
        <f t="shared" si="22"/>
        <v>615.88288973441126</v>
      </c>
      <c r="M98" s="35">
        <f t="shared" si="23"/>
        <v>615.88288973441126</v>
      </c>
      <c r="N98" s="35">
        <f t="shared" si="24"/>
        <v>379311.733867609</v>
      </c>
      <c r="O98" s="35">
        <f t="shared" si="25"/>
        <v>166959.5477390606</v>
      </c>
      <c r="P98" s="35">
        <f t="shared" si="26"/>
        <v>2081.1702355096095</v>
      </c>
      <c r="Q98" s="35">
        <f t="shared" si="27"/>
        <v>207.82976449039052</v>
      </c>
      <c r="R98" s="35">
        <f t="shared" si="28"/>
        <v>207.82976449039052</v>
      </c>
      <c r="S98" s="35">
        <f t="shared" si="29"/>
        <v>43193.211008131184</v>
      </c>
      <c r="T98" s="35">
        <f t="shared" si="30"/>
        <v>166959.5477390606</v>
      </c>
      <c r="U98" s="35">
        <f t="shared" si="31"/>
        <v>457.70255521913356</v>
      </c>
      <c r="V98" s="35">
        <f t="shared" si="32"/>
        <v>-48726.938318288827</v>
      </c>
      <c r="W98" s="35">
        <f t="shared" si="33"/>
        <v>1824.3636679528336</v>
      </c>
      <c r="X98" s="35">
        <f t="shared" si="34"/>
        <v>0.95870012544570049</v>
      </c>
      <c r="Y98" s="35">
        <f t="shared" si="35"/>
        <v>48525.083630501023</v>
      </c>
    </row>
    <row r="99" spans="1:25" x14ac:dyDescent="0.3">
      <c r="A99" s="4" t="str">
        <f>DATASETS!A57</f>
        <v>ORTIGAS AVE.</v>
      </c>
      <c r="B99" s="9">
        <f>DATASETS!C57</f>
        <v>153955</v>
      </c>
      <c r="C99" s="4">
        <f>DATASETS!B57</f>
        <v>2017</v>
      </c>
      <c r="D99" s="6">
        <f>DATASETS!I57</f>
        <v>2289</v>
      </c>
      <c r="E99" s="9">
        <f>DATASETS!H57</f>
        <v>72.599999999999994</v>
      </c>
      <c r="F99" s="6">
        <f>DATASETS!D57</f>
        <v>2006</v>
      </c>
      <c r="G99" s="4" t="str">
        <f>DATASETS!E57</f>
        <v>Training</v>
      </c>
      <c r="H99" s="10">
        <f t="shared" si="18"/>
        <v>308833730</v>
      </c>
      <c r="I99" s="10">
        <f t="shared" si="19"/>
        <v>23702142025</v>
      </c>
      <c r="J99" s="10">
        <f t="shared" si="20"/>
        <v>4024036</v>
      </c>
      <c r="K99" s="35">
        <f t="shared" si="21"/>
        <v>1681.2685305233638</v>
      </c>
      <c r="L99" s="35">
        <f t="shared" si="22"/>
        <v>324.73146947663622</v>
      </c>
      <c r="M99" s="35">
        <f t="shared" si="23"/>
        <v>324.73146947663622</v>
      </c>
      <c r="N99" s="35">
        <f t="shared" si="24"/>
        <v>105450.52726845552</v>
      </c>
      <c r="O99" s="35">
        <f t="shared" si="25"/>
        <v>15777.077653590484</v>
      </c>
      <c r="P99" s="35">
        <f t="shared" si="26"/>
        <v>2350.7753204293176</v>
      </c>
      <c r="Q99" s="35">
        <f t="shared" si="27"/>
        <v>-344.77532042931762</v>
      </c>
      <c r="R99" s="35">
        <f t="shared" si="28"/>
        <v>344.77532042931762</v>
      </c>
      <c r="S99" s="35">
        <f t="shared" si="29"/>
        <v>118870.02157713864</v>
      </c>
      <c r="T99" s="35">
        <f t="shared" si="30"/>
        <v>15777.077653590484</v>
      </c>
      <c r="U99" s="35">
        <f t="shared" si="31"/>
        <v>459.2836688203468</v>
      </c>
      <c r="V99" s="35">
        <f t="shared" si="32"/>
        <v>-48751.108426581632</v>
      </c>
      <c r="W99" s="35">
        <f t="shared" si="33"/>
        <v>2116.5577475641339</v>
      </c>
      <c r="X99" s="35">
        <f t="shared" si="34"/>
        <v>0.95870012544570049</v>
      </c>
      <c r="Y99" s="35">
        <f t="shared" si="35"/>
        <v>48525.083630501023</v>
      </c>
    </row>
    <row r="100" spans="1:25" x14ac:dyDescent="0.3">
      <c r="A100" s="4" t="str">
        <f>DATASETS!A58</f>
        <v>ORTIGAS AVE.</v>
      </c>
      <c r="B100" s="9">
        <f>DATASETS!C58</f>
        <v>174480</v>
      </c>
      <c r="C100" s="4">
        <f>DATASETS!B58</f>
        <v>2018</v>
      </c>
      <c r="D100" s="6">
        <f>DATASETS!I58</f>
        <v>2006</v>
      </c>
      <c r="E100" s="9">
        <f>DATASETS!H58</f>
        <v>72.599999999999994</v>
      </c>
      <c r="F100" s="6">
        <f>DATASETS!D58</f>
        <v>2683</v>
      </c>
      <c r="G100" s="4" t="str">
        <f>DATASETS!E58</f>
        <v>Training</v>
      </c>
      <c r="H100" s="10">
        <f t="shared" si="18"/>
        <v>468129840</v>
      </c>
      <c r="I100" s="10">
        <f t="shared" si="19"/>
        <v>30443270400</v>
      </c>
      <c r="J100" s="10">
        <f t="shared" si="20"/>
        <v>7198489</v>
      </c>
      <c r="K100" s="35">
        <f t="shared" si="21"/>
        <v>1996.9438150343751</v>
      </c>
      <c r="L100" s="35">
        <f t="shared" si="22"/>
        <v>686.05618496562488</v>
      </c>
      <c r="M100" s="35">
        <f t="shared" si="23"/>
        <v>686.05618496562488</v>
      </c>
      <c r="N100" s="35">
        <f t="shared" si="24"/>
        <v>470673.08892958768</v>
      </c>
      <c r="O100" s="35">
        <f t="shared" si="25"/>
        <v>644177.7357732486</v>
      </c>
      <c r="P100" s="35">
        <f t="shared" si="26"/>
        <v>2126.1559328506892</v>
      </c>
      <c r="Q100" s="35">
        <f t="shared" si="27"/>
        <v>556.84406714931083</v>
      </c>
      <c r="R100" s="35">
        <f t="shared" si="28"/>
        <v>556.84406714931083</v>
      </c>
      <c r="S100" s="35">
        <f t="shared" si="29"/>
        <v>310075.31511938618</v>
      </c>
      <c r="T100" s="35">
        <f t="shared" si="30"/>
        <v>644177.7357732486</v>
      </c>
      <c r="U100" s="35">
        <f t="shared" si="31"/>
        <v>520.51453045223673</v>
      </c>
      <c r="V100" s="35">
        <f t="shared" si="32"/>
        <v>-48775.278534874436</v>
      </c>
      <c r="W100" s="35">
        <f t="shared" si="33"/>
        <v>1854.8776066464188</v>
      </c>
      <c r="X100" s="35">
        <f t="shared" si="34"/>
        <v>0.95870012544570049</v>
      </c>
      <c r="Y100" s="35">
        <f t="shared" si="35"/>
        <v>48525.083630501023</v>
      </c>
    </row>
    <row r="101" spans="1:25" x14ac:dyDescent="0.3">
      <c r="A101" s="4" t="str">
        <f>DATASETS!A59</f>
        <v>ORTIGAS AVE.</v>
      </c>
      <c r="B101" s="9">
        <f>DATASETS!C59</f>
        <v>180737</v>
      </c>
      <c r="C101" s="4">
        <f>DATASETS!B59</f>
        <v>2019</v>
      </c>
      <c r="D101" s="6">
        <f>DATASETS!I59</f>
        <v>2683</v>
      </c>
      <c r="E101" s="9">
        <f>DATASETS!H59</f>
        <v>72.599999999999994</v>
      </c>
      <c r="F101" s="6">
        <f>DATASETS!D59</f>
        <v>2922</v>
      </c>
      <c r="G101" s="4" t="str">
        <f>DATASETS!E59</f>
        <v>Training</v>
      </c>
      <c r="H101" s="10">
        <f t="shared" si="18"/>
        <v>528113514</v>
      </c>
      <c r="I101" s="10">
        <f t="shared" si="19"/>
        <v>32665863169</v>
      </c>
      <c r="J101" s="10">
        <f t="shared" si="20"/>
        <v>8538084</v>
      </c>
      <c r="K101" s="35">
        <f t="shared" si="21"/>
        <v>2093.1767141907894</v>
      </c>
      <c r="L101" s="35">
        <f t="shared" si="22"/>
        <v>828.82328580921057</v>
      </c>
      <c r="M101" s="35">
        <f t="shared" si="23"/>
        <v>828.82328580921057</v>
      </c>
      <c r="N101" s="35">
        <f t="shared" si="24"/>
        <v>686948.0390995763</v>
      </c>
      <c r="O101" s="35">
        <f t="shared" si="25"/>
        <v>1084944.8041493171</v>
      </c>
      <c r="P101" s="35">
        <f t="shared" si="26"/>
        <v>2746.6499903747822</v>
      </c>
      <c r="Q101" s="35">
        <f t="shared" si="27"/>
        <v>175.35000962521781</v>
      </c>
      <c r="R101" s="35">
        <f t="shared" si="28"/>
        <v>175.35000962521781</v>
      </c>
      <c r="S101" s="35">
        <f t="shared" si="29"/>
        <v>30747.625875563979</v>
      </c>
      <c r="T101" s="35">
        <f t="shared" si="30"/>
        <v>1084944.8041493171</v>
      </c>
      <c r="U101" s="35">
        <f t="shared" si="31"/>
        <v>539.18062064618243</v>
      </c>
      <c r="V101" s="35">
        <f t="shared" si="32"/>
        <v>-48799.448643167234</v>
      </c>
      <c r="W101" s="35">
        <f t="shared" si="33"/>
        <v>2480.8756822693626</v>
      </c>
      <c r="X101" s="35">
        <f t="shared" si="34"/>
        <v>0.95870012544570049</v>
      </c>
      <c r="Y101" s="35">
        <f t="shared" si="35"/>
        <v>48525.083630501023</v>
      </c>
    </row>
    <row r="102" spans="1:25" x14ac:dyDescent="0.3">
      <c r="A102" s="4" t="str">
        <f>DATASETS!A60</f>
        <v>ORTIGAS AVE.</v>
      </c>
      <c r="B102" s="9">
        <f>DATASETS!C60</f>
        <v>172490</v>
      </c>
      <c r="C102" s="4">
        <f>DATASETS!B60</f>
        <v>2020</v>
      </c>
      <c r="D102" s="6">
        <f>DATASETS!I60</f>
        <v>2922</v>
      </c>
      <c r="E102" s="9">
        <f>DATASETS!H60</f>
        <v>72.599999999999994</v>
      </c>
      <c r="F102" s="6">
        <f>DATASETS!D60</f>
        <v>1266</v>
      </c>
      <c r="G102" s="4" t="str">
        <f>DATASETS!E60</f>
        <v>Training</v>
      </c>
      <c r="H102" s="10">
        <f t="shared" si="18"/>
        <v>218372340</v>
      </c>
      <c r="I102" s="10">
        <f t="shared" si="19"/>
        <v>29752800100</v>
      </c>
      <c r="J102" s="10">
        <f t="shared" si="20"/>
        <v>1602756</v>
      </c>
      <c r="K102" s="35">
        <f t="shared" si="21"/>
        <v>1966.3375389721625</v>
      </c>
      <c r="L102" s="35">
        <f t="shared" si="22"/>
        <v>-700.33753897216252</v>
      </c>
      <c r="M102" s="35">
        <f t="shared" si="23"/>
        <v>700.33753897216252</v>
      </c>
      <c r="N102" s="35">
        <f t="shared" si="24"/>
        <v>490472.66849358525</v>
      </c>
      <c r="O102" s="35">
        <f t="shared" si="25"/>
        <v>377478.95799547079</v>
      </c>
      <c r="P102" s="35">
        <f t="shared" si="26"/>
        <v>2918.8720471267275</v>
      </c>
      <c r="Q102" s="35">
        <f t="shared" si="27"/>
        <v>-1652.8720471267275</v>
      </c>
      <c r="R102" s="35">
        <f t="shared" si="28"/>
        <v>1652.8720471267275</v>
      </c>
      <c r="S102" s="35">
        <f t="shared" si="29"/>
        <v>2731986.0041728988</v>
      </c>
      <c r="T102" s="35">
        <f t="shared" si="30"/>
        <v>377478.95799547079</v>
      </c>
      <c r="U102" s="35">
        <f t="shared" si="31"/>
        <v>514.57789636466259</v>
      </c>
      <c r="V102" s="35">
        <f t="shared" si="32"/>
        <v>-48823.618751460039</v>
      </c>
      <c r="W102" s="35">
        <f t="shared" si="33"/>
        <v>2701.8705715956307</v>
      </c>
      <c r="X102" s="35">
        <f t="shared" si="34"/>
        <v>0.95870012544570049</v>
      </c>
      <c r="Y102" s="35">
        <f t="shared" si="35"/>
        <v>48525.083630501023</v>
      </c>
    </row>
    <row r="103" spans="1:25" x14ac:dyDescent="0.3">
      <c r="A103" s="4" t="str">
        <f>DATASETS!A61</f>
        <v>ORTIGAS AVE.</v>
      </c>
      <c r="B103" s="9">
        <f>DATASETS!C61</f>
        <v>185699</v>
      </c>
      <c r="C103" s="4">
        <f>DATASETS!B61</f>
        <v>2021</v>
      </c>
      <c r="D103" s="6">
        <f>DATASETS!I61</f>
        <v>1266</v>
      </c>
      <c r="E103" s="9">
        <f>DATASETS!H61</f>
        <v>72.599999999999994</v>
      </c>
      <c r="F103" s="6">
        <f>DATASETS!D61</f>
        <v>1080</v>
      </c>
      <c r="G103" s="4" t="str">
        <f>DATASETS!E61</f>
        <v>Training</v>
      </c>
      <c r="H103" s="10">
        <f t="shared" si="18"/>
        <v>200554920</v>
      </c>
      <c r="I103" s="10">
        <f t="shared" si="19"/>
        <v>34484118601</v>
      </c>
      <c r="J103" s="10">
        <f t="shared" si="20"/>
        <v>1166400</v>
      </c>
      <c r="K103" s="35">
        <f t="shared" si="21"/>
        <v>2169.4924638494313</v>
      </c>
      <c r="L103" s="35">
        <f t="shared" si="22"/>
        <v>-1089.4924638494313</v>
      </c>
      <c r="M103" s="35">
        <f t="shared" si="23"/>
        <v>1089.4924638494313</v>
      </c>
      <c r="N103" s="35">
        <f t="shared" si="24"/>
        <v>1186993.8287847042</v>
      </c>
      <c r="O103" s="35">
        <f t="shared" si="25"/>
        <v>640629.21440572722</v>
      </c>
      <c r="P103" s="35">
        <f t="shared" si="26"/>
        <v>1402.8625427700201</v>
      </c>
      <c r="Q103" s="35">
        <f t="shared" si="27"/>
        <v>-322.86254277002013</v>
      </c>
      <c r="R103" s="35">
        <f t="shared" si="28"/>
        <v>322.86254277002013</v>
      </c>
      <c r="S103" s="35">
        <f t="shared" si="29"/>
        <v>104240.22152392307</v>
      </c>
      <c r="T103" s="35">
        <f t="shared" si="30"/>
        <v>640629.21440572722</v>
      </c>
      <c r="U103" s="35">
        <f t="shared" si="31"/>
        <v>553.98342383339013</v>
      </c>
      <c r="V103" s="35">
        <f t="shared" si="32"/>
        <v>-48847.788859752836</v>
      </c>
      <c r="W103" s="35">
        <f t="shared" si="33"/>
        <v>1170.6256480629941</v>
      </c>
      <c r="X103" s="35">
        <f t="shared" si="34"/>
        <v>0.95870012544570049</v>
      </c>
      <c r="Y103" s="35">
        <f t="shared" si="35"/>
        <v>48525.083630501023</v>
      </c>
    </row>
    <row r="104" spans="1:25" x14ac:dyDescent="0.3">
      <c r="A104" s="4" t="str">
        <f>DATASETS!A62</f>
        <v>ORTIGAS AVE.</v>
      </c>
      <c r="B104" s="9">
        <f>DATASETS!C62</f>
        <v>179661</v>
      </c>
      <c r="C104" s="4">
        <f>DATASETS!B62</f>
        <v>2022</v>
      </c>
      <c r="D104" s="6">
        <f>DATASETS!I62</f>
        <v>1080</v>
      </c>
      <c r="E104" s="9">
        <f>DATASETS!H62</f>
        <v>72.599999999999994</v>
      </c>
      <c r="F104" s="6">
        <f>DATASETS!D62</f>
        <v>1349</v>
      </c>
      <c r="G104" s="4" t="str">
        <f>DATASETS!E62</f>
        <v>Training</v>
      </c>
      <c r="H104" s="10">
        <f t="shared" si="18"/>
        <v>242362689</v>
      </c>
      <c r="I104" s="10">
        <f t="shared" si="19"/>
        <v>32278074921</v>
      </c>
      <c r="J104" s="10">
        <f t="shared" si="20"/>
        <v>1819801</v>
      </c>
      <c r="K104" s="35">
        <f t="shared" si="21"/>
        <v>2076.6277930636834</v>
      </c>
      <c r="L104" s="35">
        <f t="shared" si="22"/>
        <v>-727.62779306368338</v>
      </c>
      <c r="M104" s="35">
        <f t="shared" si="23"/>
        <v>727.62779306368338</v>
      </c>
      <c r="N104" s="35">
        <f t="shared" si="24"/>
        <v>529442.20523872646</v>
      </c>
      <c r="O104" s="35">
        <f t="shared" si="25"/>
        <v>282378.69303820579</v>
      </c>
      <c r="P104" s="35">
        <f t="shared" si="26"/>
        <v>1188.6920179014649</v>
      </c>
      <c r="Q104" s="35">
        <f t="shared" si="27"/>
        <v>160.30798209853515</v>
      </c>
      <c r="R104" s="35">
        <f t="shared" si="28"/>
        <v>160.30798209853515</v>
      </c>
      <c r="S104" s="35">
        <f t="shared" si="29"/>
        <v>25698.649124504267</v>
      </c>
      <c r="T104" s="35">
        <f t="shared" si="30"/>
        <v>282378.69303820579</v>
      </c>
      <c r="U104" s="35">
        <f t="shared" si="31"/>
        <v>535.97066171239862</v>
      </c>
      <c r="V104" s="35">
        <f t="shared" si="32"/>
        <v>-48871.958968045641</v>
      </c>
      <c r="W104" s="35">
        <f t="shared" si="33"/>
        <v>998.63799360824135</v>
      </c>
      <c r="X104" s="35">
        <f t="shared" si="34"/>
        <v>0.95870012544570049</v>
      </c>
      <c r="Y104" s="35">
        <f t="shared" si="35"/>
        <v>48525.083630501023</v>
      </c>
    </row>
    <row r="105" spans="1:25" x14ac:dyDescent="0.3">
      <c r="A105" s="4" t="str">
        <f>DATASETS!A63</f>
        <v>ORTIGAS AVE.</v>
      </c>
      <c r="B105" s="9">
        <f>DATASETS!C63</f>
        <v>146597</v>
      </c>
      <c r="C105" s="4">
        <f>DATASETS!B63</f>
        <v>2023</v>
      </c>
      <c r="D105" s="6">
        <f>DATASETS!I63</f>
        <v>1349</v>
      </c>
      <c r="E105" s="9">
        <f>DATASETS!H63</f>
        <v>72.599999999999994</v>
      </c>
      <c r="F105" s="6">
        <f>DATASETS!D63</f>
        <v>2167</v>
      </c>
      <c r="G105" s="4" t="str">
        <f>DATASETS!E63</f>
        <v>Training</v>
      </c>
      <c r="H105" s="10">
        <f t="shared" si="18"/>
        <v>317675699</v>
      </c>
      <c r="I105" s="10">
        <f t="shared" si="19"/>
        <v>21490680409</v>
      </c>
      <c r="J105" s="10">
        <f t="shared" si="20"/>
        <v>4695889</v>
      </c>
      <c r="K105" s="35">
        <f t="shared" si="21"/>
        <v>1568.1022092842888</v>
      </c>
      <c r="L105" s="35">
        <f t="shared" si="22"/>
        <v>598.89779071571115</v>
      </c>
      <c r="M105" s="35">
        <f t="shared" si="23"/>
        <v>598.89779071571115</v>
      </c>
      <c r="N105" s="35">
        <f t="shared" si="24"/>
        <v>358678.56372415973</v>
      </c>
      <c r="O105" s="35">
        <f t="shared" si="25"/>
        <v>82143.479362992206</v>
      </c>
      <c r="P105" s="35">
        <f t="shared" si="26"/>
        <v>1314.619120351801</v>
      </c>
      <c r="Q105" s="35">
        <f t="shared" si="27"/>
        <v>852.38087964819897</v>
      </c>
      <c r="R105" s="35">
        <f t="shared" si="28"/>
        <v>852.38087964819897</v>
      </c>
      <c r="S105" s="35">
        <f t="shared" si="29"/>
        <v>726553.16398983751</v>
      </c>
      <c r="T105" s="35">
        <f t="shared" si="30"/>
        <v>82143.479362992206</v>
      </c>
      <c r="U105" s="35">
        <f t="shared" si="31"/>
        <v>437.33303886237138</v>
      </c>
      <c r="V105" s="35">
        <f t="shared" si="32"/>
        <v>-48896.129076338446</v>
      </c>
      <c r="W105" s="35">
        <f t="shared" si="33"/>
        <v>1247.3728272014052</v>
      </c>
      <c r="X105" s="35">
        <f t="shared" si="34"/>
        <v>0.95870012544570049</v>
      </c>
      <c r="Y105" s="35">
        <f t="shared" si="35"/>
        <v>48525.083630501023</v>
      </c>
    </row>
    <row r="106" spans="1:25" x14ac:dyDescent="0.3">
      <c r="A106" s="4" t="str">
        <f>DATASETS!A64</f>
        <v>ORTIGAS AVE.</v>
      </c>
      <c r="B106" s="9">
        <f>DATASETS!C64</f>
        <v>188765</v>
      </c>
      <c r="C106" s="4">
        <f>DATASETS!B64</f>
        <v>2024</v>
      </c>
      <c r="D106" s="6">
        <f>DATASETS!I64</f>
        <v>2167</v>
      </c>
      <c r="E106" s="9">
        <f>DATASETS!H64</f>
        <v>72.599999999999994</v>
      </c>
      <c r="F106" s="6">
        <f>DATASETS!D64</f>
        <v>1930</v>
      </c>
      <c r="G106" s="4" t="str">
        <f>DATASETS!E64</f>
        <v>Training</v>
      </c>
      <c r="H106" s="10">
        <f t="shared" si="18"/>
        <v>364316450</v>
      </c>
      <c r="I106" s="10">
        <f t="shared" si="19"/>
        <v>35632225225</v>
      </c>
      <c r="J106" s="10">
        <f t="shared" si="20"/>
        <v>3724900</v>
      </c>
      <c r="K106" s="35">
        <f t="shared" si="21"/>
        <v>2216.6476610387499</v>
      </c>
      <c r="L106" s="35">
        <f t="shared" si="22"/>
        <v>-286.6476610387499</v>
      </c>
      <c r="M106" s="35">
        <f t="shared" si="23"/>
        <v>286.6476610387499</v>
      </c>
      <c r="N106" s="35">
        <f t="shared" si="24"/>
        <v>82166.881578986053</v>
      </c>
      <c r="O106" s="35">
        <f t="shared" si="25"/>
        <v>2460.8383373511615</v>
      </c>
      <c r="P106" s="35">
        <f t="shared" si="26"/>
        <v>2172.6218037287299</v>
      </c>
      <c r="Q106" s="35">
        <f t="shared" si="27"/>
        <v>-242.6218037287299</v>
      </c>
      <c r="R106" s="35">
        <f t="shared" si="28"/>
        <v>242.6218037287299</v>
      </c>
      <c r="S106" s="35">
        <f t="shared" si="29"/>
        <v>58865.339644582331</v>
      </c>
      <c r="T106" s="35">
        <f t="shared" si="30"/>
        <v>2460.8383373511615</v>
      </c>
      <c r="U106" s="35">
        <f t="shared" si="31"/>
        <v>563.13001685474819</v>
      </c>
      <c r="V106" s="35">
        <f t="shared" si="32"/>
        <v>-48920.299184631243</v>
      </c>
      <c r="W106" s="35">
        <f t="shared" si="33"/>
        <v>2003.7486408787584</v>
      </c>
      <c r="X106" s="35">
        <f t="shared" si="34"/>
        <v>0.95870012544570049</v>
      </c>
      <c r="Y106" s="35">
        <f t="shared" si="35"/>
        <v>48525.083630501023</v>
      </c>
    </row>
    <row r="107" spans="1:25" x14ac:dyDescent="0.3">
      <c r="A107" s="4" t="str">
        <f>DATASETS!A66</f>
        <v>R-6 MAGSAYSAY / AURORA BLVD.</v>
      </c>
      <c r="B107" s="9">
        <f>DATASETS!C66</f>
        <v>95187</v>
      </c>
      <c r="C107" s="4">
        <f>DATASETS!B66</f>
        <v>2016</v>
      </c>
      <c r="D107" s="6">
        <f>DATASETS!I66</f>
        <v>1505</v>
      </c>
      <c r="E107" s="9">
        <f>DATASETS!H66</f>
        <v>85</v>
      </c>
      <c r="F107" s="6">
        <f>DATASETS!D66</f>
        <v>1707</v>
      </c>
      <c r="G107" s="4" t="str">
        <f>DATASETS!E66</f>
        <v>Training</v>
      </c>
      <c r="H107" s="10">
        <f t="shared" si="18"/>
        <v>162484209</v>
      </c>
      <c r="I107" s="10">
        <f t="shared" si="19"/>
        <v>9060564969</v>
      </c>
      <c r="J107" s="10">
        <f t="shared" si="20"/>
        <v>2913849</v>
      </c>
      <c r="K107" s="35">
        <f t="shared" si="21"/>
        <v>777.41444428009459</v>
      </c>
      <c r="L107" s="35">
        <f t="shared" si="22"/>
        <v>929.58555571990541</v>
      </c>
      <c r="M107" s="35">
        <f t="shared" si="23"/>
        <v>929.58555571990541</v>
      </c>
      <c r="N107" s="35">
        <f t="shared" si="24"/>
        <v>864129.30540308543</v>
      </c>
      <c r="O107" s="35">
        <f t="shared" si="25"/>
        <v>30065.188764701572</v>
      </c>
      <c r="P107" s="35">
        <f t="shared" si="26"/>
        <v>1474.8533141966004</v>
      </c>
      <c r="Q107" s="35">
        <f t="shared" si="27"/>
        <v>232.14668580339958</v>
      </c>
      <c r="R107" s="35">
        <f t="shared" si="28"/>
        <v>232.14668580339958</v>
      </c>
      <c r="S107" s="35">
        <f t="shared" si="29"/>
        <v>53892.083729502323</v>
      </c>
      <c r="T107" s="35">
        <f t="shared" si="30"/>
        <v>30065.188764701572</v>
      </c>
      <c r="U107" s="35">
        <f t="shared" si="31"/>
        <v>283.96501954468744</v>
      </c>
      <c r="V107" s="35">
        <f t="shared" si="32"/>
        <v>-48726.938318288827</v>
      </c>
      <c r="W107" s="35">
        <f t="shared" si="33"/>
        <v>1391.6205373892624</v>
      </c>
      <c r="X107" s="35">
        <f t="shared" si="34"/>
        <v>1.1224450504529553</v>
      </c>
      <c r="Y107" s="35">
        <f t="shared" si="35"/>
        <v>48525.083630501023</v>
      </c>
    </row>
    <row r="108" spans="1:25" x14ac:dyDescent="0.3">
      <c r="A108" s="4" t="str">
        <f>DATASETS!A67</f>
        <v>R-6 MAGSAYSAY / AURORA BLVD.</v>
      </c>
      <c r="B108" s="9">
        <f>DATASETS!C67</f>
        <v>100608.5</v>
      </c>
      <c r="C108" s="4">
        <f>DATASETS!B67</f>
        <v>2017</v>
      </c>
      <c r="D108" s="6">
        <f>DATASETS!I67</f>
        <v>1707</v>
      </c>
      <c r="E108" s="9">
        <f>DATASETS!H67</f>
        <v>85</v>
      </c>
      <c r="F108" s="6">
        <f>DATASETS!D67</f>
        <v>1769</v>
      </c>
      <c r="G108" s="4" t="str">
        <f>DATASETS!E67</f>
        <v>Training</v>
      </c>
      <c r="H108" s="10">
        <f t="shared" si="18"/>
        <v>177976436.5</v>
      </c>
      <c r="I108" s="10">
        <f t="shared" si="19"/>
        <v>10122070272.25</v>
      </c>
      <c r="J108" s="10">
        <f t="shared" si="20"/>
        <v>3129361</v>
      </c>
      <c r="K108" s="35">
        <f t="shared" si="21"/>
        <v>860.797321501846</v>
      </c>
      <c r="L108" s="35">
        <f t="shared" si="22"/>
        <v>908.202678498154</v>
      </c>
      <c r="M108" s="35">
        <f t="shared" si="23"/>
        <v>908.202678498154</v>
      </c>
      <c r="N108" s="35">
        <f t="shared" si="24"/>
        <v>824832.1052312213</v>
      </c>
      <c r="O108" s="35">
        <f t="shared" si="25"/>
        <v>12408.436627949441</v>
      </c>
      <c r="P108" s="35">
        <f t="shared" si="26"/>
        <v>1653.639096148019</v>
      </c>
      <c r="Q108" s="35">
        <f t="shared" si="27"/>
        <v>115.36090385198099</v>
      </c>
      <c r="R108" s="35">
        <f t="shared" si="28"/>
        <v>115.36090385198099</v>
      </c>
      <c r="S108" s="35">
        <f t="shared" si="29"/>
        <v>13308.138137546002</v>
      </c>
      <c r="T108" s="35">
        <f t="shared" si="30"/>
        <v>12408.436627949441</v>
      </c>
      <c r="U108" s="35">
        <f t="shared" si="31"/>
        <v>300.13861839181487</v>
      </c>
      <c r="V108" s="35">
        <f t="shared" si="32"/>
        <v>-48751.108426581632</v>
      </c>
      <c r="W108" s="35">
        <f t="shared" si="33"/>
        <v>1578.4028287863594</v>
      </c>
      <c r="X108" s="35">
        <f t="shared" si="34"/>
        <v>1.1224450504529553</v>
      </c>
      <c r="Y108" s="35">
        <f t="shared" si="35"/>
        <v>48525.083630501023</v>
      </c>
    </row>
    <row r="109" spans="1:25" x14ac:dyDescent="0.3">
      <c r="A109" s="4" t="str">
        <f>DATASETS!A68</f>
        <v>R-6 MAGSAYSAY / AURORA BLVD.</v>
      </c>
      <c r="B109" s="9">
        <f>DATASETS!C68</f>
        <v>108595</v>
      </c>
      <c r="C109" s="4">
        <f>DATASETS!B68</f>
        <v>2018</v>
      </c>
      <c r="D109" s="6">
        <f>DATASETS!I68</f>
        <v>1769</v>
      </c>
      <c r="E109" s="9">
        <f>DATASETS!H68</f>
        <v>85</v>
      </c>
      <c r="F109" s="6">
        <f>DATASETS!D68</f>
        <v>2068</v>
      </c>
      <c r="G109" s="4" t="str">
        <f>DATASETS!E68</f>
        <v>Training</v>
      </c>
      <c r="H109" s="10">
        <f t="shared" si="18"/>
        <v>224574460</v>
      </c>
      <c r="I109" s="10">
        <f t="shared" si="19"/>
        <v>11792874025</v>
      </c>
      <c r="J109" s="10">
        <f t="shared" si="20"/>
        <v>4276624</v>
      </c>
      <c r="K109" s="35">
        <f t="shared" si="21"/>
        <v>983.62999676358481</v>
      </c>
      <c r="L109" s="35">
        <f t="shared" si="22"/>
        <v>1084.3700032364152</v>
      </c>
      <c r="M109" s="35">
        <f t="shared" si="23"/>
        <v>1084.3700032364152</v>
      </c>
      <c r="N109" s="35">
        <f t="shared" si="24"/>
        <v>1175858.303918943</v>
      </c>
      <c r="O109" s="35">
        <f t="shared" si="25"/>
        <v>35196.325516838355</v>
      </c>
      <c r="P109" s="35">
        <f t="shared" si="26"/>
        <v>1710.6237980371548</v>
      </c>
      <c r="Q109" s="35">
        <f t="shared" si="27"/>
        <v>357.37620196284524</v>
      </c>
      <c r="R109" s="35">
        <f t="shared" si="28"/>
        <v>357.37620196284524</v>
      </c>
      <c r="S109" s="35">
        <f t="shared" si="29"/>
        <v>127717.74972938835</v>
      </c>
      <c r="T109" s="35">
        <f t="shared" si="30"/>
        <v>35196.325516838355</v>
      </c>
      <c r="U109" s="35">
        <f t="shared" si="31"/>
        <v>323.96421042217247</v>
      </c>
      <c r="V109" s="35">
        <f t="shared" si="32"/>
        <v>-48775.278534874436</v>
      </c>
      <c r="W109" s="35">
        <f t="shared" si="33"/>
        <v>1635.7320469379436</v>
      </c>
      <c r="X109" s="35">
        <f t="shared" si="34"/>
        <v>1.1224450504529553</v>
      </c>
      <c r="Y109" s="35">
        <f t="shared" si="35"/>
        <v>48525.083630501023</v>
      </c>
    </row>
    <row r="110" spans="1:25" x14ac:dyDescent="0.3">
      <c r="A110" s="4" t="str">
        <f>DATASETS!A69</f>
        <v>R-6 MAGSAYSAY / AURORA BLVD.</v>
      </c>
      <c r="B110" s="9">
        <f>DATASETS!C69</f>
        <v>120102.5</v>
      </c>
      <c r="C110" s="4">
        <f>DATASETS!B69</f>
        <v>2019</v>
      </c>
      <c r="D110" s="6">
        <f>DATASETS!I69</f>
        <v>2068</v>
      </c>
      <c r="E110" s="9">
        <f>DATASETS!H69</f>
        <v>85</v>
      </c>
      <c r="F110" s="6">
        <f>DATASETS!D69</f>
        <v>2404</v>
      </c>
      <c r="G110" s="4" t="str">
        <f>DATASETS!E69</f>
        <v>Training</v>
      </c>
      <c r="H110" s="10">
        <f t="shared" si="18"/>
        <v>288726410</v>
      </c>
      <c r="I110" s="10">
        <f t="shared" si="19"/>
        <v>14424610506.25</v>
      </c>
      <c r="J110" s="10">
        <f t="shared" si="20"/>
        <v>5779216</v>
      </c>
      <c r="K110" s="35">
        <f t="shared" si="21"/>
        <v>1160.6157866057511</v>
      </c>
      <c r="L110" s="35">
        <f t="shared" si="22"/>
        <v>1243.3842133942489</v>
      </c>
      <c r="M110" s="35">
        <f t="shared" si="23"/>
        <v>1243.3842133942489</v>
      </c>
      <c r="N110" s="35">
        <f t="shared" si="24"/>
        <v>1546004.3021180353</v>
      </c>
      <c r="O110" s="35">
        <f t="shared" si="25"/>
        <v>274164.12038863322</v>
      </c>
      <c r="P110" s="35">
        <f t="shared" si="26"/>
        <v>1997.2580237666093</v>
      </c>
      <c r="Q110" s="35">
        <f t="shared" si="27"/>
        <v>406.74197623339069</v>
      </c>
      <c r="R110" s="35">
        <f t="shared" si="28"/>
        <v>406.74197623339069</v>
      </c>
      <c r="S110" s="35">
        <f t="shared" si="29"/>
        <v>165439.03523024416</v>
      </c>
      <c r="T110" s="35">
        <f t="shared" si="30"/>
        <v>274164.12038863322</v>
      </c>
      <c r="U110" s="35">
        <f t="shared" si="31"/>
        <v>358.29376658436365</v>
      </c>
      <c r="V110" s="35">
        <f t="shared" si="32"/>
        <v>-48799.448643167234</v>
      </c>
      <c r="W110" s="35">
        <f t="shared" si="33"/>
        <v>1912.206824798003</v>
      </c>
      <c r="X110" s="35">
        <f t="shared" si="34"/>
        <v>1.1224450504529553</v>
      </c>
      <c r="Y110" s="35">
        <f t="shared" si="35"/>
        <v>48525.083630501023</v>
      </c>
    </row>
    <row r="111" spans="1:25" x14ac:dyDescent="0.3">
      <c r="A111" s="4" t="str">
        <f>DATASETS!A70</f>
        <v>R-6 MAGSAYSAY / AURORA BLVD.</v>
      </c>
      <c r="B111" s="9">
        <f>DATASETS!C70</f>
        <v>112368</v>
      </c>
      <c r="C111" s="4">
        <f>DATASETS!B70</f>
        <v>2020</v>
      </c>
      <c r="D111" s="6">
        <f>DATASETS!I70</f>
        <v>2404</v>
      </c>
      <c r="E111" s="9">
        <f>DATASETS!H70</f>
        <v>85</v>
      </c>
      <c r="F111" s="6">
        <f>DATASETS!D70</f>
        <v>154</v>
      </c>
      <c r="G111" s="4" t="str">
        <f>DATASETS!E70</f>
        <v>Training</v>
      </c>
      <c r="H111" s="10">
        <f t="shared" si="18"/>
        <v>17304672</v>
      </c>
      <c r="I111" s="10">
        <f t="shared" si="19"/>
        <v>12626567424</v>
      </c>
      <c r="J111" s="10">
        <f t="shared" si="20"/>
        <v>23716</v>
      </c>
      <c r="K111" s="35">
        <f t="shared" si="21"/>
        <v>1041.658880976011</v>
      </c>
      <c r="L111" s="35">
        <f t="shared" si="22"/>
        <v>-887.65888097601101</v>
      </c>
      <c r="M111" s="35">
        <f t="shared" si="23"/>
        <v>887.65888097601101</v>
      </c>
      <c r="N111" s="35">
        <f t="shared" si="24"/>
        <v>787938.28897558409</v>
      </c>
      <c r="O111" s="35">
        <f t="shared" si="25"/>
        <v>2980433.3511578636</v>
      </c>
      <c r="P111" s="35">
        <f t="shared" si="26"/>
        <v>2260.7014740015547</v>
      </c>
      <c r="Q111" s="35">
        <f t="shared" si="27"/>
        <v>-2106.7014740015547</v>
      </c>
      <c r="R111" s="35">
        <f t="shared" si="28"/>
        <v>2106.7014740015547</v>
      </c>
      <c r="S111" s="35">
        <f t="shared" si="29"/>
        <v>4438191.1005603233</v>
      </c>
      <c r="T111" s="35">
        <f t="shared" si="30"/>
        <v>2980433.3511578636</v>
      </c>
      <c r="U111" s="35">
        <f t="shared" si="31"/>
        <v>335.21994932288482</v>
      </c>
      <c r="V111" s="35">
        <f t="shared" si="32"/>
        <v>-48823.618751460039</v>
      </c>
      <c r="W111" s="35">
        <f t="shared" si="33"/>
        <v>2222.8942005872336</v>
      </c>
      <c r="X111" s="35">
        <f t="shared" si="34"/>
        <v>1.1224450504529553</v>
      </c>
      <c r="Y111" s="35">
        <f t="shared" si="35"/>
        <v>48525.083630501023</v>
      </c>
    </row>
    <row r="112" spans="1:25" x14ac:dyDescent="0.3">
      <c r="A112" s="4" t="str">
        <f>DATASETS!A71</f>
        <v>R-6 MAGSAYSAY / AURORA BLVD.</v>
      </c>
      <c r="B112" s="9">
        <f>DATASETS!C71</f>
        <v>120372.5</v>
      </c>
      <c r="C112" s="4">
        <f>DATASETS!B71</f>
        <v>2021</v>
      </c>
      <c r="D112" s="6">
        <f>DATASETS!I71</f>
        <v>154</v>
      </c>
      <c r="E112" s="9">
        <f>DATASETS!H71</f>
        <v>85</v>
      </c>
      <c r="F112" s="6">
        <f>DATASETS!D71</f>
        <v>1362</v>
      </c>
      <c r="G112" s="4" t="str">
        <f>DATASETS!E71</f>
        <v>Training</v>
      </c>
      <c r="H112" s="10">
        <f t="shared" si="18"/>
        <v>163947345</v>
      </c>
      <c r="I112" s="10">
        <f t="shared" si="19"/>
        <v>14489538756.25</v>
      </c>
      <c r="J112" s="10">
        <f t="shared" si="20"/>
        <v>1855044</v>
      </c>
      <c r="K112" s="35">
        <f t="shared" si="21"/>
        <v>1164.7683969257498</v>
      </c>
      <c r="L112" s="35">
        <f t="shared" si="22"/>
        <v>197.23160307425019</v>
      </c>
      <c r="M112" s="35">
        <f t="shared" si="23"/>
        <v>197.23160307425019</v>
      </c>
      <c r="N112" s="35">
        <f t="shared" si="24"/>
        <v>38900.305251238577</v>
      </c>
      <c r="O112" s="35">
        <f t="shared" si="25"/>
        <v>268731.4708159836</v>
      </c>
      <c r="P112" s="35">
        <f t="shared" si="26"/>
        <v>179.91483591972258</v>
      </c>
      <c r="Q112" s="35">
        <f t="shared" si="27"/>
        <v>1182.0851640802775</v>
      </c>
      <c r="R112" s="35">
        <f t="shared" si="28"/>
        <v>1182.0851640802775</v>
      </c>
      <c r="S112" s="35">
        <f t="shared" si="29"/>
        <v>1397325.3351386967</v>
      </c>
      <c r="T112" s="35">
        <f t="shared" si="30"/>
        <v>268731.4708159836</v>
      </c>
      <c r="U112" s="35">
        <f t="shared" si="31"/>
        <v>359.09923955101942</v>
      </c>
      <c r="V112" s="35">
        <f t="shared" si="32"/>
        <v>-48847.788859752836</v>
      </c>
      <c r="W112" s="35">
        <f t="shared" si="33"/>
        <v>142.39838057006406</v>
      </c>
      <c r="X112" s="35">
        <f t="shared" si="34"/>
        <v>1.1224450504529553</v>
      </c>
      <c r="Y112" s="35">
        <f t="shared" si="35"/>
        <v>48525.083630501023</v>
      </c>
    </row>
    <row r="113" spans="1:25" x14ac:dyDescent="0.3">
      <c r="A113" s="4" t="str">
        <f>DATASETS!A72</f>
        <v>R-6 MAGSAYSAY / AURORA BLVD.</v>
      </c>
      <c r="B113" s="9">
        <f>DATASETS!C72</f>
        <v>124064.5</v>
      </c>
      <c r="C113" s="4">
        <f>DATASETS!B72</f>
        <v>2022</v>
      </c>
      <c r="D113" s="6">
        <f>DATASETS!I72</f>
        <v>1362</v>
      </c>
      <c r="E113" s="9">
        <f>DATASETS!H72</f>
        <v>85</v>
      </c>
      <c r="F113" s="6">
        <f>DATASETS!D72</f>
        <v>1070</v>
      </c>
      <c r="G113" s="4" t="str">
        <f>DATASETS!E72</f>
        <v>Training</v>
      </c>
      <c r="H113" s="10">
        <f t="shared" si="18"/>
        <v>132749015</v>
      </c>
      <c r="I113" s="10">
        <f t="shared" si="19"/>
        <v>15392000160.25</v>
      </c>
      <c r="J113" s="10">
        <f t="shared" si="20"/>
        <v>1144900</v>
      </c>
      <c r="K113" s="35">
        <f t="shared" si="21"/>
        <v>1221.5514980421763</v>
      </c>
      <c r="L113" s="35">
        <f t="shared" si="22"/>
        <v>-151.55149804217626</v>
      </c>
      <c r="M113" s="35">
        <f t="shared" si="23"/>
        <v>151.55149804217626</v>
      </c>
      <c r="N113" s="35">
        <f t="shared" si="24"/>
        <v>22967.856558827756</v>
      </c>
      <c r="O113" s="35">
        <f t="shared" si="25"/>
        <v>656737.07765359036</v>
      </c>
      <c r="P113" s="35">
        <f t="shared" si="26"/>
        <v>1283.7539137846306</v>
      </c>
      <c r="Q113" s="35">
        <f t="shared" si="27"/>
        <v>-213.75391378463064</v>
      </c>
      <c r="R113" s="35">
        <f t="shared" si="28"/>
        <v>213.75391378463064</v>
      </c>
      <c r="S113" s="35">
        <f t="shared" si="29"/>
        <v>45690.735658247308</v>
      </c>
      <c r="T113" s="35">
        <f t="shared" si="30"/>
        <v>656737.07765359036</v>
      </c>
      <c r="U113" s="35">
        <f t="shared" si="31"/>
        <v>370.11333656173503</v>
      </c>
      <c r="V113" s="35">
        <f t="shared" si="32"/>
        <v>-48871.958968045641</v>
      </c>
      <c r="W113" s="35">
        <f t="shared" si="33"/>
        <v>1259.39346971706</v>
      </c>
      <c r="X113" s="35">
        <f t="shared" si="34"/>
        <v>1.1224450504529553</v>
      </c>
      <c r="Y113" s="35">
        <f t="shared" si="35"/>
        <v>48525.083630501023</v>
      </c>
    </row>
    <row r="114" spans="1:25" x14ac:dyDescent="0.3">
      <c r="A114" s="4" t="str">
        <f>DATASETS!A73</f>
        <v>R-6 MAGSAYSAY / AURORA BLVD.</v>
      </c>
      <c r="B114" s="9">
        <f>DATASETS!C73</f>
        <v>129922</v>
      </c>
      <c r="C114" s="4">
        <f>DATASETS!B73</f>
        <v>2023</v>
      </c>
      <c r="D114" s="6">
        <f>DATASETS!I73</f>
        <v>1070</v>
      </c>
      <c r="E114" s="9">
        <f>DATASETS!H73</f>
        <v>85</v>
      </c>
      <c r="F114" s="6">
        <f>DATASETS!D73</f>
        <v>2245</v>
      </c>
      <c r="G114" s="4" t="str">
        <f>DATASETS!E73</f>
        <v>Training</v>
      </c>
      <c r="H114" s="10">
        <f t="shared" si="18"/>
        <v>291674890</v>
      </c>
      <c r="I114" s="10">
        <f t="shared" si="19"/>
        <v>16879726084</v>
      </c>
      <c r="J114" s="10">
        <f t="shared" si="20"/>
        <v>5040025</v>
      </c>
      <c r="K114" s="35">
        <f t="shared" si="21"/>
        <v>1311.6400719288142</v>
      </c>
      <c r="L114" s="35">
        <f t="shared" si="22"/>
        <v>933.35992807118578</v>
      </c>
      <c r="M114" s="35">
        <f t="shared" si="23"/>
        <v>933.35992807118578</v>
      </c>
      <c r="N114" s="35">
        <f t="shared" si="24"/>
        <v>871160.75532904908</v>
      </c>
      <c r="O114" s="35">
        <f t="shared" si="25"/>
        <v>132938.14602965888</v>
      </c>
      <c r="P114" s="35">
        <f t="shared" si="26"/>
        <v>1007.0559698206588</v>
      </c>
      <c r="Q114" s="35">
        <f t="shared" si="27"/>
        <v>1237.9440301793411</v>
      </c>
      <c r="R114" s="35">
        <f t="shared" si="28"/>
        <v>1237.9440301793411</v>
      </c>
      <c r="S114" s="35">
        <f t="shared" si="29"/>
        <v>1532505.4218566695</v>
      </c>
      <c r="T114" s="35">
        <f t="shared" si="30"/>
        <v>132938.14602965888</v>
      </c>
      <c r="U114" s="35">
        <f t="shared" si="31"/>
        <v>387.58762508835116</v>
      </c>
      <c r="V114" s="35">
        <f t="shared" si="32"/>
        <v>-48896.129076338446</v>
      </c>
      <c r="W114" s="35">
        <f t="shared" si="33"/>
        <v>989.39134551927623</v>
      </c>
      <c r="X114" s="35">
        <f t="shared" si="34"/>
        <v>1.1224450504529553</v>
      </c>
      <c r="Y114" s="35">
        <f t="shared" si="35"/>
        <v>48525.083630501023</v>
      </c>
    </row>
    <row r="115" spans="1:25" x14ac:dyDescent="0.3">
      <c r="A115" s="4" t="str">
        <f>DATASETS!A74</f>
        <v>R-6 MAGSAYSAY / AURORA BLVD.</v>
      </c>
      <c r="B115" s="9">
        <f>DATASETS!C74</f>
        <v>145562.5</v>
      </c>
      <c r="C115" s="4">
        <f>DATASETS!B74</f>
        <v>2024</v>
      </c>
      <c r="D115" s="6">
        <f>DATASETS!I74</f>
        <v>2245</v>
      </c>
      <c r="E115" s="9">
        <f>DATASETS!H74</f>
        <v>85</v>
      </c>
      <c r="F115" s="6">
        <f>DATASETS!D74</f>
        <v>2505</v>
      </c>
      <c r="G115" s="4" t="str">
        <f>DATASETS!E74</f>
        <v>Training</v>
      </c>
      <c r="H115" s="10">
        <f t="shared" si="18"/>
        <v>364634062.5</v>
      </c>
      <c r="I115" s="10">
        <f t="shared" si="19"/>
        <v>21188441406.25</v>
      </c>
      <c r="J115" s="10">
        <f t="shared" si="20"/>
        <v>6275025</v>
      </c>
      <c r="K115" s="35">
        <f t="shared" si="21"/>
        <v>1552.1915597434047</v>
      </c>
      <c r="L115" s="35">
        <f t="shared" si="22"/>
        <v>952.8084402565953</v>
      </c>
      <c r="M115" s="35">
        <f t="shared" si="23"/>
        <v>952.8084402565953</v>
      </c>
      <c r="N115" s="35">
        <f t="shared" si="24"/>
        <v>907843.92382420599</v>
      </c>
      <c r="O115" s="35">
        <f t="shared" si="25"/>
        <v>390133.70158521447</v>
      </c>
      <c r="P115" s="35">
        <f t="shared" si="26"/>
        <v>2116.0262709997164</v>
      </c>
      <c r="Q115" s="35">
        <f t="shared" si="27"/>
        <v>388.97372900028358</v>
      </c>
      <c r="R115" s="35">
        <f t="shared" si="28"/>
        <v>388.97372900028358</v>
      </c>
      <c r="S115" s="35">
        <f t="shared" si="29"/>
        <v>151300.56185238605</v>
      </c>
      <c r="T115" s="35">
        <f t="shared" si="30"/>
        <v>390133.70158521447</v>
      </c>
      <c r="U115" s="35">
        <f t="shared" si="31"/>
        <v>434.24688410679573</v>
      </c>
      <c r="V115" s="35">
        <f t="shared" si="32"/>
        <v>-48920.299184631243</v>
      </c>
      <c r="W115" s="35">
        <f t="shared" si="33"/>
        <v>2075.8724959726869</v>
      </c>
      <c r="X115" s="35">
        <f t="shared" si="34"/>
        <v>1.1224450504529553</v>
      </c>
      <c r="Y115" s="35">
        <f t="shared" si="35"/>
        <v>48525.083630501023</v>
      </c>
    </row>
    <row r="116" spans="1:25" x14ac:dyDescent="0.3">
      <c r="A116" s="4" t="str">
        <f>DATASETS!A76</f>
        <v>QUEZON AVE.</v>
      </c>
      <c r="B116" s="9">
        <f>DATASETS!C76</f>
        <v>187111</v>
      </c>
      <c r="C116" s="4">
        <f>DATASETS!B76</f>
        <v>2016</v>
      </c>
      <c r="D116" s="6">
        <f>DATASETS!I76</f>
        <v>1498</v>
      </c>
      <c r="E116" s="9">
        <f>DATASETS!H76</f>
        <v>61</v>
      </c>
      <c r="F116" s="6">
        <f>DATASETS!D76</f>
        <v>1996</v>
      </c>
      <c r="G116" s="4" t="str">
        <f>DATASETS!E76</f>
        <v>Training</v>
      </c>
      <c r="H116" s="10">
        <f t="shared" si="18"/>
        <v>373473556</v>
      </c>
      <c r="I116" s="10">
        <f t="shared" si="19"/>
        <v>35010526321</v>
      </c>
      <c r="J116" s="10">
        <f t="shared" si="20"/>
        <v>3984016</v>
      </c>
      <c r="K116" s="35">
        <f t="shared" si="21"/>
        <v>2191.2090778192023</v>
      </c>
      <c r="L116" s="35">
        <f t="shared" si="22"/>
        <v>-195.20907781920232</v>
      </c>
      <c r="M116" s="35">
        <f t="shared" si="23"/>
        <v>195.20907781920232</v>
      </c>
      <c r="N116" s="35">
        <f t="shared" si="24"/>
        <v>38106.584063023387</v>
      </c>
      <c r="O116" s="35">
        <f t="shared" si="25"/>
        <v>13364.94090145373</v>
      </c>
      <c r="P116" s="35">
        <f t="shared" si="26"/>
        <v>1742.2944644540082</v>
      </c>
      <c r="Q116" s="35">
        <f t="shared" si="27"/>
        <v>253.70553554599178</v>
      </c>
      <c r="R116" s="35">
        <f t="shared" si="28"/>
        <v>253.70553554599178</v>
      </c>
      <c r="S116" s="35">
        <f t="shared" si="29"/>
        <v>64366.498766678495</v>
      </c>
      <c r="T116" s="35">
        <f t="shared" si="30"/>
        <v>13364.94090145373</v>
      </c>
      <c r="U116" s="35">
        <f t="shared" si="31"/>
        <v>558.19574912567896</v>
      </c>
      <c r="V116" s="35">
        <f t="shared" si="32"/>
        <v>-48726.938318288827</v>
      </c>
      <c r="W116" s="35">
        <f t="shared" si="33"/>
        <v>1385.1478837269867</v>
      </c>
      <c r="X116" s="35">
        <f t="shared" si="34"/>
        <v>0.80551938914859145</v>
      </c>
      <c r="Y116" s="35">
        <f t="shared" si="35"/>
        <v>48525.083630501023</v>
      </c>
    </row>
    <row r="117" spans="1:25" x14ac:dyDescent="0.3">
      <c r="A117" s="4" t="str">
        <f>DATASETS!A77</f>
        <v>QUEZON AVE.</v>
      </c>
      <c r="B117" s="9">
        <f>DATASETS!C77</f>
        <v>195335</v>
      </c>
      <c r="C117" s="4">
        <f>DATASETS!B77</f>
        <v>2017</v>
      </c>
      <c r="D117" s="6">
        <f>DATASETS!I77</f>
        <v>1996</v>
      </c>
      <c r="E117" s="9">
        <f>DATASETS!H77</f>
        <v>61</v>
      </c>
      <c r="F117" s="6">
        <f>DATASETS!D77</f>
        <v>2029</v>
      </c>
      <c r="G117" s="4" t="str">
        <f>DATASETS!E77</f>
        <v>Training</v>
      </c>
      <c r="H117" s="10">
        <f t="shared" ref="H117:H148" si="36">B117*F117</f>
        <v>396334715</v>
      </c>
      <c r="I117" s="10">
        <f t="shared" ref="I117:I148" si="37">B117^2</f>
        <v>38155762225</v>
      </c>
      <c r="J117" s="10">
        <f t="shared" ref="J117:J148" si="38">F117^2</f>
        <v>4116841</v>
      </c>
      <c r="K117" s="35">
        <f t="shared" ref="K117:K148" si="39">$B$15+$B$14*B117</f>
        <v>2317.6945121587178</v>
      </c>
      <c r="L117" s="35">
        <f t="shared" ref="L117:L148" si="40">F117-K117</f>
        <v>-288.69451215871777</v>
      </c>
      <c r="M117" s="35">
        <f t="shared" ref="M117:M148" si="41">ABS(L117)</f>
        <v>288.69451215871777</v>
      </c>
      <c r="N117" s="35">
        <f t="shared" ref="N117:N148" si="42">L117^2</f>
        <v>83344.52135056004</v>
      </c>
      <c r="O117" s="35">
        <f t="shared" ref="O117:O148" si="43">(F117-$B$13)^2</f>
        <v>22083.992183505015</v>
      </c>
      <c r="P117" s="35">
        <f t="shared" ref="P117:P148" si="44">$B$25+$B$26*B117+$B$27*C117+$B$28*D117+$B$29*E117</f>
        <v>2203.1415409093652</v>
      </c>
      <c r="Q117" s="35">
        <f t="shared" ref="Q117:Q148" si="45">F117-P117</f>
        <v>-174.14154090936518</v>
      </c>
      <c r="R117" s="35">
        <f t="shared" ref="R117:R148" si="46">ABS(Q117)</f>
        <v>174.14154090936518</v>
      </c>
      <c r="S117" s="35">
        <f t="shared" ref="S117:S148" si="47">Q117^2</f>
        <v>30325.276270288105</v>
      </c>
      <c r="T117" s="35">
        <f t="shared" ref="T117:T148" si="48">(F117-$B$13)^2</f>
        <v>22083.992183505015</v>
      </c>
      <c r="U117" s="35">
        <f t="shared" ref="U117:U148" si="49">$B$26*B117</f>
        <v>582.7298590433727</v>
      </c>
      <c r="V117" s="35">
        <f t="shared" ref="V117:V148" si="50">$B$27*C117</f>
        <v>-48751.108426581632</v>
      </c>
      <c r="W117" s="35">
        <f t="shared" ref="W117:W148" si="51">$B$28*D117</f>
        <v>1845.6309585574536</v>
      </c>
      <c r="X117" s="35">
        <f t="shared" ref="X117:X148" si="52">$B$29*E117</f>
        <v>0.80551938914859145</v>
      </c>
      <c r="Y117" s="35">
        <f t="shared" ref="Y117:Y148" si="53">$B$25</f>
        <v>48525.083630501023</v>
      </c>
    </row>
    <row r="118" spans="1:25" x14ac:dyDescent="0.3">
      <c r="A118" s="4" t="str">
        <f>DATASETS!A78</f>
        <v>QUEZON AVE.</v>
      </c>
      <c r="B118" s="9">
        <f>DATASETS!C78</f>
        <v>204604</v>
      </c>
      <c r="C118" s="4">
        <f>DATASETS!B78</f>
        <v>2018</v>
      </c>
      <c r="D118" s="6">
        <f>DATASETS!I78</f>
        <v>2029</v>
      </c>
      <c r="E118" s="9">
        <f>DATASETS!H78</f>
        <v>61</v>
      </c>
      <c r="F118" s="6">
        <f>DATASETS!D78</f>
        <v>2378</v>
      </c>
      <c r="G118" s="4" t="str">
        <f>DATASETS!E78</f>
        <v>Training</v>
      </c>
      <c r="H118" s="10">
        <f t="shared" si="36"/>
        <v>486548312</v>
      </c>
      <c r="I118" s="10">
        <f t="shared" si="37"/>
        <v>41862796816</v>
      </c>
      <c r="J118" s="10">
        <f t="shared" si="38"/>
        <v>5654884</v>
      </c>
      <c r="K118" s="35">
        <f t="shared" si="39"/>
        <v>2460.2520864404505</v>
      </c>
      <c r="L118" s="35">
        <f t="shared" si="40"/>
        <v>-82.252086440450512</v>
      </c>
      <c r="M118" s="35">
        <f t="shared" si="41"/>
        <v>82.252086440450512</v>
      </c>
      <c r="N118" s="35">
        <f t="shared" si="42"/>
        <v>6765.4057238073428</v>
      </c>
      <c r="O118" s="35">
        <f t="shared" si="43"/>
        <v>247612.56483307769</v>
      </c>
      <c r="P118" s="35">
        <f t="shared" si="44"/>
        <v>2237.136959932117</v>
      </c>
      <c r="Q118" s="35">
        <f t="shared" si="45"/>
        <v>140.86304006788305</v>
      </c>
      <c r="R118" s="35">
        <f t="shared" si="46"/>
        <v>140.86304006788305</v>
      </c>
      <c r="S118" s="35">
        <f t="shared" si="47"/>
        <v>19842.396057166025</v>
      </c>
      <c r="T118" s="35">
        <f t="shared" si="48"/>
        <v>247612.56483307769</v>
      </c>
      <c r="U118" s="35">
        <f t="shared" si="49"/>
        <v>610.38144766534538</v>
      </c>
      <c r="V118" s="35">
        <f t="shared" si="50"/>
        <v>-48775.278534874436</v>
      </c>
      <c r="W118" s="35">
        <f t="shared" si="51"/>
        <v>1876.1448972510386</v>
      </c>
      <c r="X118" s="35">
        <f t="shared" si="52"/>
        <v>0.80551938914859145</v>
      </c>
      <c r="Y118" s="35">
        <f t="shared" si="53"/>
        <v>48525.083630501023</v>
      </c>
    </row>
    <row r="119" spans="1:25" x14ac:dyDescent="0.3">
      <c r="A119" s="4" t="str">
        <f>DATASETS!A79</f>
        <v>QUEZON AVE.</v>
      </c>
      <c r="B119" s="9">
        <f>DATASETS!C79</f>
        <v>230099</v>
      </c>
      <c r="C119" s="4">
        <f>DATASETS!B79</f>
        <v>2019</v>
      </c>
      <c r="D119" s="6">
        <f>DATASETS!I79</f>
        <v>2378</v>
      </c>
      <c r="E119" s="9">
        <f>DATASETS!H79</f>
        <v>61</v>
      </c>
      <c r="F119" s="6">
        <f>DATASETS!D79</f>
        <v>2635</v>
      </c>
      <c r="G119" s="4" t="str">
        <f>DATASETS!E79</f>
        <v>Training</v>
      </c>
      <c r="H119" s="10">
        <f t="shared" si="36"/>
        <v>606310865</v>
      </c>
      <c r="I119" s="10">
        <f t="shared" si="37"/>
        <v>52945549801</v>
      </c>
      <c r="J119" s="10">
        <f t="shared" si="38"/>
        <v>6943225</v>
      </c>
      <c r="K119" s="35">
        <f t="shared" si="39"/>
        <v>2852.3661609158817</v>
      </c>
      <c r="L119" s="35">
        <f t="shared" si="40"/>
        <v>-217.36616091588166</v>
      </c>
      <c r="M119" s="35">
        <f t="shared" si="41"/>
        <v>217.36616091588166</v>
      </c>
      <c r="N119" s="35">
        <f t="shared" si="42"/>
        <v>47248.04791130896</v>
      </c>
      <c r="O119" s="35">
        <f t="shared" si="43"/>
        <v>569431.47936299222</v>
      </c>
      <c r="P119" s="35">
        <f t="shared" si="44"/>
        <v>2611.7324006289869</v>
      </c>
      <c r="Q119" s="35">
        <f t="shared" si="45"/>
        <v>23.267599371013148</v>
      </c>
      <c r="R119" s="35">
        <f t="shared" si="46"/>
        <v>23.267599371013148</v>
      </c>
      <c r="S119" s="35">
        <f t="shared" si="47"/>
        <v>541.38118048997148</v>
      </c>
      <c r="T119" s="35">
        <f t="shared" si="48"/>
        <v>569431.47936299222</v>
      </c>
      <c r="U119" s="35">
        <f t="shared" si="49"/>
        <v>686.43897835012172</v>
      </c>
      <c r="V119" s="35">
        <f t="shared" si="50"/>
        <v>-48799.448643167234</v>
      </c>
      <c r="W119" s="35">
        <f t="shared" si="51"/>
        <v>2198.852915555924</v>
      </c>
      <c r="X119" s="35">
        <f t="shared" si="52"/>
        <v>0.80551938914859145</v>
      </c>
      <c r="Y119" s="35">
        <f t="shared" si="53"/>
        <v>48525.083630501023</v>
      </c>
    </row>
    <row r="120" spans="1:25" x14ac:dyDescent="0.3">
      <c r="A120" s="4" t="str">
        <f>DATASETS!A80</f>
        <v>QUEZON AVE.</v>
      </c>
      <c r="B120" s="9">
        <f>DATASETS!C80</f>
        <v>237759</v>
      </c>
      <c r="C120" s="4">
        <f>DATASETS!B80</f>
        <v>2020</v>
      </c>
      <c r="D120" s="6">
        <f>DATASETS!I80</f>
        <v>2635</v>
      </c>
      <c r="E120" s="9">
        <f>DATASETS!H80</f>
        <v>61</v>
      </c>
      <c r="F120" s="6">
        <f>DATASETS!D80</f>
        <v>1178</v>
      </c>
      <c r="G120" s="4" t="str">
        <f>DATASETS!E80</f>
        <v>Training</v>
      </c>
      <c r="H120" s="10">
        <f t="shared" si="36"/>
        <v>280080102</v>
      </c>
      <c r="I120" s="10">
        <f t="shared" si="37"/>
        <v>56529342081</v>
      </c>
      <c r="J120" s="10">
        <f t="shared" si="38"/>
        <v>1387684</v>
      </c>
      <c r="K120" s="35">
        <f t="shared" si="39"/>
        <v>2970.177253698067</v>
      </c>
      <c r="L120" s="35">
        <f t="shared" si="40"/>
        <v>-1792.177253698067</v>
      </c>
      <c r="M120" s="35">
        <f t="shared" si="41"/>
        <v>1792.177253698067</v>
      </c>
      <c r="N120" s="35">
        <f t="shared" si="42"/>
        <v>3211899.3086727457</v>
      </c>
      <c r="O120" s="35">
        <f t="shared" si="43"/>
        <v>493356.15457666735</v>
      </c>
      <c r="P120" s="35">
        <f t="shared" si="44"/>
        <v>2848.052714609928</v>
      </c>
      <c r="Q120" s="35">
        <f t="shared" si="45"/>
        <v>-1670.052714609928</v>
      </c>
      <c r="R120" s="35">
        <f t="shared" si="46"/>
        <v>1670.052714609928</v>
      </c>
      <c r="S120" s="35">
        <f t="shared" si="47"/>
        <v>2789076.0695759896</v>
      </c>
      <c r="T120" s="35">
        <f t="shared" si="48"/>
        <v>493356.15457666735</v>
      </c>
      <c r="U120" s="35">
        <f t="shared" si="49"/>
        <v>709.29054473746771</v>
      </c>
      <c r="V120" s="35">
        <f t="shared" si="50"/>
        <v>-48823.618751460039</v>
      </c>
      <c r="W120" s="35">
        <f t="shared" si="51"/>
        <v>2436.4917714423295</v>
      </c>
      <c r="X120" s="35">
        <f t="shared" si="52"/>
        <v>0.80551938914859145</v>
      </c>
      <c r="Y120" s="35">
        <f t="shared" si="53"/>
        <v>48525.083630501023</v>
      </c>
    </row>
    <row r="121" spans="1:25" x14ac:dyDescent="0.3">
      <c r="A121" s="4" t="str">
        <f>DATASETS!A81</f>
        <v>QUEZON AVE.</v>
      </c>
      <c r="B121" s="9">
        <f>DATASETS!C81</f>
        <v>262128</v>
      </c>
      <c r="C121" s="4">
        <f>DATASETS!B81</f>
        <v>2021</v>
      </c>
      <c r="D121" s="6">
        <f>DATASETS!I81</f>
        <v>1178</v>
      </c>
      <c r="E121" s="9">
        <f>DATASETS!H81</f>
        <v>61</v>
      </c>
      <c r="F121" s="6">
        <f>DATASETS!D81</f>
        <v>1753</v>
      </c>
      <c r="G121" s="4" t="str">
        <f>DATASETS!E81</f>
        <v>Training</v>
      </c>
      <c r="H121" s="10">
        <f t="shared" si="36"/>
        <v>459510384</v>
      </c>
      <c r="I121" s="10">
        <f t="shared" si="37"/>
        <v>68711088384</v>
      </c>
      <c r="J121" s="10">
        <f t="shared" si="38"/>
        <v>3073009</v>
      </c>
      <c r="K121" s="35">
        <f t="shared" si="39"/>
        <v>3344.9734051352816</v>
      </c>
      <c r="L121" s="35">
        <f t="shared" si="40"/>
        <v>-1591.9734051352816</v>
      </c>
      <c r="M121" s="35">
        <f t="shared" si="41"/>
        <v>1591.9734051352816</v>
      </c>
      <c r="N121" s="35">
        <f t="shared" si="42"/>
        <v>2534379.3226580233</v>
      </c>
      <c r="O121" s="35">
        <f t="shared" si="43"/>
        <v>16229.017824530636</v>
      </c>
      <c r="P121" s="35">
        <f t="shared" si="44"/>
        <v>1549.3443898454041</v>
      </c>
      <c r="Q121" s="35">
        <f t="shared" si="45"/>
        <v>203.65561015459593</v>
      </c>
      <c r="R121" s="35">
        <f t="shared" si="46"/>
        <v>203.65561015459593</v>
      </c>
      <c r="S121" s="35">
        <f t="shared" si="47"/>
        <v>41475.607547440755</v>
      </c>
      <c r="T121" s="35">
        <f t="shared" si="48"/>
        <v>16229.017824530636</v>
      </c>
      <c r="U121" s="35">
        <f t="shared" si="49"/>
        <v>781.98895482796831</v>
      </c>
      <c r="V121" s="35">
        <f t="shared" si="50"/>
        <v>-48847.788859752836</v>
      </c>
      <c r="W121" s="35">
        <f t="shared" si="51"/>
        <v>1089.2551448801003</v>
      </c>
      <c r="X121" s="35">
        <f t="shared" si="52"/>
        <v>0.80551938914859145</v>
      </c>
      <c r="Y121" s="35">
        <f t="shared" si="53"/>
        <v>48525.083630501023</v>
      </c>
    </row>
    <row r="122" spans="1:25" x14ac:dyDescent="0.3">
      <c r="A122" s="4" t="str">
        <f>DATASETS!A82</f>
        <v>QUEZON AVE.</v>
      </c>
      <c r="B122" s="9">
        <f>DATASETS!C82</f>
        <v>280606</v>
      </c>
      <c r="C122" s="4">
        <f>DATASETS!B82</f>
        <v>2022</v>
      </c>
      <c r="D122" s="6">
        <f>DATASETS!I82</f>
        <v>1753</v>
      </c>
      <c r="E122" s="9">
        <f>DATASETS!H82</f>
        <v>61</v>
      </c>
      <c r="F122" s="6">
        <f>DATASETS!D82</f>
        <v>1955</v>
      </c>
      <c r="G122" s="4" t="str">
        <f>DATASETS!E82</f>
        <v>Training</v>
      </c>
      <c r="H122" s="10">
        <f t="shared" si="36"/>
        <v>548584730</v>
      </c>
      <c r="I122" s="10">
        <f t="shared" si="37"/>
        <v>78739727236</v>
      </c>
      <c r="J122" s="10">
        <f t="shared" si="38"/>
        <v>3822025</v>
      </c>
      <c r="K122" s="35">
        <f t="shared" si="39"/>
        <v>3629.1657514054132</v>
      </c>
      <c r="L122" s="35">
        <f t="shared" si="40"/>
        <v>-1674.1657514054132</v>
      </c>
      <c r="M122" s="35">
        <f t="shared" si="41"/>
        <v>1674.1657514054132</v>
      </c>
      <c r="N122" s="35">
        <f t="shared" si="42"/>
        <v>2802830.9631788516</v>
      </c>
      <c r="O122" s="35">
        <f t="shared" si="43"/>
        <v>5566.1802176930441</v>
      </c>
      <c r="P122" s="35">
        <f t="shared" si="44"/>
        <v>2111.9807299194536</v>
      </c>
      <c r="Q122" s="35">
        <f t="shared" si="45"/>
        <v>-156.98072991945355</v>
      </c>
      <c r="R122" s="35">
        <f t="shared" si="46"/>
        <v>156.98072991945355</v>
      </c>
      <c r="S122" s="35">
        <f t="shared" si="47"/>
        <v>24642.949566044419</v>
      </c>
      <c r="T122" s="35">
        <f t="shared" si="48"/>
        <v>5566.1802176930441</v>
      </c>
      <c r="U122" s="35">
        <f t="shared" si="49"/>
        <v>837.11313807932345</v>
      </c>
      <c r="V122" s="35">
        <f t="shared" si="50"/>
        <v>-48871.958968045641</v>
      </c>
      <c r="W122" s="35">
        <f t="shared" si="51"/>
        <v>1620.9374099955992</v>
      </c>
      <c r="X122" s="35">
        <f t="shared" si="52"/>
        <v>0.80551938914859145</v>
      </c>
      <c r="Y122" s="35">
        <f t="shared" si="53"/>
        <v>48525.083630501023</v>
      </c>
    </row>
    <row r="123" spans="1:25" x14ac:dyDescent="0.3">
      <c r="A123" s="4" t="str">
        <f>DATASETS!A83</f>
        <v>QUEZON AVE.</v>
      </c>
      <c r="B123" s="9">
        <f>DATASETS!C83</f>
        <v>312486</v>
      </c>
      <c r="C123" s="4">
        <f>DATASETS!B83</f>
        <v>2023</v>
      </c>
      <c r="D123" s="6">
        <f>DATASETS!I83</f>
        <v>1955</v>
      </c>
      <c r="E123" s="9">
        <f>DATASETS!H83</f>
        <v>61</v>
      </c>
      <c r="F123" s="6">
        <f>DATASETS!D83</f>
        <v>2529</v>
      </c>
      <c r="G123" s="4" t="str">
        <f>DATASETS!E83</f>
        <v>Training</v>
      </c>
      <c r="H123" s="10">
        <f t="shared" si="36"/>
        <v>790277094</v>
      </c>
      <c r="I123" s="10">
        <f t="shared" si="37"/>
        <v>97647500196</v>
      </c>
      <c r="J123" s="10">
        <f t="shared" si="38"/>
        <v>6395841</v>
      </c>
      <c r="K123" s="35">
        <f t="shared" si="39"/>
        <v>4119.4813699297029</v>
      </c>
      <c r="L123" s="35">
        <f t="shared" si="40"/>
        <v>-1590.4813699297029</v>
      </c>
      <c r="M123" s="35">
        <f t="shared" si="41"/>
        <v>1590.4813699297029</v>
      </c>
      <c r="N123" s="35">
        <f t="shared" si="42"/>
        <v>2529630.9880934642</v>
      </c>
      <c r="O123" s="35">
        <f t="shared" si="43"/>
        <v>420690.82979034266</v>
      </c>
      <c r="P123" s="35">
        <f t="shared" si="44"/>
        <v>2369.6983877533239</v>
      </c>
      <c r="Q123" s="35">
        <f t="shared" si="45"/>
        <v>159.30161224667609</v>
      </c>
      <c r="R123" s="35">
        <f t="shared" si="46"/>
        <v>159.30161224667609</v>
      </c>
      <c r="S123" s="35">
        <f t="shared" si="47"/>
        <v>25377.00366439034</v>
      </c>
      <c r="T123" s="35">
        <f t="shared" si="48"/>
        <v>420690.82979034266</v>
      </c>
      <c r="U123" s="35">
        <f t="shared" si="49"/>
        <v>932.21861280890448</v>
      </c>
      <c r="V123" s="35">
        <f t="shared" si="50"/>
        <v>-48896.129076338446</v>
      </c>
      <c r="W123" s="35">
        <f t="shared" si="51"/>
        <v>1807.7197013926962</v>
      </c>
      <c r="X123" s="35">
        <f t="shared" si="52"/>
        <v>0.80551938914859145</v>
      </c>
      <c r="Y123" s="35">
        <f t="shared" si="53"/>
        <v>48525.083630501023</v>
      </c>
    </row>
    <row r="124" spans="1:25" x14ac:dyDescent="0.3">
      <c r="A124" s="4" t="str">
        <f>DATASETS!A84</f>
        <v>QUEZON AVE.</v>
      </c>
      <c r="B124" s="9">
        <f>DATASETS!C84</f>
        <v>298680</v>
      </c>
      <c r="C124" s="4">
        <f>DATASETS!B84</f>
        <v>2024</v>
      </c>
      <c r="D124" s="6">
        <f>DATASETS!I84</f>
        <v>2529</v>
      </c>
      <c r="E124" s="9">
        <f>DATASETS!H84</f>
        <v>61</v>
      </c>
      <c r="F124" s="6">
        <f>DATASETS!D84</f>
        <v>2883</v>
      </c>
      <c r="G124" s="4" t="str">
        <f>DATASETS!E84</f>
        <v>Training</v>
      </c>
      <c r="H124" s="10">
        <f t="shared" si="36"/>
        <v>861094440</v>
      </c>
      <c r="I124" s="10">
        <f t="shared" si="37"/>
        <v>89209742400</v>
      </c>
      <c r="J124" s="10">
        <f t="shared" si="38"/>
        <v>8311689</v>
      </c>
      <c r="K124" s="35">
        <f t="shared" si="39"/>
        <v>3907.1445622337696</v>
      </c>
      <c r="L124" s="35">
        <f t="shared" si="40"/>
        <v>-1024.1445622337696</v>
      </c>
      <c r="M124" s="35">
        <f t="shared" si="41"/>
        <v>1024.1445622337696</v>
      </c>
      <c r="N124" s="35">
        <f t="shared" si="42"/>
        <v>1048872.0843529997</v>
      </c>
      <c r="O124" s="35">
        <f t="shared" si="43"/>
        <v>1005220.4708159837</v>
      </c>
      <c r="P124" s="35">
        <f t="shared" si="44"/>
        <v>2835.0993620721347</v>
      </c>
      <c r="Q124" s="35">
        <f t="shared" si="45"/>
        <v>47.900637927865318</v>
      </c>
      <c r="R124" s="35">
        <f t="shared" si="46"/>
        <v>47.900637927865318</v>
      </c>
      <c r="S124" s="35">
        <f t="shared" si="47"/>
        <v>2294.4711138964494</v>
      </c>
      <c r="T124" s="35">
        <f t="shared" si="48"/>
        <v>1005220.4708159837</v>
      </c>
      <c r="U124" s="35">
        <f t="shared" si="49"/>
        <v>891.03209511390457</v>
      </c>
      <c r="V124" s="35">
        <f t="shared" si="50"/>
        <v>-48920.299184631243</v>
      </c>
      <c r="W124" s="35">
        <f t="shared" si="51"/>
        <v>2338.4773016992986</v>
      </c>
      <c r="X124" s="35">
        <f t="shared" si="52"/>
        <v>0.80551938914859145</v>
      </c>
      <c r="Y124" s="35">
        <f t="shared" si="53"/>
        <v>48525.083630501023</v>
      </c>
    </row>
    <row r="125" spans="1:25" x14ac:dyDescent="0.3">
      <c r="A125" s="4" t="str">
        <f>DATASETS!A86</f>
        <v>COMMONWEALTH AVE.</v>
      </c>
      <c r="B125" s="9">
        <f>DATASETS!C86</f>
        <v>272255</v>
      </c>
      <c r="C125" s="4">
        <f>DATASETS!B86</f>
        <v>2016</v>
      </c>
      <c r="D125" s="6">
        <f>DATASETS!I86</f>
        <v>3158</v>
      </c>
      <c r="E125" s="9">
        <f>DATASETS!H86</f>
        <v>223.20000000000002</v>
      </c>
      <c r="F125" s="6">
        <f>DATASETS!D86</f>
        <v>4032</v>
      </c>
      <c r="G125" s="4" t="str">
        <f>DATASETS!E86</f>
        <v>Training</v>
      </c>
      <c r="H125" s="10">
        <f t="shared" si="36"/>
        <v>1097732160</v>
      </c>
      <c r="I125" s="10">
        <f t="shared" si="37"/>
        <v>74122785025</v>
      </c>
      <c r="J125" s="10">
        <f t="shared" si="38"/>
        <v>16257024</v>
      </c>
      <c r="K125" s="35">
        <f t="shared" si="39"/>
        <v>3500.727052211676</v>
      </c>
      <c r="L125" s="35">
        <f t="shared" si="40"/>
        <v>531.27294778832402</v>
      </c>
      <c r="M125" s="35">
        <f t="shared" si="41"/>
        <v>531.27294778832402</v>
      </c>
      <c r="N125" s="35">
        <f t="shared" si="42"/>
        <v>282250.94505169528</v>
      </c>
      <c r="O125" s="35">
        <f t="shared" si="43"/>
        <v>4629411.9836364975</v>
      </c>
      <c r="P125" s="35">
        <f t="shared" si="44"/>
        <v>3533.3843449015158</v>
      </c>
      <c r="Q125" s="35">
        <f t="shared" si="45"/>
        <v>498.61565509848424</v>
      </c>
      <c r="R125" s="35">
        <f t="shared" si="46"/>
        <v>498.61565509848424</v>
      </c>
      <c r="S125" s="35">
        <f t="shared" si="47"/>
        <v>248617.5715092906</v>
      </c>
      <c r="T125" s="35">
        <f t="shared" si="48"/>
        <v>4629411.9836364975</v>
      </c>
      <c r="U125" s="35">
        <f t="shared" si="49"/>
        <v>812.20015754398048</v>
      </c>
      <c r="V125" s="35">
        <f t="shared" si="50"/>
        <v>-48726.938318288827</v>
      </c>
      <c r="W125" s="35">
        <f t="shared" si="51"/>
        <v>2920.0914664952097</v>
      </c>
      <c r="X125" s="35">
        <f t="shared" si="52"/>
        <v>2.9474086501305838</v>
      </c>
      <c r="Y125" s="35">
        <f t="shared" si="53"/>
        <v>48525.083630501023</v>
      </c>
    </row>
    <row r="126" spans="1:25" x14ac:dyDescent="0.3">
      <c r="A126" s="4" t="str">
        <f>DATASETS!A87</f>
        <v>COMMONWEALTH AVE.</v>
      </c>
      <c r="B126" s="9">
        <f>DATASETS!C87</f>
        <v>272720</v>
      </c>
      <c r="C126" s="4">
        <f>DATASETS!B87</f>
        <v>2017</v>
      </c>
      <c r="D126" s="6">
        <f>DATASETS!I87</f>
        <v>4032</v>
      </c>
      <c r="E126" s="9">
        <f>DATASETS!H87</f>
        <v>223.20000000000002</v>
      </c>
      <c r="F126" s="6">
        <f>DATASETS!D87</f>
        <v>4649</v>
      </c>
      <c r="G126" s="4" t="str">
        <f>DATASETS!E87</f>
        <v>Training</v>
      </c>
      <c r="H126" s="10">
        <f t="shared" si="36"/>
        <v>1267875280</v>
      </c>
      <c r="I126" s="10">
        <f t="shared" si="37"/>
        <v>74376198400</v>
      </c>
      <c r="J126" s="10">
        <f t="shared" si="38"/>
        <v>21613201</v>
      </c>
      <c r="K126" s="35">
        <f t="shared" si="39"/>
        <v>3507.8787699850072</v>
      </c>
      <c r="L126" s="35">
        <f t="shared" si="40"/>
        <v>1141.1212300149928</v>
      </c>
      <c r="M126" s="35">
        <f t="shared" si="41"/>
        <v>1141.1212300149928</v>
      </c>
      <c r="N126" s="35">
        <f t="shared" si="42"/>
        <v>1302157.6615909301</v>
      </c>
      <c r="O126" s="35">
        <f t="shared" si="43"/>
        <v>7665183.8212433355</v>
      </c>
      <c r="P126" s="35">
        <f t="shared" si="44"/>
        <v>4318.7584830268424</v>
      </c>
      <c r="Q126" s="35">
        <f t="shared" si="45"/>
        <v>330.24151697315756</v>
      </c>
      <c r="R126" s="35">
        <f t="shared" si="46"/>
        <v>330.24151697315756</v>
      </c>
      <c r="S126" s="35">
        <f t="shared" si="47"/>
        <v>109059.45953273232</v>
      </c>
      <c r="T126" s="35">
        <f t="shared" si="48"/>
        <v>7665183.8212433355</v>
      </c>
      <c r="U126" s="35">
        <f t="shared" si="49"/>
        <v>813.58736098655436</v>
      </c>
      <c r="V126" s="35">
        <f t="shared" si="50"/>
        <v>-48751.108426581632</v>
      </c>
      <c r="W126" s="35">
        <f t="shared" si="51"/>
        <v>3728.2485094707677</v>
      </c>
      <c r="X126" s="35">
        <f t="shared" si="52"/>
        <v>2.9474086501305838</v>
      </c>
      <c r="Y126" s="35">
        <f t="shared" si="53"/>
        <v>48525.083630501023</v>
      </c>
    </row>
    <row r="127" spans="1:25" x14ac:dyDescent="0.3">
      <c r="A127" s="4" t="str">
        <f>DATASETS!A88</f>
        <v>COMMONWEALTH AVE.</v>
      </c>
      <c r="B127" s="9">
        <f>DATASETS!C88</f>
        <v>244916</v>
      </c>
      <c r="C127" s="4">
        <f>DATASETS!B88</f>
        <v>2018</v>
      </c>
      <c r="D127" s="6">
        <f>DATASETS!I88</f>
        <v>4649</v>
      </c>
      <c r="E127" s="9">
        <f>DATASETS!H88</f>
        <v>223.20000000000002</v>
      </c>
      <c r="F127" s="6">
        <f>DATASETS!D88</f>
        <v>5148</v>
      </c>
      <c r="G127" s="4" t="str">
        <f>DATASETS!E88</f>
        <v>Training</v>
      </c>
      <c r="H127" s="10">
        <f t="shared" si="36"/>
        <v>1260827568</v>
      </c>
      <c r="I127" s="10">
        <f>B127^2</f>
        <v>59983847056</v>
      </c>
      <c r="J127" s="10">
        <f t="shared" si="38"/>
        <v>26501904</v>
      </c>
      <c r="K127" s="35">
        <f t="shared" si="39"/>
        <v>3080.2521872544767</v>
      </c>
      <c r="L127" s="35">
        <f t="shared" si="40"/>
        <v>2067.7478127455233</v>
      </c>
      <c r="M127" s="35">
        <f t="shared" si="41"/>
        <v>2067.7478127455233</v>
      </c>
      <c r="N127" s="35">
        <f t="shared" si="42"/>
        <v>4275581.0171138961</v>
      </c>
      <c r="O127" s="35">
        <f t="shared" si="43"/>
        <v>10677254.44517496</v>
      </c>
      <c r="P127" s="35">
        <f t="shared" si="44"/>
        <v>4782.1607456569063</v>
      </c>
      <c r="Q127" s="35">
        <f t="shared" si="45"/>
        <v>365.83925434309367</v>
      </c>
      <c r="R127" s="35">
        <f t="shared" si="46"/>
        <v>365.83925434309367</v>
      </c>
      <c r="S127" s="35">
        <f t="shared" si="47"/>
        <v>133838.36001831078</v>
      </c>
      <c r="T127" s="35">
        <f t="shared" si="48"/>
        <v>10677254.44517496</v>
      </c>
      <c r="U127" s="35">
        <f t="shared" si="49"/>
        <v>730.64154482026606</v>
      </c>
      <c r="V127" s="35">
        <f t="shared" si="50"/>
        <v>-48775.278534874436</v>
      </c>
      <c r="W127" s="35">
        <f t="shared" si="51"/>
        <v>4298.766696559921</v>
      </c>
      <c r="X127" s="35">
        <f t="shared" si="52"/>
        <v>2.9474086501305838</v>
      </c>
      <c r="Y127" s="35">
        <f t="shared" si="53"/>
        <v>48525.083630501023</v>
      </c>
    </row>
    <row r="128" spans="1:25" x14ac:dyDescent="0.3">
      <c r="A128" s="4" t="str">
        <f>DATASETS!A89</f>
        <v>COMMONWEALTH AVE.</v>
      </c>
      <c r="B128" s="9">
        <f>DATASETS!C89</f>
        <v>317471</v>
      </c>
      <c r="C128" s="4">
        <f>DATASETS!B89</f>
        <v>2019</v>
      </c>
      <c r="D128" s="6">
        <f>DATASETS!I89</f>
        <v>5148</v>
      </c>
      <c r="E128" s="9">
        <f>DATASETS!H89</f>
        <v>223.20000000000002</v>
      </c>
      <c r="F128" s="6">
        <f>DATASETS!D89</f>
        <v>4998</v>
      </c>
      <c r="G128" s="4" t="str">
        <f>DATASETS!E89</f>
        <v>Training</v>
      </c>
      <c r="H128" s="10">
        <f t="shared" si="36"/>
        <v>1586720058</v>
      </c>
      <c r="I128" s="10">
        <f>B128^2</f>
        <v>100787835841</v>
      </c>
      <c r="J128" s="10">
        <f t="shared" si="38"/>
        <v>24980004</v>
      </c>
      <c r="K128" s="35">
        <f t="shared" si="39"/>
        <v>4196.1508604674564</v>
      </c>
      <c r="L128" s="35">
        <f t="shared" si="40"/>
        <v>801.84913953254363</v>
      </c>
      <c r="M128" s="35">
        <f t="shared" si="41"/>
        <v>801.84913953254363</v>
      </c>
      <c r="N128" s="35">
        <f t="shared" si="42"/>
        <v>642962.0425690806</v>
      </c>
      <c r="O128" s="35">
        <f t="shared" si="43"/>
        <v>9719472.3938929085</v>
      </c>
      <c r="P128" s="35">
        <f t="shared" si="44"/>
        <v>5435.8468625431451</v>
      </c>
      <c r="Q128" s="35">
        <f t="shared" si="45"/>
        <v>-437.84686254314511</v>
      </c>
      <c r="R128" s="35">
        <f t="shared" si="46"/>
        <v>437.84686254314511</v>
      </c>
      <c r="S128" s="35">
        <f t="shared" si="47"/>
        <v>191709.87503887582</v>
      </c>
      <c r="T128" s="35">
        <f t="shared" si="48"/>
        <v>9719472.3938929085</v>
      </c>
      <c r="U128" s="35">
        <f t="shared" si="49"/>
        <v>947.0900303599384</v>
      </c>
      <c r="V128" s="35">
        <f t="shared" si="50"/>
        <v>-48799.448643167234</v>
      </c>
      <c r="W128" s="35">
        <f t="shared" si="51"/>
        <v>4760.1744361992842</v>
      </c>
      <c r="X128" s="35">
        <f t="shared" si="52"/>
        <v>2.9474086501305838</v>
      </c>
      <c r="Y128" s="35">
        <f t="shared" si="53"/>
        <v>48525.083630501023</v>
      </c>
    </row>
    <row r="129" spans="1:25" x14ac:dyDescent="0.3">
      <c r="A129" s="4" t="str">
        <f>DATASETS!A90</f>
        <v>COMMONWEALTH AVE.</v>
      </c>
      <c r="B129" s="9">
        <f>DATASETS!C90</f>
        <v>282137</v>
      </c>
      <c r="C129" s="4">
        <f>DATASETS!B90</f>
        <v>2020</v>
      </c>
      <c r="D129" s="6">
        <f>DATASETS!I90</f>
        <v>4998</v>
      </c>
      <c r="E129" s="9">
        <f>DATASETS!H90</f>
        <v>223.20000000000002</v>
      </c>
      <c r="F129" s="6">
        <f>DATASETS!D90</f>
        <v>3262</v>
      </c>
      <c r="G129" s="4" t="str">
        <f>DATASETS!E90</f>
        <v>Training</v>
      </c>
      <c r="H129" s="10">
        <f t="shared" si="36"/>
        <v>920330894</v>
      </c>
      <c r="I129" s="10">
        <f t="shared" si="37"/>
        <v>79601286769</v>
      </c>
      <c r="J129" s="10">
        <f t="shared" si="38"/>
        <v>10640644</v>
      </c>
      <c r="K129" s="35">
        <f t="shared" si="39"/>
        <v>3652.712589923628</v>
      </c>
      <c r="L129" s="35">
        <f t="shared" si="40"/>
        <v>-390.712589923628</v>
      </c>
      <c r="M129" s="35">
        <f t="shared" si="41"/>
        <v>390.712589923628</v>
      </c>
      <c r="N129" s="35">
        <f t="shared" si="42"/>
        <v>152656.32792482909</v>
      </c>
      <c r="O129" s="35">
        <f t="shared" si="43"/>
        <v>1908837.4537219666</v>
      </c>
      <c r="P129" s="35">
        <f t="shared" si="44"/>
        <v>5167.5674706795016</v>
      </c>
      <c r="Q129" s="35">
        <f t="shared" si="45"/>
        <v>-1905.5674706795016</v>
      </c>
      <c r="R129" s="35">
        <f t="shared" si="46"/>
        <v>1905.5674706795016</v>
      </c>
      <c r="S129" s="35">
        <f t="shared" si="47"/>
        <v>3631187.3853118732</v>
      </c>
      <c r="T129" s="35">
        <f t="shared" si="48"/>
        <v>1908837.4537219666</v>
      </c>
      <c r="U129" s="35">
        <f t="shared" si="49"/>
        <v>841.68046812358284</v>
      </c>
      <c r="V129" s="35">
        <f t="shared" si="50"/>
        <v>-48823.618751460039</v>
      </c>
      <c r="W129" s="35">
        <f t="shared" si="51"/>
        <v>4621.4747148648057</v>
      </c>
      <c r="X129" s="35">
        <f t="shared" si="52"/>
        <v>2.9474086501305838</v>
      </c>
      <c r="Y129" s="35">
        <f t="shared" si="53"/>
        <v>48525.083630501023</v>
      </c>
    </row>
    <row r="130" spans="1:25" x14ac:dyDescent="0.3">
      <c r="A130" s="4" t="str">
        <f>DATASETS!A91</f>
        <v>COMMONWEALTH AVE.</v>
      </c>
      <c r="B130" s="9">
        <f>DATASETS!C91</f>
        <v>302316</v>
      </c>
      <c r="C130" s="4">
        <f>DATASETS!B91</f>
        <v>2021</v>
      </c>
      <c r="D130" s="6">
        <f>DATASETS!I91</f>
        <v>3262</v>
      </c>
      <c r="E130" s="9">
        <f>DATASETS!H91</f>
        <v>223.20000000000002</v>
      </c>
      <c r="F130" s="6">
        <f>DATASETS!D91</f>
        <v>3057</v>
      </c>
      <c r="G130" s="4" t="str">
        <f>DATASETS!E91</f>
        <v>Training</v>
      </c>
      <c r="H130" s="10">
        <f t="shared" si="36"/>
        <v>924180012</v>
      </c>
      <c r="I130" s="10">
        <f t="shared" si="37"/>
        <v>91394963856</v>
      </c>
      <c r="J130" s="10">
        <f t="shared" si="38"/>
        <v>9345249</v>
      </c>
      <c r="K130" s="35">
        <f t="shared" si="39"/>
        <v>3963.0663812097519</v>
      </c>
      <c r="L130" s="35">
        <f t="shared" si="40"/>
        <v>-906.06638120975185</v>
      </c>
      <c r="M130" s="35">
        <f t="shared" si="41"/>
        <v>906.06638120975185</v>
      </c>
      <c r="N130" s="35">
        <f t="shared" si="42"/>
        <v>820956.28715853533</v>
      </c>
      <c r="O130" s="35">
        <f t="shared" si="43"/>
        <v>1384403.6503031631</v>
      </c>
      <c r="P130" s="35">
        <f t="shared" si="44"/>
        <v>3598.3779170836319</v>
      </c>
      <c r="Q130" s="35">
        <f t="shared" si="45"/>
        <v>-541.37791708363193</v>
      </c>
      <c r="R130" s="35">
        <f t="shared" si="46"/>
        <v>541.37791708363193</v>
      </c>
      <c r="S130" s="35">
        <f t="shared" si="47"/>
        <v>293090.04910581186</v>
      </c>
      <c r="T130" s="35">
        <f t="shared" si="48"/>
        <v>1384403.6503031631</v>
      </c>
      <c r="U130" s="35">
        <f t="shared" si="49"/>
        <v>901.8791310648694</v>
      </c>
      <c r="V130" s="35">
        <f t="shared" si="50"/>
        <v>-48847.788859752836</v>
      </c>
      <c r="W130" s="35">
        <f t="shared" si="51"/>
        <v>3016.2566066204477</v>
      </c>
      <c r="X130" s="35">
        <f t="shared" si="52"/>
        <v>2.9474086501305838</v>
      </c>
      <c r="Y130" s="35">
        <f t="shared" si="53"/>
        <v>48525.083630501023</v>
      </c>
    </row>
    <row r="131" spans="1:25" x14ac:dyDescent="0.3">
      <c r="A131" s="4" t="str">
        <f>DATASETS!A92</f>
        <v>COMMONWEALTH AVE.</v>
      </c>
      <c r="B131" s="9">
        <f>DATASETS!C92</f>
        <v>346184</v>
      </c>
      <c r="C131" s="4">
        <f>DATASETS!B92</f>
        <v>2022</v>
      </c>
      <c r="D131" s="6">
        <f>DATASETS!I92</f>
        <v>3057</v>
      </c>
      <c r="E131" s="9">
        <f>DATASETS!H92</f>
        <v>223.20000000000002</v>
      </c>
      <c r="F131" s="6">
        <f>DATASETS!D92</f>
        <v>3846</v>
      </c>
      <c r="G131" s="4" t="str">
        <f>DATASETS!E92</f>
        <v>Training</v>
      </c>
      <c r="H131" s="10">
        <f t="shared" si="36"/>
        <v>1331423664</v>
      </c>
      <c r="I131" s="10">
        <f t="shared" si="37"/>
        <v>119843361856</v>
      </c>
      <c r="J131" s="10">
        <f t="shared" si="38"/>
        <v>14791716</v>
      </c>
      <c r="K131" s="35">
        <f t="shared" si="39"/>
        <v>4637.7578979419832</v>
      </c>
      <c r="L131" s="35">
        <f t="shared" si="40"/>
        <v>-791.75789794198317</v>
      </c>
      <c r="M131" s="35">
        <f t="shared" si="41"/>
        <v>791.75789794198317</v>
      </c>
      <c r="N131" s="35">
        <f t="shared" si="42"/>
        <v>626880.56895350781</v>
      </c>
      <c r="O131" s="35">
        <f t="shared" si="43"/>
        <v>3863610.2400467531</v>
      </c>
      <c r="P131" s="35">
        <f t="shared" si="44"/>
        <v>3515.5199974161442</v>
      </c>
      <c r="Q131" s="35">
        <f t="shared" si="45"/>
        <v>330.48000258385582</v>
      </c>
      <c r="R131" s="35">
        <f t="shared" si="46"/>
        <v>330.48000258385582</v>
      </c>
      <c r="S131" s="35">
        <f t="shared" si="47"/>
        <v>109217.03210782535</v>
      </c>
      <c r="T131" s="35">
        <f t="shared" si="48"/>
        <v>3863610.2400467531</v>
      </c>
      <c r="U131" s="35">
        <f t="shared" si="49"/>
        <v>1032.747605513968</v>
      </c>
      <c r="V131" s="35">
        <f t="shared" si="50"/>
        <v>-48871.958968045641</v>
      </c>
      <c r="W131" s="35">
        <f t="shared" si="51"/>
        <v>2826.7003207966609</v>
      </c>
      <c r="X131" s="35">
        <f t="shared" si="52"/>
        <v>2.9474086501305838</v>
      </c>
      <c r="Y131" s="35">
        <f t="shared" si="53"/>
        <v>48525.083630501023</v>
      </c>
    </row>
    <row r="132" spans="1:25" x14ac:dyDescent="0.3">
      <c r="A132" s="4" t="str">
        <f>DATASETS!A93</f>
        <v>COMMONWEALTH AVE.</v>
      </c>
      <c r="B132" s="9">
        <f>DATASETS!C93</f>
        <v>407988</v>
      </c>
      <c r="C132" s="4">
        <f>DATASETS!B93</f>
        <v>2023</v>
      </c>
      <c r="D132" s="6">
        <f>DATASETS!I93</f>
        <v>3846</v>
      </c>
      <c r="E132" s="9">
        <f>DATASETS!H93</f>
        <v>223.20000000000002</v>
      </c>
      <c r="F132" s="6">
        <f>DATASETS!D93</f>
        <v>4874</v>
      </c>
      <c r="G132" s="4" t="str">
        <f>DATASETS!E93</f>
        <v>Training</v>
      </c>
      <c r="H132" s="10">
        <f t="shared" si="36"/>
        <v>1988533512</v>
      </c>
      <c r="I132" s="10">
        <f>B132^2</f>
        <v>166454208144</v>
      </c>
      <c r="J132" s="10">
        <f t="shared" si="38"/>
        <v>23755876</v>
      </c>
      <c r="K132" s="35">
        <f t="shared" si="39"/>
        <v>5588.3057802279036</v>
      </c>
      <c r="L132" s="35">
        <f t="shared" si="40"/>
        <v>-714.3057802279036</v>
      </c>
      <c r="M132" s="35">
        <f t="shared" si="41"/>
        <v>714.3057802279036</v>
      </c>
      <c r="N132" s="35">
        <f t="shared" si="42"/>
        <v>510232.74766699411</v>
      </c>
      <c r="O132" s="35">
        <f t="shared" si="43"/>
        <v>8961681.8981664125</v>
      </c>
      <c r="P132" s="35">
        <f t="shared" si="44"/>
        <v>4405.2861686434135</v>
      </c>
      <c r="Q132" s="35">
        <f t="shared" si="45"/>
        <v>468.71383135658652</v>
      </c>
      <c r="R132" s="35">
        <f t="shared" si="46"/>
        <v>468.71383135658652</v>
      </c>
      <c r="S132" s="35">
        <f t="shared" si="47"/>
        <v>219692.65570497065</v>
      </c>
      <c r="T132" s="35">
        <f t="shared" si="48"/>
        <v>8961681.8981664125</v>
      </c>
      <c r="U132" s="35">
        <f t="shared" si="49"/>
        <v>1217.1233508146904</v>
      </c>
      <c r="V132" s="35">
        <f t="shared" si="50"/>
        <v>-48896.129076338446</v>
      </c>
      <c r="W132" s="35">
        <f t="shared" si="51"/>
        <v>3556.2608550160153</v>
      </c>
      <c r="X132" s="35">
        <f t="shared" si="52"/>
        <v>2.9474086501305838</v>
      </c>
      <c r="Y132" s="35">
        <f t="shared" si="53"/>
        <v>48525.083630501023</v>
      </c>
    </row>
    <row r="133" spans="1:25" x14ac:dyDescent="0.3">
      <c r="A133" s="4" t="str">
        <f>DATASETS!A94</f>
        <v>COMMONWEALTH AVE.</v>
      </c>
      <c r="B133" s="9">
        <f>DATASETS!C94</f>
        <v>413345</v>
      </c>
      <c r="C133" s="4">
        <f>DATASETS!B94</f>
        <v>2024</v>
      </c>
      <c r="D133" s="6">
        <f>DATASETS!I94</f>
        <v>4874</v>
      </c>
      <c r="E133" s="9">
        <f>DATASETS!H94</f>
        <v>223.20000000000002</v>
      </c>
      <c r="F133" s="6">
        <f>DATASETS!D94</f>
        <v>5091</v>
      </c>
      <c r="G133" s="4" t="str">
        <f>DATASETS!E94</f>
        <v>Training</v>
      </c>
      <c r="H133" s="10">
        <f t="shared" si="36"/>
        <v>2104339395</v>
      </c>
      <c r="I133" s="10">
        <f t="shared" si="37"/>
        <v>170854089025</v>
      </c>
      <c r="J133" s="10">
        <f t="shared" si="38"/>
        <v>25918281</v>
      </c>
      <c r="K133" s="35">
        <f t="shared" si="39"/>
        <v>5670.6966449843221</v>
      </c>
      <c r="L133" s="35">
        <f t="shared" si="40"/>
        <v>-579.69664498432212</v>
      </c>
      <c r="M133" s="35">
        <f t="shared" si="41"/>
        <v>579.69664498432212</v>
      </c>
      <c r="N133" s="35">
        <f t="shared" si="42"/>
        <v>336048.20020607917</v>
      </c>
      <c r="O133" s="35">
        <f t="shared" si="43"/>
        <v>10307996.26568778</v>
      </c>
      <c r="P133" s="35">
        <f t="shared" si="44"/>
        <v>5347.6526642013296</v>
      </c>
      <c r="Q133" s="35">
        <f t="shared" si="45"/>
        <v>-256.65266420132957</v>
      </c>
      <c r="R133" s="35">
        <f t="shared" si="46"/>
        <v>256.65266420132957</v>
      </c>
      <c r="S133" s="35">
        <f t="shared" si="47"/>
        <v>65870.590041640433</v>
      </c>
      <c r="T133" s="35">
        <f t="shared" si="48"/>
        <v>10307996.26568778</v>
      </c>
      <c r="U133" s="35">
        <f t="shared" si="49"/>
        <v>1233.1045311197834</v>
      </c>
      <c r="V133" s="35">
        <f t="shared" si="50"/>
        <v>-48920.299184631243</v>
      </c>
      <c r="W133" s="35">
        <f t="shared" si="51"/>
        <v>4506.8162785616378</v>
      </c>
      <c r="X133" s="35">
        <f t="shared" si="52"/>
        <v>2.9474086501305838</v>
      </c>
      <c r="Y133" s="35">
        <f t="shared" si="53"/>
        <v>48525.083630501023</v>
      </c>
    </row>
    <row r="134" spans="1:25" x14ac:dyDescent="0.3">
      <c r="A134" s="4" t="str">
        <f>DATASETS!A96</f>
        <v>RIZAL AVE.</v>
      </c>
      <c r="B134" s="9">
        <f>DATASETS!C96</f>
        <v>76295</v>
      </c>
      <c r="C134" s="4">
        <f>DATASETS!B96</f>
        <v>2016</v>
      </c>
      <c r="D134" s="6">
        <f>DATASETS!I96</f>
        <v>426</v>
      </c>
      <c r="E134" s="9">
        <f>DATASETS!H96</f>
        <v>32.865000000000002</v>
      </c>
      <c r="F134" s="6">
        <f>DATASETS!D96</f>
        <v>309</v>
      </c>
      <c r="G134" s="4" t="str">
        <f>DATASETS!E96</f>
        <v>Training</v>
      </c>
      <c r="H134" s="10">
        <f t="shared" si="36"/>
        <v>23575155</v>
      </c>
      <c r="I134" s="10">
        <f t="shared" si="37"/>
        <v>5820927025</v>
      </c>
      <c r="J134" s="10">
        <f t="shared" si="38"/>
        <v>95481</v>
      </c>
      <c r="K134" s="35">
        <f t="shared" si="39"/>
        <v>486.85476218596455</v>
      </c>
      <c r="L134" s="35">
        <f t="shared" si="40"/>
        <v>-177.85476218596455</v>
      </c>
      <c r="M134" s="35">
        <f t="shared" si="41"/>
        <v>177.85476218596455</v>
      </c>
      <c r="N134" s="35">
        <f t="shared" si="42"/>
        <v>31632.316432226005</v>
      </c>
      <c r="O134" s="35">
        <f t="shared" si="43"/>
        <v>2469276.4708159836</v>
      </c>
      <c r="P134" s="35">
        <f t="shared" si="44"/>
        <v>420.09228862402114</v>
      </c>
      <c r="Q134" s="35">
        <f t="shared" si="45"/>
        <v>-111.09228862402114</v>
      </c>
      <c r="R134" s="35">
        <f t="shared" si="46"/>
        <v>111.09228862402114</v>
      </c>
      <c r="S134" s="35">
        <f t="shared" si="47"/>
        <v>12341.496591722816</v>
      </c>
      <c r="T134" s="35">
        <f t="shared" si="48"/>
        <v>2469276.4708159836</v>
      </c>
      <c r="U134" s="35">
        <f t="shared" si="49"/>
        <v>227.60577774446014</v>
      </c>
      <c r="V134" s="35">
        <f t="shared" si="50"/>
        <v>-48726.938318288827</v>
      </c>
      <c r="W134" s="35">
        <f t="shared" si="51"/>
        <v>393.90720858991745</v>
      </c>
      <c r="X134" s="35">
        <f t="shared" si="52"/>
        <v>0.43399007744866325</v>
      </c>
      <c r="Y134" s="35">
        <f t="shared" si="53"/>
        <v>48525.083630501023</v>
      </c>
    </row>
    <row r="135" spans="1:25" x14ac:dyDescent="0.3">
      <c r="A135" s="4" t="str">
        <f>DATASETS!A97</f>
        <v>RIZAL AVE.</v>
      </c>
      <c r="B135" s="9">
        <f>DATASETS!C97</f>
        <v>81740</v>
      </c>
      <c r="C135" s="4">
        <f>DATASETS!B97</f>
        <v>2017</v>
      </c>
      <c r="D135" s="6">
        <f>DATASETS!I97</f>
        <v>309</v>
      </c>
      <c r="E135" s="9">
        <f>DATASETS!H97</f>
        <v>32.865000000000002</v>
      </c>
      <c r="F135" s="6">
        <f>DATASETS!D97</f>
        <v>323</v>
      </c>
      <c r="G135" s="4" t="str">
        <f>DATASETS!E97</f>
        <v>Training</v>
      </c>
      <c r="H135" s="10">
        <f t="shared" si="36"/>
        <v>26402020</v>
      </c>
      <c r="I135" s="10">
        <f t="shared" si="37"/>
        <v>6681427600</v>
      </c>
      <c r="J135" s="10">
        <f t="shared" si="38"/>
        <v>104329</v>
      </c>
      <c r="K135" s="35">
        <f t="shared" si="39"/>
        <v>570.59907030593786</v>
      </c>
      <c r="L135" s="35">
        <f t="shared" si="40"/>
        <v>-247.59907030593786</v>
      </c>
      <c r="M135" s="35">
        <f t="shared" si="41"/>
        <v>247.59907030593786</v>
      </c>
      <c r="N135" s="35">
        <f t="shared" si="42"/>
        <v>61305.299616364755</v>
      </c>
      <c r="O135" s="35">
        <f t="shared" si="43"/>
        <v>2425473.4622689751</v>
      </c>
      <c r="P135" s="35">
        <f t="shared" si="44"/>
        <v>303.98010251788406</v>
      </c>
      <c r="Q135" s="35">
        <f t="shared" si="45"/>
        <v>19.019897482115937</v>
      </c>
      <c r="R135" s="35">
        <f t="shared" si="46"/>
        <v>19.019897482115937</v>
      </c>
      <c r="S135" s="35">
        <f t="shared" si="47"/>
        <v>361.75650023020017</v>
      </c>
      <c r="T135" s="35">
        <f t="shared" si="48"/>
        <v>2425473.4622689751</v>
      </c>
      <c r="U135" s="35">
        <f t="shared" si="49"/>
        <v>243.84948257201876</v>
      </c>
      <c r="V135" s="35">
        <f t="shared" si="50"/>
        <v>-48751.108426581632</v>
      </c>
      <c r="W135" s="35">
        <f t="shared" si="51"/>
        <v>285.72142594902459</v>
      </c>
      <c r="X135" s="35">
        <f t="shared" si="52"/>
        <v>0.43399007744866325</v>
      </c>
      <c r="Y135" s="35">
        <f t="shared" si="53"/>
        <v>48525.083630501023</v>
      </c>
    </row>
    <row r="136" spans="1:25" x14ac:dyDescent="0.3">
      <c r="A136" s="4" t="str">
        <f>DATASETS!A98</f>
        <v>RIZAL AVE.</v>
      </c>
      <c r="B136" s="9">
        <f>DATASETS!C98</f>
        <v>89473</v>
      </c>
      <c r="C136" s="4">
        <f>DATASETS!B98</f>
        <v>2018</v>
      </c>
      <c r="D136" s="6">
        <f>DATASETS!I98</f>
        <v>323</v>
      </c>
      <c r="E136" s="9">
        <f>DATASETS!H98</f>
        <v>32.865000000000002</v>
      </c>
      <c r="F136" s="6">
        <f>DATASETS!D98</f>
        <v>480</v>
      </c>
      <c r="G136" s="4" t="str">
        <f>DATASETS!E98</f>
        <v>Training</v>
      </c>
      <c r="H136" s="10">
        <f t="shared" si="36"/>
        <v>42947040</v>
      </c>
      <c r="I136" s="10">
        <f t="shared" si="37"/>
        <v>8005417729</v>
      </c>
      <c r="J136" s="10">
        <f t="shared" si="38"/>
        <v>230400</v>
      </c>
      <c r="K136" s="35">
        <f t="shared" si="39"/>
        <v>689.53290587834476</v>
      </c>
      <c r="L136" s="35">
        <f t="shared" si="40"/>
        <v>-209.53290587834476</v>
      </c>
      <c r="M136" s="35">
        <f t="shared" si="41"/>
        <v>209.53290587834476</v>
      </c>
      <c r="N136" s="35">
        <f t="shared" si="42"/>
        <v>43904.038645823282</v>
      </c>
      <c r="O136" s="35">
        <f t="shared" si="43"/>
        <v>1961101.0092775221</v>
      </c>
      <c r="P136" s="35">
        <f t="shared" si="44"/>
        <v>315.82464396129222</v>
      </c>
      <c r="Q136" s="35">
        <f t="shared" si="45"/>
        <v>164.17535603870778</v>
      </c>
      <c r="R136" s="35">
        <f t="shared" si="46"/>
        <v>164.17535603870778</v>
      </c>
      <c r="S136" s="35">
        <f t="shared" si="47"/>
        <v>26953.547530436463</v>
      </c>
      <c r="T136" s="35">
        <f t="shared" si="48"/>
        <v>1961101.0092775221</v>
      </c>
      <c r="U136" s="35">
        <f t="shared" si="49"/>
        <v>266.91882498368284</v>
      </c>
      <c r="V136" s="35">
        <f t="shared" si="50"/>
        <v>-48775.278534874436</v>
      </c>
      <c r="W136" s="35">
        <f t="shared" si="51"/>
        <v>298.66673327357591</v>
      </c>
      <c r="X136" s="35">
        <f t="shared" si="52"/>
        <v>0.43399007744866325</v>
      </c>
      <c r="Y136" s="35">
        <f t="shared" si="53"/>
        <v>48525.083630501023</v>
      </c>
    </row>
    <row r="137" spans="1:25" x14ac:dyDescent="0.3">
      <c r="A137" s="4" t="str">
        <f>DATASETS!A99</f>
        <v>RIZAL AVE.</v>
      </c>
      <c r="B137" s="9">
        <f>DATASETS!C99</f>
        <v>95041</v>
      </c>
      <c r="C137" s="4">
        <f>DATASETS!B99</f>
        <v>2019</v>
      </c>
      <c r="D137" s="6">
        <f>DATASETS!I99</f>
        <v>480</v>
      </c>
      <c r="E137" s="9">
        <f>DATASETS!H99</f>
        <v>32.865000000000002</v>
      </c>
      <c r="F137" s="6">
        <f>DATASETS!D99</f>
        <v>527</v>
      </c>
      <c r="G137" s="4" t="str">
        <f>DATASETS!E99</f>
        <v>Training</v>
      </c>
      <c r="H137" s="10">
        <f t="shared" si="36"/>
        <v>50086607</v>
      </c>
      <c r="I137" s="10">
        <f t="shared" si="37"/>
        <v>9032791681</v>
      </c>
      <c r="J137" s="10">
        <f t="shared" si="38"/>
        <v>277729</v>
      </c>
      <c r="K137" s="35">
        <f t="shared" si="39"/>
        <v>775.16895869965083</v>
      </c>
      <c r="L137" s="35">
        <f t="shared" si="40"/>
        <v>-248.16895869965083</v>
      </c>
      <c r="M137" s="35">
        <f t="shared" si="41"/>
        <v>248.16895869965083</v>
      </c>
      <c r="N137" s="35">
        <f t="shared" si="42"/>
        <v>61587.832062068999</v>
      </c>
      <c r="O137" s="35">
        <f t="shared" si="43"/>
        <v>1831673.0520125648</v>
      </c>
      <c r="P137" s="35">
        <f t="shared" si="44"/>
        <v>453.43755317762088</v>
      </c>
      <c r="Q137" s="35">
        <f t="shared" si="45"/>
        <v>73.562446822379115</v>
      </c>
      <c r="R137" s="35">
        <f t="shared" si="46"/>
        <v>73.562446822379115</v>
      </c>
      <c r="S137" s="35">
        <f t="shared" si="47"/>
        <v>5411.433582495355</v>
      </c>
      <c r="T137" s="35">
        <f t="shared" si="48"/>
        <v>1831673.0520125648</v>
      </c>
      <c r="U137" s="35">
        <f t="shared" si="49"/>
        <v>283.52946749605132</v>
      </c>
      <c r="V137" s="35">
        <f t="shared" si="50"/>
        <v>-48799.448643167234</v>
      </c>
      <c r="W137" s="35">
        <f t="shared" si="51"/>
        <v>443.83910827032952</v>
      </c>
      <c r="X137" s="35">
        <f t="shared" si="52"/>
        <v>0.43399007744866325</v>
      </c>
      <c r="Y137" s="35">
        <f t="shared" si="53"/>
        <v>48525.083630501023</v>
      </c>
    </row>
    <row r="138" spans="1:25" x14ac:dyDescent="0.3">
      <c r="A138" s="4" t="str">
        <f>DATASETS!A100</f>
        <v>RIZAL AVE.</v>
      </c>
      <c r="B138" s="9">
        <f>DATASETS!C100</f>
        <v>87544</v>
      </c>
      <c r="C138" s="4">
        <f>DATASETS!B100</f>
        <v>2020</v>
      </c>
      <c r="D138" s="6">
        <f>DATASETS!I100</f>
        <v>527</v>
      </c>
      <c r="E138" s="9">
        <f>DATASETS!H100</f>
        <v>32.865000000000002</v>
      </c>
      <c r="F138" s="6">
        <f>DATASETS!D100</f>
        <v>306</v>
      </c>
      <c r="G138" s="4" t="str">
        <f>DATASETS!E100</f>
        <v>Training</v>
      </c>
      <c r="H138" s="10">
        <f t="shared" si="36"/>
        <v>26788464</v>
      </c>
      <c r="I138" s="10">
        <f t="shared" si="37"/>
        <v>7663951936</v>
      </c>
      <c r="J138" s="10">
        <f t="shared" si="38"/>
        <v>93636</v>
      </c>
      <c r="K138" s="35">
        <f t="shared" si="39"/>
        <v>659.86481214768742</v>
      </c>
      <c r="L138" s="35">
        <f t="shared" si="40"/>
        <v>-353.86481214768742</v>
      </c>
      <c r="M138" s="35">
        <f t="shared" si="41"/>
        <v>353.86481214768742</v>
      </c>
      <c r="N138" s="35">
        <f t="shared" si="42"/>
        <v>125220.3052763181</v>
      </c>
      <c r="O138" s="35">
        <f t="shared" si="43"/>
        <v>2478713.8297903426</v>
      </c>
      <c r="P138" s="35">
        <f t="shared" si="44"/>
        <v>450.36139152881088</v>
      </c>
      <c r="Q138" s="35">
        <f t="shared" si="45"/>
        <v>-144.36139152881088</v>
      </c>
      <c r="R138" s="35">
        <f t="shared" si="46"/>
        <v>144.36139152881088</v>
      </c>
      <c r="S138" s="35">
        <f t="shared" si="47"/>
        <v>20840.21136413463</v>
      </c>
      <c r="T138" s="35">
        <f t="shared" si="48"/>
        <v>2478713.8297903426</v>
      </c>
      <c r="U138" s="35">
        <f t="shared" si="49"/>
        <v>261.16416812190863</v>
      </c>
      <c r="V138" s="35">
        <f t="shared" si="50"/>
        <v>-48823.618751460039</v>
      </c>
      <c r="W138" s="35">
        <f t="shared" si="51"/>
        <v>487.29835428846593</v>
      </c>
      <c r="X138" s="35">
        <f t="shared" si="52"/>
        <v>0.43399007744866325</v>
      </c>
      <c r="Y138" s="35">
        <f t="shared" si="53"/>
        <v>48525.083630501023</v>
      </c>
    </row>
    <row r="139" spans="1:25" x14ac:dyDescent="0.3">
      <c r="A139" s="4" t="str">
        <f>DATASETS!A101</f>
        <v>RIZAL AVE.</v>
      </c>
      <c r="B139" s="9">
        <f>DATASETS!C101</f>
        <v>106906</v>
      </c>
      <c r="C139" s="4">
        <f>DATASETS!B101</f>
        <v>2021</v>
      </c>
      <c r="D139" s="6">
        <f>DATASETS!I101</f>
        <v>306</v>
      </c>
      <c r="E139" s="9">
        <f>DATASETS!H101</f>
        <v>32.865000000000002</v>
      </c>
      <c r="F139" s="6">
        <f>DATASETS!D101</f>
        <v>248</v>
      </c>
      <c r="G139" s="4" t="str">
        <f>DATASETS!E101</f>
        <v>Training</v>
      </c>
      <c r="H139" s="10">
        <f t="shared" si="36"/>
        <v>26512688</v>
      </c>
      <c r="I139" s="10">
        <f t="shared" si="37"/>
        <v>11428892836</v>
      </c>
      <c r="J139" s="10">
        <f t="shared" si="38"/>
        <v>61504</v>
      </c>
      <c r="K139" s="35">
        <f t="shared" si="39"/>
        <v>957.65311220625972</v>
      </c>
      <c r="L139" s="35">
        <f t="shared" si="40"/>
        <v>-709.65311220625972</v>
      </c>
      <c r="M139" s="35">
        <f t="shared" si="41"/>
        <v>709.65311220625972</v>
      </c>
      <c r="N139" s="35">
        <f t="shared" si="42"/>
        <v>503607.53966403025</v>
      </c>
      <c r="O139" s="35">
        <f t="shared" si="43"/>
        <v>2664707.4366279491</v>
      </c>
      <c r="P139" s="35">
        <f t="shared" si="44"/>
        <v>279.60172187873025</v>
      </c>
      <c r="Q139" s="35">
        <f t="shared" si="45"/>
        <v>-31.601721878730245</v>
      </c>
      <c r="R139" s="35">
        <f t="shared" si="46"/>
        <v>31.601721878730245</v>
      </c>
      <c r="S139" s="35">
        <f t="shared" si="47"/>
        <v>998.66882570061784</v>
      </c>
      <c r="T139" s="35">
        <f t="shared" si="48"/>
        <v>2664707.4366279491</v>
      </c>
      <c r="U139" s="35">
        <f t="shared" si="49"/>
        <v>318.92552953075898</v>
      </c>
      <c r="V139" s="35">
        <f t="shared" si="50"/>
        <v>-48847.788859752836</v>
      </c>
      <c r="W139" s="35">
        <f t="shared" si="51"/>
        <v>282.94743152233508</v>
      </c>
      <c r="X139" s="35">
        <f t="shared" si="52"/>
        <v>0.43399007744866325</v>
      </c>
      <c r="Y139" s="35">
        <f t="shared" si="53"/>
        <v>48525.083630501023</v>
      </c>
    </row>
    <row r="140" spans="1:25" x14ac:dyDescent="0.3">
      <c r="A140" s="4" t="str">
        <f>DATASETS!A102</f>
        <v>RIZAL AVE.</v>
      </c>
      <c r="B140" s="9">
        <f>DATASETS!C102</f>
        <v>99108</v>
      </c>
      <c r="C140" s="4">
        <f>DATASETS!B102</f>
        <v>2022</v>
      </c>
      <c r="D140" s="6">
        <f>DATASETS!I102</f>
        <v>248</v>
      </c>
      <c r="E140" s="9">
        <f>DATASETS!H102</f>
        <v>32.865000000000002</v>
      </c>
      <c r="F140" s="6">
        <f>DATASETS!D102</f>
        <v>357</v>
      </c>
      <c r="G140" s="4" t="str">
        <f>DATASETS!E102</f>
        <v>Training</v>
      </c>
      <c r="H140" s="10">
        <f t="shared" si="36"/>
        <v>35381556</v>
      </c>
      <c r="I140" s="10">
        <f t="shared" si="37"/>
        <v>9822395664</v>
      </c>
      <c r="J140" s="10">
        <f t="shared" si="38"/>
        <v>127449</v>
      </c>
      <c r="K140" s="35">
        <f t="shared" si="39"/>
        <v>837.7195741494088</v>
      </c>
      <c r="L140" s="35">
        <f t="shared" si="40"/>
        <v>-480.7195741494088</v>
      </c>
      <c r="M140" s="35">
        <f t="shared" si="41"/>
        <v>480.7195741494088</v>
      </c>
      <c r="N140" s="35">
        <f t="shared" si="42"/>
        <v>231091.30897038896</v>
      </c>
      <c r="O140" s="35">
        <f t="shared" si="43"/>
        <v>2320726.7272262401</v>
      </c>
      <c r="P140" s="35">
        <f t="shared" si="44"/>
        <v>178.53780209962619</v>
      </c>
      <c r="Q140" s="35">
        <f t="shared" si="45"/>
        <v>178.46219790037381</v>
      </c>
      <c r="R140" s="35">
        <f t="shared" si="46"/>
        <v>178.46219790037381</v>
      </c>
      <c r="S140" s="35">
        <f t="shared" si="47"/>
        <v>31848.756079432187</v>
      </c>
      <c r="T140" s="35">
        <f t="shared" si="48"/>
        <v>2320726.7272262401</v>
      </c>
      <c r="U140" s="35">
        <f t="shared" si="49"/>
        <v>295.66227696045553</v>
      </c>
      <c r="V140" s="35">
        <f t="shared" si="50"/>
        <v>-48871.958968045641</v>
      </c>
      <c r="W140" s="35">
        <f t="shared" si="51"/>
        <v>229.31687260633691</v>
      </c>
      <c r="X140" s="35">
        <f t="shared" si="52"/>
        <v>0.43399007744866325</v>
      </c>
      <c r="Y140" s="35">
        <f t="shared" si="53"/>
        <v>48525.083630501023</v>
      </c>
    </row>
    <row r="141" spans="1:25" x14ac:dyDescent="0.3">
      <c r="A141" s="4" t="str">
        <f>DATASETS!A103</f>
        <v>RIZAL AVE.</v>
      </c>
      <c r="B141" s="9">
        <f>DATASETS!C103</f>
        <v>114674</v>
      </c>
      <c r="C141" s="4">
        <f>DATASETS!B103</f>
        <v>2023</v>
      </c>
      <c r="D141" s="6">
        <f>DATASETS!I103</f>
        <v>357</v>
      </c>
      <c r="E141" s="9">
        <f>DATASETS!H103</f>
        <v>32.865000000000002</v>
      </c>
      <c r="F141" s="6">
        <f>DATASETS!D103</f>
        <v>427</v>
      </c>
      <c r="G141" s="4" t="str">
        <f>DATASETS!E103</f>
        <v>Training</v>
      </c>
      <c r="H141" s="10">
        <f t="shared" si="36"/>
        <v>48965798</v>
      </c>
      <c r="I141" s="10">
        <f t="shared" si="37"/>
        <v>13150126276</v>
      </c>
      <c r="J141" s="10">
        <f t="shared" si="38"/>
        <v>182329</v>
      </c>
      <c r="K141" s="35">
        <f t="shared" si="39"/>
        <v>1077.1252491164441</v>
      </c>
      <c r="L141" s="35">
        <f t="shared" si="40"/>
        <v>-650.12524911644414</v>
      </c>
      <c r="M141" s="35">
        <f t="shared" si="41"/>
        <v>650.12524911644414</v>
      </c>
      <c r="N141" s="35">
        <f t="shared" si="42"/>
        <v>422662.83953871857</v>
      </c>
      <c r="O141" s="35">
        <f t="shared" si="43"/>
        <v>2112351.6844911971</v>
      </c>
      <c r="P141" s="35">
        <f t="shared" si="44"/>
        <v>301.59316612085416</v>
      </c>
      <c r="Q141" s="35">
        <f t="shared" si="45"/>
        <v>125.40683387914584</v>
      </c>
      <c r="R141" s="35">
        <f t="shared" si="46"/>
        <v>125.40683387914584</v>
      </c>
      <c r="S141" s="35">
        <f t="shared" si="47"/>
        <v>15726.87398359168</v>
      </c>
      <c r="T141" s="35">
        <f t="shared" si="48"/>
        <v>2112351.6844911971</v>
      </c>
      <c r="U141" s="35">
        <f t="shared" si="49"/>
        <v>342.09928510476732</v>
      </c>
      <c r="V141" s="35">
        <f t="shared" si="50"/>
        <v>-48896.129076338446</v>
      </c>
      <c r="W141" s="35">
        <f t="shared" si="51"/>
        <v>330.10533677605758</v>
      </c>
      <c r="X141" s="35">
        <f t="shared" si="52"/>
        <v>0.43399007744866325</v>
      </c>
      <c r="Y141" s="35">
        <f t="shared" si="53"/>
        <v>48525.083630501023</v>
      </c>
    </row>
    <row r="142" spans="1:25" x14ac:dyDescent="0.3">
      <c r="A142" s="4" t="str">
        <f>DATASETS!A104</f>
        <v>RIZAL AVE.</v>
      </c>
      <c r="B142" s="9">
        <f>DATASETS!C104</f>
        <v>88475</v>
      </c>
      <c r="C142" s="4">
        <f>DATASETS!B104</f>
        <v>2024</v>
      </c>
      <c r="D142" s="6">
        <f>DATASETS!I104</f>
        <v>427</v>
      </c>
      <c r="E142" s="9">
        <f>DATASETS!H104</f>
        <v>32.865000000000002</v>
      </c>
      <c r="F142" s="6">
        <f>DATASETS!D104</f>
        <v>389</v>
      </c>
      <c r="G142" s="4" t="str">
        <f>DATASETS!E104</f>
        <v>Training</v>
      </c>
      <c r="H142" s="10">
        <f t="shared" si="36"/>
        <v>34416775</v>
      </c>
      <c r="I142" s="10">
        <f t="shared" si="37"/>
        <v>7827825625</v>
      </c>
      <c r="J142" s="10">
        <f t="shared" si="38"/>
        <v>151321</v>
      </c>
      <c r="K142" s="35">
        <f t="shared" si="39"/>
        <v>674.18362773257172</v>
      </c>
      <c r="L142" s="35">
        <f t="shared" si="40"/>
        <v>-285.18362773257172</v>
      </c>
      <c r="M142" s="35">
        <f t="shared" si="41"/>
        <v>285.18362773257172</v>
      </c>
      <c r="N142" s="35">
        <f t="shared" si="42"/>
        <v>81329.701526710051</v>
      </c>
      <c r="O142" s="35">
        <f t="shared" si="43"/>
        <v>2224253.5648330776</v>
      </c>
      <c r="P142" s="35">
        <f t="shared" si="44"/>
        <v>263.99186758630793</v>
      </c>
      <c r="Q142" s="35">
        <f t="shared" si="45"/>
        <v>125.00813241369207</v>
      </c>
      <c r="R142" s="35">
        <f t="shared" si="46"/>
        <v>125.00813241369207</v>
      </c>
      <c r="S142" s="35">
        <f t="shared" si="47"/>
        <v>15627.033169559169</v>
      </c>
      <c r="T142" s="35">
        <f t="shared" si="48"/>
        <v>2224253.5648330776</v>
      </c>
      <c r="U142" s="35">
        <f t="shared" si="49"/>
        <v>263.9415582402662</v>
      </c>
      <c r="V142" s="35">
        <f t="shared" si="50"/>
        <v>-48920.299184631243</v>
      </c>
      <c r="W142" s="35">
        <f t="shared" si="51"/>
        <v>394.83187339881397</v>
      </c>
      <c r="X142" s="35">
        <f t="shared" si="52"/>
        <v>0.43399007744866325</v>
      </c>
      <c r="Y142" s="35">
        <f t="shared" si="53"/>
        <v>48525.083630501023</v>
      </c>
    </row>
    <row r="143" spans="1:25" x14ac:dyDescent="0.3">
      <c r="A143" s="4" t="str">
        <f>DATASETS!A106</f>
        <v>DEL PAN</v>
      </c>
      <c r="B143" s="9">
        <f>DATASETS!C106</f>
        <v>70012</v>
      </c>
      <c r="C143" s="4">
        <f>DATASETS!B106</f>
        <v>2016</v>
      </c>
      <c r="D143" s="6">
        <f>DATASETS!I106</f>
        <v>1065</v>
      </c>
      <c r="E143" s="9">
        <f>DATASETS!H106</f>
        <v>97</v>
      </c>
      <c r="F143" s="6">
        <f>DATASETS!D106</f>
        <v>1066</v>
      </c>
      <c r="G143" s="4" t="str">
        <f>DATASETS!E106</f>
        <v>Training</v>
      </c>
      <c r="H143" s="10">
        <f t="shared" si="36"/>
        <v>74632792</v>
      </c>
      <c r="I143" s="10">
        <f t="shared" si="37"/>
        <v>4901680144</v>
      </c>
      <c r="J143" s="10">
        <f t="shared" si="38"/>
        <v>1136356</v>
      </c>
      <c r="K143" s="35">
        <f t="shared" si="39"/>
        <v>390.22198203577273</v>
      </c>
      <c r="L143" s="35">
        <f t="shared" si="40"/>
        <v>675.77801796422727</v>
      </c>
      <c r="M143" s="35">
        <f t="shared" si="41"/>
        <v>675.77801796422727</v>
      </c>
      <c r="N143" s="35">
        <f t="shared" si="42"/>
        <v>456675.92956365948</v>
      </c>
      <c r="O143" s="35">
        <f t="shared" si="43"/>
        <v>663236.22295273573</v>
      </c>
      <c r="P143" s="35">
        <f t="shared" si="44"/>
        <v>993.05636505515417</v>
      </c>
      <c r="Q143" s="35">
        <f t="shared" si="45"/>
        <v>72.943634944845826</v>
      </c>
      <c r="R143" s="35">
        <f t="shared" si="46"/>
        <v>72.943634944845826</v>
      </c>
      <c r="S143" s="35">
        <f t="shared" si="47"/>
        <v>5320.7738789669329</v>
      </c>
      <c r="T143" s="35">
        <f t="shared" si="48"/>
        <v>663236.22295273573</v>
      </c>
      <c r="U143" s="35">
        <f t="shared" si="49"/>
        <v>208.86212348705868</v>
      </c>
      <c r="V143" s="35">
        <f t="shared" si="50"/>
        <v>-48726.938318288827</v>
      </c>
      <c r="W143" s="35">
        <f t="shared" si="51"/>
        <v>984.76802147479361</v>
      </c>
      <c r="X143" s="35">
        <f t="shared" si="52"/>
        <v>1.2809078811051371</v>
      </c>
      <c r="Y143" s="35">
        <f t="shared" si="53"/>
        <v>48525.083630501023</v>
      </c>
    </row>
    <row r="144" spans="1:25" x14ac:dyDescent="0.3">
      <c r="A144" s="4" t="str">
        <f>DATASETS!A107</f>
        <v>DEL PAN</v>
      </c>
      <c r="B144" s="9">
        <f>DATASETS!C107</f>
        <v>80285</v>
      </c>
      <c r="C144" s="4">
        <f>DATASETS!B107</f>
        <v>2017</v>
      </c>
      <c r="D144" s="6">
        <f>DATASETS!I107</f>
        <v>1066</v>
      </c>
      <c r="E144" s="9">
        <f>DATASETS!H107</f>
        <v>97</v>
      </c>
      <c r="F144" s="6">
        <f>DATASETS!D107</f>
        <v>924</v>
      </c>
      <c r="G144" s="4" t="str">
        <f>DATASETS!E107</f>
        <v>Training</v>
      </c>
      <c r="H144" s="10">
        <f t="shared" si="36"/>
        <v>74183340</v>
      </c>
      <c r="I144" s="10">
        <f t="shared" si="37"/>
        <v>6445681225</v>
      </c>
      <c r="J144" s="10">
        <f t="shared" si="38"/>
        <v>853776</v>
      </c>
      <c r="K144" s="35">
        <f t="shared" si="39"/>
        <v>548.22111469261176</v>
      </c>
      <c r="L144" s="35">
        <f t="shared" si="40"/>
        <v>375.77888530738824</v>
      </c>
      <c r="M144" s="35">
        <f t="shared" si="41"/>
        <v>375.77888530738824</v>
      </c>
      <c r="N144" s="35">
        <f t="shared" si="42"/>
        <v>141209.77064286324</v>
      </c>
      <c r="O144" s="35">
        <f t="shared" si="43"/>
        <v>914687.88107239385</v>
      </c>
      <c r="P144" s="35">
        <f t="shared" si="44"/>
        <v>1000.4576763358921</v>
      </c>
      <c r="Q144" s="35">
        <f t="shared" si="45"/>
        <v>-76.457676335892074</v>
      </c>
      <c r="R144" s="35">
        <f t="shared" si="46"/>
        <v>76.457676335892074</v>
      </c>
      <c r="S144" s="35">
        <f t="shared" si="47"/>
        <v>5845.7762706840313</v>
      </c>
      <c r="T144" s="35">
        <f t="shared" si="48"/>
        <v>914687.88107239385</v>
      </c>
      <c r="U144" s="35">
        <f t="shared" si="49"/>
        <v>239.50887825170696</v>
      </c>
      <c r="V144" s="35">
        <f t="shared" si="50"/>
        <v>-48751.108426581632</v>
      </c>
      <c r="W144" s="35">
        <f t="shared" si="51"/>
        <v>985.69268628369014</v>
      </c>
      <c r="X144" s="35">
        <f t="shared" si="52"/>
        <v>1.2809078811051371</v>
      </c>
      <c r="Y144" s="35">
        <f t="shared" si="53"/>
        <v>48525.083630501023</v>
      </c>
    </row>
    <row r="145" spans="1:25" x14ac:dyDescent="0.3">
      <c r="A145" s="4" t="str">
        <f>DATASETS!A108</f>
        <v>DEL PAN</v>
      </c>
      <c r="B145" s="9">
        <f>DATASETS!C108</f>
        <v>82257</v>
      </c>
      <c r="C145" s="4">
        <f>DATASETS!B108</f>
        <v>2018</v>
      </c>
      <c r="D145" s="6">
        <f>DATASETS!I108</f>
        <v>924</v>
      </c>
      <c r="E145" s="9">
        <f>DATASETS!H108</f>
        <v>97</v>
      </c>
      <c r="F145" s="6">
        <f>DATASETS!D108</f>
        <v>1094</v>
      </c>
      <c r="G145" s="4" t="str">
        <f>DATASETS!E108</f>
        <v>Training</v>
      </c>
      <c r="H145" s="10">
        <f t="shared" si="36"/>
        <v>89989158</v>
      </c>
      <c r="I145" s="10">
        <f t="shared" si="37"/>
        <v>6766214049</v>
      </c>
      <c r="J145" s="10">
        <f t="shared" si="38"/>
        <v>1196836</v>
      </c>
      <c r="K145" s="35">
        <f t="shared" si="39"/>
        <v>578.55055006682437</v>
      </c>
      <c r="L145" s="35">
        <f t="shared" si="40"/>
        <v>515.44944993317563</v>
      </c>
      <c r="M145" s="35">
        <f t="shared" si="41"/>
        <v>515.44944993317563</v>
      </c>
      <c r="N145" s="35">
        <f t="shared" si="42"/>
        <v>265688.13543641334</v>
      </c>
      <c r="O145" s="35">
        <f t="shared" si="43"/>
        <v>618414.2058587186</v>
      </c>
      <c r="P145" s="35">
        <f t="shared" si="44"/>
        <v>850.8681010695816</v>
      </c>
      <c r="Q145" s="35">
        <f t="shared" si="45"/>
        <v>243.1318989304184</v>
      </c>
      <c r="R145" s="35">
        <f t="shared" si="46"/>
        <v>243.1318989304184</v>
      </c>
      <c r="S145" s="35">
        <f t="shared" si="47"/>
        <v>59113.120277511189</v>
      </c>
      <c r="T145" s="35">
        <f t="shared" si="48"/>
        <v>618414.2058587186</v>
      </c>
      <c r="U145" s="35">
        <f t="shared" si="49"/>
        <v>245.39181414150411</v>
      </c>
      <c r="V145" s="35">
        <f t="shared" si="50"/>
        <v>-48775.278534874436</v>
      </c>
      <c r="W145" s="35">
        <f t="shared" si="51"/>
        <v>854.39028342038432</v>
      </c>
      <c r="X145" s="35">
        <f t="shared" si="52"/>
        <v>1.2809078811051371</v>
      </c>
      <c r="Y145" s="35">
        <f t="shared" si="53"/>
        <v>48525.083630501023</v>
      </c>
    </row>
    <row r="146" spans="1:25" x14ac:dyDescent="0.3">
      <c r="A146" s="4" t="str">
        <f>DATASETS!A109</f>
        <v>DEL PAN</v>
      </c>
      <c r="B146" s="9">
        <f>DATASETS!C109</f>
        <v>84279</v>
      </c>
      <c r="C146" s="4">
        <f>DATASETS!B109</f>
        <v>2019</v>
      </c>
      <c r="D146" s="6">
        <f>DATASETS!I109</f>
        <v>1094</v>
      </c>
      <c r="E146" s="9">
        <f>DATASETS!H109</f>
        <v>97</v>
      </c>
      <c r="F146" s="6">
        <f>DATASETS!D109</f>
        <v>1389</v>
      </c>
      <c r="G146" s="4" t="str">
        <f>DATASETS!E109</f>
        <v>Training</v>
      </c>
      <c r="H146" s="10">
        <f t="shared" si="36"/>
        <v>117063531</v>
      </c>
      <c r="I146" s="10">
        <f t="shared" si="37"/>
        <v>7102949841</v>
      </c>
      <c r="J146" s="10">
        <f t="shared" si="38"/>
        <v>1929321</v>
      </c>
      <c r="K146" s="35">
        <f t="shared" si="39"/>
        <v>609.64898735214774</v>
      </c>
      <c r="L146" s="35">
        <f t="shared" si="40"/>
        <v>779.35101264785226</v>
      </c>
      <c r="M146" s="35">
        <f t="shared" si="41"/>
        <v>779.35101264785226</v>
      </c>
      <c r="N146" s="35">
        <f t="shared" si="42"/>
        <v>607388.00091523281</v>
      </c>
      <c r="O146" s="35">
        <f t="shared" si="43"/>
        <v>241467.24004675282</v>
      </c>
      <c r="P146" s="35">
        <f t="shared" si="44"/>
        <v>989.92310783948335</v>
      </c>
      <c r="Q146" s="35">
        <f t="shared" si="45"/>
        <v>399.07689216051665</v>
      </c>
      <c r="R146" s="35">
        <f t="shared" si="46"/>
        <v>399.07689216051665</v>
      </c>
      <c r="S146" s="35">
        <f t="shared" si="47"/>
        <v>159262.36585649665</v>
      </c>
      <c r="T146" s="35">
        <f t="shared" si="48"/>
        <v>241467.24004675282</v>
      </c>
      <c r="U146" s="35">
        <f t="shared" si="49"/>
        <v>251.42391169179311</v>
      </c>
      <c r="V146" s="35">
        <f t="shared" si="50"/>
        <v>-48799.448643167234</v>
      </c>
      <c r="W146" s="35">
        <f t="shared" si="51"/>
        <v>1011.5833009327927</v>
      </c>
      <c r="X146" s="35">
        <f t="shared" si="52"/>
        <v>1.2809078811051371</v>
      </c>
      <c r="Y146" s="35">
        <f t="shared" si="53"/>
        <v>48525.083630501023</v>
      </c>
    </row>
    <row r="147" spans="1:25" x14ac:dyDescent="0.3">
      <c r="A147" s="4" t="str">
        <f>DATASETS!A110</f>
        <v>DEL PAN</v>
      </c>
      <c r="B147" s="9">
        <f>DATASETS!C110</f>
        <v>107595</v>
      </c>
      <c r="C147" s="4">
        <f>DATASETS!B110</f>
        <v>2020</v>
      </c>
      <c r="D147" s="6">
        <f>DATASETS!I110</f>
        <v>1389</v>
      </c>
      <c r="E147" s="9">
        <f>DATASETS!H110</f>
        <v>97</v>
      </c>
      <c r="F147" s="6">
        <f>DATASETS!D110</f>
        <v>839</v>
      </c>
      <c r="G147" s="4" t="str">
        <f>DATASETS!E110</f>
        <v>Training</v>
      </c>
      <c r="H147" s="10">
        <f t="shared" si="36"/>
        <v>90272205</v>
      </c>
      <c r="I147" s="10">
        <f t="shared" si="37"/>
        <v>11576684025</v>
      </c>
      <c r="J147" s="10">
        <f t="shared" si="38"/>
        <v>703921</v>
      </c>
      <c r="K147" s="35">
        <f t="shared" si="39"/>
        <v>968.2499585413675</v>
      </c>
      <c r="L147" s="35">
        <f t="shared" si="40"/>
        <v>-129.2499585413675</v>
      </c>
      <c r="M147" s="35">
        <f t="shared" si="41"/>
        <v>129.2499585413675</v>
      </c>
      <c r="N147" s="35">
        <f t="shared" si="42"/>
        <v>16705.551782945218</v>
      </c>
      <c r="O147" s="35">
        <f t="shared" si="43"/>
        <v>1084499.7186792314</v>
      </c>
      <c r="P147" s="35">
        <f t="shared" si="44"/>
        <v>1308.0861836916893</v>
      </c>
      <c r="Q147" s="35">
        <f t="shared" si="45"/>
        <v>-469.08618369168926</v>
      </c>
      <c r="R147" s="35">
        <f t="shared" si="46"/>
        <v>469.08618369168926</v>
      </c>
      <c r="S147" s="35">
        <f t="shared" si="47"/>
        <v>220041.84773043325</v>
      </c>
      <c r="T147" s="35">
        <f t="shared" si="48"/>
        <v>1084499.7186792314</v>
      </c>
      <c r="U147" s="35">
        <f t="shared" si="49"/>
        <v>320.9809772123362</v>
      </c>
      <c r="V147" s="35">
        <f t="shared" si="50"/>
        <v>-48823.618751460039</v>
      </c>
      <c r="W147" s="35">
        <f t="shared" si="51"/>
        <v>1284.3594195572659</v>
      </c>
      <c r="X147" s="35">
        <f t="shared" si="52"/>
        <v>1.2809078811051371</v>
      </c>
      <c r="Y147" s="35">
        <f t="shared" si="53"/>
        <v>48525.083630501023</v>
      </c>
    </row>
    <row r="148" spans="1:25" x14ac:dyDescent="0.3">
      <c r="A148" s="4" t="str">
        <f>DATASETS!A111</f>
        <v>DEL PAN</v>
      </c>
      <c r="B148" s="9">
        <f>DATASETS!C111</f>
        <v>102816</v>
      </c>
      <c r="C148" s="4">
        <f>DATASETS!B111</f>
        <v>2021</v>
      </c>
      <c r="D148" s="6">
        <f>DATASETS!I111</f>
        <v>839</v>
      </c>
      <c r="E148" s="9">
        <f>DATASETS!H111</f>
        <v>97</v>
      </c>
      <c r="F148" s="6">
        <f>DATASETS!D111</f>
        <v>580</v>
      </c>
      <c r="G148" s="4" t="str">
        <f>DATASETS!E111</f>
        <v>Training</v>
      </c>
      <c r="H148" s="10">
        <f t="shared" si="36"/>
        <v>59633280</v>
      </c>
      <c r="I148" s="10">
        <f t="shared" si="37"/>
        <v>10571129856</v>
      </c>
      <c r="J148" s="10">
        <f t="shared" si="38"/>
        <v>336400</v>
      </c>
      <c r="K148" s="35">
        <f t="shared" si="39"/>
        <v>894.74875587739075</v>
      </c>
      <c r="L148" s="35">
        <f t="shared" si="40"/>
        <v>-314.74875587739075</v>
      </c>
      <c r="M148" s="35">
        <f t="shared" si="41"/>
        <v>314.74875587739075</v>
      </c>
      <c r="N148" s="35">
        <f t="shared" si="42"/>
        <v>99066.779326365315</v>
      </c>
      <c r="O148" s="35">
        <f t="shared" si="43"/>
        <v>1691022.3767988896</v>
      </c>
      <c r="P148" s="35">
        <f t="shared" si="44"/>
        <v>761.09355899600359</v>
      </c>
      <c r="Q148" s="35">
        <f t="shared" si="45"/>
        <v>-181.09355899600359</v>
      </c>
      <c r="R148" s="35">
        <f t="shared" si="46"/>
        <v>181.09355899600359</v>
      </c>
      <c r="S148" s="35">
        <f t="shared" si="47"/>
        <v>32794.877109839035</v>
      </c>
      <c r="T148" s="35">
        <f t="shared" si="48"/>
        <v>1691022.3767988896</v>
      </c>
      <c r="U148" s="35">
        <f t="shared" si="49"/>
        <v>306.7241057025285</v>
      </c>
      <c r="V148" s="35">
        <f t="shared" si="50"/>
        <v>-48847.788859752836</v>
      </c>
      <c r="W148" s="35">
        <f t="shared" si="51"/>
        <v>775.79377466418009</v>
      </c>
      <c r="X148" s="35">
        <f t="shared" si="52"/>
        <v>1.2809078811051371</v>
      </c>
      <c r="Y148" s="35">
        <f t="shared" si="53"/>
        <v>48525.083630501023</v>
      </c>
    </row>
    <row r="149" spans="1:25" x14ac:dyDescent="0.3">
      <c r="A149" s="4" t="str">
        <f>DATASETS!A112</f>
        <v>DEL PAN</v>
      </c>
      <c r="B149" s="9">
        <f>DATASETS!C112</f>
        <v>98102</v>
      </c>
      <c r="C149" s="4">
        <f>DATASETS!B112</f>
        <v>2022</v>
      </c>
      <c r="D149" s="6">
        <f>DATASETS!I112</f>
        <v>580</v>
      </c>
      <c r="E149" s="9">
        <f>DATASETS!H112</f>
        <v>97</v>
      </c>
      <c r="F149" s="6">
        <f>DATASETS!D112</f>
        <v>699</v>
      </c>
      <c r="G149" s="4" t="str">
        <f>DATASETS!E112</f>
        <v>Training</v>
      </c>
      <c r="H149" s="10">
        <f t="shared" ref="H149:H178" si="54">B149*F149</f>
        <v>68573298</v>
      </c>
      <c r="I149" s="10">
        <f t="shared" ref="I149:I177" si="55">B149^2</f>
        <v>9624002404</v>
      </c>
      <c r="J149" s="10">
        <f t="shared" ref="J149:J178" si="56">F149^2</f>
        <v>488601</v>
      </c>
      <c r="K149" s="35">
        <f t="shared" ref="K149:K178" si="57">$B$15+$B$14*B149</f>
        <v>822.24725569785824</v>
      </c>
      <c r="L149" s="35">
        <f t="shared" ref="L149:L178" si="58">F149-K149</f>
        <v>-123.24725569785824</v>
      </c>
      <c r="M149" s="35">
        <f t="shared" ref="M149:M178" si="59">ABS(L149)</f>
        <v>123.24725569785824</v>
      </c>
      <c r="N149" s="35">
        <f t="shared" ref="N149:N178" si="60">L149^2</f>
        <v>15189.886037053249</v>
      </c>
      <c r="O149" s="35">
        <f t="shared" ref="O149:O178" si="61">(F149-$B$13)^2</f>
        <v>1395689.8041493169</v>
      </c>
      <c r="P149" s="35">
        <f t="shared" ref="P149:P178" si="62">$B$25+$B$26*B149+$B$27*C149+$B$28*D149+$B$29*E149</f>
        <v>483.37230384783015</v>
      </c>
      <c r="Q149" s="35">
        <f t="shared" ref="Q149:Q178" si="63">F149-P149</f>
        <v>215.62769615216985</v>
      </c>
      <c r="R149" s="35">
        <f t="shared" ref="R149:R178" si="64">ABS(Q149)</f>
        <v>215.62769615216985</v>
      </c>
      <c r="S149" s="35">
        <f t="shared" ref="S149:S178" si="65">Q149^2</f>
        <v>46495.303347892484</v>
      </c>
      <c r="T149" s="35">
        <f t="shared" ref="T149:T178" si="66">(F149-$B$13)^2</f>
        <v>1395689.8041493169</v>
      </c>
      <c r="U149" s="35">
        <f t="shared" ref="U149:U178" si="67">$B$26*B149</f>
        <v>292.66114435136024</v>
      </c>
      <c r="V149" s="35">
        <f t="shared" ref="V149:V178" si="68">$B$27*C149</f>
        <v>-48871.958968045641</v>
      </c>
      <c r="W149" s="35">
        <f t="shared" ref="W149:W178" si="69">$B$28*D149</f>
        <v>536.30558915998154</v>
      </c>
      <c r="X149" s="35">
        <f t="shared" ref="X149:X178" si="70">$B$29*E149</f>
        <v>1.2809078811051371</v>
      </c>
      <c r="Y149" s="35">
        <f t="shared" ref="Y149:Y178" si="71">$B$25</f>
        <v>48525.083630501023</v>
      </c>
    </row>
    <row r="150" spans="1:25" x14ac:dyDescent="0.3">
      <c r="A150" s="4" t="str">
        <f>DATASETS!A113</f>
        <v>DEL PAN</v>
      </c>
      <c r="B150" s="9">
        <f>DATASETS!C113</f>
        <v>104615</v>
      </c>
      <c r="C150" s="4">
        <f>DATASETS!B113</f>
        <v>2023</v>
      </c>
      <c r="D150" s="6">
        <f>DATASETS!I113</f>
        <v>699</v>
      </c>
      <c r="E150" s="9">
        <f>DATASETS!H113</f>
        <v>97</v>
      </c>
      <c r="F150" s="6">
        <f>DATASETS!D113</f>
        <v>634</v>
      </c>
      <c r="G150" s="4" t="str">
        <f>DATASETS!E113</f>
        <v>Training</v>
      </c>
      <c r="H150" s="10">
        <f t="shared" si="54"/>
        <v>66325910</v>
      </c>
      <c r="I150" s="10">
        <f t="shared" si="55"/>
        <v>10944298225</v>
      </c>
      <c r="J150" s="10">
        <f t="shared" si="56"/>
        <v>401956</v>
      </c>
      <c r="K150" s="35">
        <f t="shared" si="57"/>
        <v>922.41744463915984</v>
      </c>
      <c r="L150" s="35">
        <f t="shared" si="58"/>
        <v>-288.41744463915984</v>
      </c>
      <c r="M150" s="35">
        <f t="shared" si="59"/>
        <v>288.41744463915984</v>
      </c>
      <c r="N150" s="35">
        <f t="shared" si="60"/>
        <v>83184.622372182828</v>
      </c>
      <c r="O150" s="35">
        <f t="shared" si="61"/>
        <v>1553495.9152604281</v>
      </c>
      <c r="P150" s="35">
        <f t="shared" si="62"/>
        <v>588.6671057093713</v>
      </c>
      <c r="Q150" s="35">
        <f t="shared" si="63"/>
        <v>45.332894290628701</v>
      </c>
      <c r="R150" s="35">
        <f t="shared" si="64"/>
        <v>45.332894290628701</v>
      </c>
      <c r="S150" s="35">
        <f t="shared" si="65"/>
        <v>2055.0713047653162</v>
      </c>
      <c r="T150" s="35">
        <f t="shared" si="66"/>
        <v>1553495.9152604281</v>
      </c>
      <c r="U150" s="35">
        <f t="shared" si="67"/>
        <v>312.09094224702403</v>
      </c>
      <c r="V150" s="35">
        <f t="shared" si="68"/>
        <v>-48896.129076338446</v>
      </c>
      <c r="W150" s="35">
        <f t="shared" si="69"/>
        <v>646.34070141866732</v>
      </c>
      <c r="X150" s="35">
        <f t="shared" si="70"/>
        <v>1.2809078811051371</v>
      </c>
      <c r="Y150" s="35">
        <f t="shared" si="71"/>
        <v>48525.083630501023</v>
      </c>
    </row>
    <row r="151" spans="1:25" x14ac:dyDescent="0.3">
      <c r="A151" s="4" t="str">
        <f>DATASETS!A114</f>
        <v>DEL PAN</v>
      </c>
      <c r="B151" s="9">
        <f>DATASETS!C114</f>
        <v>116325</v>
      </c>
      <c r="C151" s="4">
        <f>DATASETS!B114</f>
        <v>2024</v>
      </c>
      <c r="D151" s="6">
        <f>DATASETS!I114</f>
        <v>634</v>
      </c>
      <c r="E151" s="9">
        <f>DATASETS!H114</f>
        <v>97</v>
      </c>
      <c r="F151" s="6">
        <f>DATASETS!D114</f>
        <v>660</v>
      </c>
      <c r="G151" s="4" t="str">
        <f>DATASETS!E114</f>
        <v>Training</v>
      </c>
      <c r="H151" s="10">
        <f t="shared" si="54"/>
        <v>76774500</v>
      </c>
      <c r="I151" s="10">
        <f t="shared" si="55"/>
        <v>13531505625</v>
      </c>
      <c r="J151" s="10">
        <f t="shared" si="56"/>
        <v>435600</v>
      </c>
      <c r="K151" s="35">
        <f t="shared" si="57"/>
        <v>1102.517692221325</v>
      </c>
      <c r="L151" s="35">
        <f t="shared" si="58"/>
        <v>-442.51769222132498</v>
      </c>
      <c r="M151" s="35">
        <f t="shared" si="59"/>
        <v>442.51769222132498</v>
      </c>
      <c r="N151" s="35">
        <f t="shared" si="60"/>
        <v>195821.90792888729</v>
      </c>
      <c r="O151" s="35">
        <f t="shared" si="61"/>
        <v>1489359.4708159836</v>
      </c>
      <c r="P151" s="35">
        <f t="shared" si="62"/>
        <v>539.32744572548904</v>
      </c>
      <c r="Q151" s="35">
        <f t="shared" si="63"/>
        <v>120.67255427451096</v>
      </c>
      <c r="R151" s="35">
        <f t="shared" si="64"/>
        <v>120.67255427451096</v>
      </c>
      <c r="S151" s="35">
        <f t="shared" si="65"/>
        <v>14561.865355134792</v>
      </c>
      <c r="T151" s="35">
        <f t="shared" si="66"/>
        <v>1489359.4708159836</v>
      </c>
      <c r="U151" s="35">
        <f t="shared" si="67"/>
        <v>347.02460313420704</v>
      </c>
      <c r="V151" s="35">
        <f t="shared" si="68"/>
        <v>-48920.299184631243</v>
      </c>
      <c r="W151" s="35">
        <f t="shared" si="69"/>
        <v>586.23748884039355</v>
      </c>
      <c r="X151" s="35">
        <f t="shared" si="70"/>
        <v>1.2809078811051371</v>
      </c>
      <c r="Y151" s="35">
        <f t="shared" si="71"/>
        <v>48525.083630501023</v>
      </c>
    </row>
    <row r="152" spans="1:25" x14ac:dyDescent="0.3">
      <c r="A152" s="4" t="str">
        <f>DATASETS!A116</f>
        <v>MARCOS HIGHWAY</v>
      </c>
      <c r="B152" s="9">
        <f>DATASETS!C116</f>
        <v>153626</v>
      </c>
      <c r="C152" s="4">
        <f>DATASETS!B116</f>
        <v>2016</v>
      </c>
      <c r="D152" s="6">
        <f>DATASETS!I116</f>
        <v>837</v>
      </c>
      <c r="E152" s="9">
        <f>DATASETS!H116</f>
        <v>705</v>
      </c>
      <c r="F152" s="6">
        <f>DATASETS!D116</f>
        <v>1320</v>
      </c>
      <c r="G152" s="4" t="str">
        <f>DATASETS!E116</f>
        <v>Training</v>
      </c>
      <c r="H152" s="10">
        <f t="shared" si="54"/>
        <v>202786320</v>
      </c>
      <c r="I152" s="10">
        <f t="shared" si="55"/>
        <v>23600947876</v>
      </c>
      <c r="J152" s="10">
        <f t="shared" si="56"/>
        <v>1742400</v>
      </c>
      <c r="K152" s="35">
        <f t="shared" si="57"/>
        <v>1676.2084979482545</v>
      </c>
      <c r="L152" s="35">
        <f t="shared" si="58"/>
        <v>-356.20849794825449</v>
      </c>
      <c r="M152" s="35">
        <f t="shared" si="59"/>
        <v>356.20849794825449</v>
      </c>
      <c r="N152" s="35">
        <f t="shared" si="60"/>
        <v>126884.49401055163</v>
      </c>
      <c r="O152" s="35">
        <f t="shared" si="61"/>
        <v>314040.49645700923</v>
      </c>
      <c r="P152" s="35">
        <f t="shared" si="62"/>
        <v>1039.7016336537108</v>
      </c>
      <c r="Q152" s="35">
        <f t="shared" si="63"/>
        <v>280.29836634628919</v>
      </c>
      <c r="R152" s="35">
        <f t="shared" si="64"/>
        <v>280.29836634628919</v>
      </c>
      <c r="S152" s="35">
        <f t="shared" si="65"/>
        <v>78567.174176398548</v>
      </c>
      <c r="T152" s="35">
        <f t="shared" si="66"/>
        <v>314040.49645700923</v>
      </c>
      <c r="U152" s="35">
        <f t="shared" si="67"/>
        <v>458.30218509431069</v>
      </c>
      <c r="V152" s="35">
        <f t="shared" si="68"/>
        <v>-48726.938318288827</v>
      </c>
      <c r="W152" s="35">
        <f t="shared" si="69"/>
        <v>773.94444504638705</v>
      </c>
      <c r="X152" s="35">
        <f t="shared" si="70"/>
        <v>9.3096913008156879</v>
      </c>
      <c r="Y152" s="35">
        <f t="shared" si="71"/>
        <v>48525.083630501023</v>
      </c>
    </row>
    <row r="153" spans="1:25" x14ac:dyDescent="0.3">
      <c r="A153" s="4" t="str">
        <f>DATASETS!A117</f>
        <v>MARCOS HIGHWAY</v>
      </c>
      <c r="B153" s="9">
        <f>DATASETS!C117</f>
        <v>162662</v>
      </c>
      <c r="C153" s="4">
        <f>DATASETS!B117</f>
        <v>2017</v>
      </c>
      <c r="D153" s="6">
        <f>DATASETS!I117</f>
        <v>1320</v>
      </c>
      <c r="E153" s="9">
        <f>DATASETS!H117</f>
        <v>705</v>
      </c>
      <c r="F153" s="6">
        <f>DATASETS!D117</f>
        <v>688</v>
      </c>
      <c r="G153" s="4" t="str">
        <f>DATASETS!E117</f>
        <v>Training</v>
      </c>
      <c r="H153" s="10">
        <f t="shared" si="54"/>
        <v>111911456</v>
      </c>
      <c r="I153" s="10">
        <f t="shared" si="55"/>
        <v>26458926244</v>
      </c>
      <c r="J153" s="10">
        <f t="shared" si="56"/>
        <v>473344</v>
      </c>
      <c r="K153" s="35">
        <f t="shared" si="57"/>
        <v>1815.1825233242105</v>
      </c>
      <c r="L153" s="35">
        <f t="shared" si="58"/>
        <v>-1127.1825233242105</v>
      </c>
      <c r="M153" s="35">
        <f t="shared" si="59"/>
        <v>1127.1825233242105</v>
      </c>
      <c r="N153" s="35">
        <f t="shared" si="60"/>
        <v>1270540.4408875343</v>
      </c>
      <c r="O153" s="35">
        <f t="shared" si="61"/>
        <v>1421801.4537219664</v>
      </c>
      <c r="P153" s="35">
        <f t="shared" si="62"/>
        <v>1489.1011233420061</v>
      </c>
      <c r="Q153" s="35">
        <f t="shared" si="63"/>
        <v>-801.10112334200608</v>
      </c>
      <c r="R153" s="35">
        <f t="shared" si="64"/>
        <v>801.10112334200608</v>
      </c>
      <c r="S153" s="35">
        <f t="shared" si="65"/>
        <v>641763.00981982402</v>
      </c>
      <c r="T153" s="35">
        <f t="shared" si="66"/>
        <v>1421801.4537219664</v>
      </c>
      <c r="U153" s="35">
        <f t="shared" si="67"/>
        <v>485.25868037839143</v>
      </c>
      <c r="V153" s="35">
        <f t="shared" si="68"/>
        <v>-48751.108426581632</v>
      </c>
      <c r="W153" s="35">
        <f t="shared" si="69"/>
        <v>1220.5575477434061</v>
      </c>
      <c r="X153" s="35">
        <f t="shared" si="70"/>
        <v>9.3096913008156879</v>
      </c>
      <c r="Y153" s="35">
        <f t="shared" si="71"/>
        <v>48525.083630501023</v>
      </c>
    </row>
    <row r="154" spans="1:25" x14ac:dyDescent="0.3">
      <c r="A154" s="4" t="str">
        <f>DATASETS!A118</f>
        <v>MARCOS HIGHWAY</v>
      </c>
      <c r="B154" s="9">
        <f>DATASETS!C118</f>
        <v>178214</v>
      </c>
      <c r="C154" s="4">
        <f>DATASETS!B118</f>
        <v>2018</v>
      </c>
      <c r="D154" s="6">
        <f>DATASETS!I118</f>
        <v>688</v>
      </c>
      <c r="E154" s="9">
        <f>DATASETS!H118</f>
        <v>705</v>
      </c>
      <c r="F154" s="6">
        <f>DATASETS!D118</f>
        <v>1332</v>
      </c>
      <c r="G154" s="4" t="str">
        <f>DATASETS!E118</f>
        <v>Training</v>
      </c>
      <c r="H154" s="10">
        <f t="shared" si="54"/>
        <v>237381048</v>
      </c>
      <c r="I154" s="10">
        <f t="shared" si="55"/>
        <v>31760229796</v>
      </c>
      <c r="J154" s="10">
        <f t="shared" si="56"/>
        <v>1774224</v>
      </c>
      <c r="K154" s="35">
        <f t="shared" si="57"/>
        <v>2054.3728777561346</v>
      </c>
      <c r="L154" s="35">
        <f t="shared" si="58"/>
        <v>-722.37287775613459</v>
      </c>
      <c r="M154" s="35">
        <f t="shared" si="59"/>
        <v>722.37287775613459</v>
      </c>
      <c r="N154" s="35">
        <f t="shared" si="60"/>
        <v>521822.57451767934</v>
      </c>
      <c r="O154" s="35">
        <f t="shared" si="61"/>
        <v>300735.06055957335</v>
      </c>
      <c r="P154" s="35">
        <f t="shared" si="62"/>
        <v>926.9380987059717</v>
      </c>
      <c r="Q154" s="35">
        <f t="shared" si="63"/>
        <v>405.0619012940283</v>
      </c>
      <c r="R154" s="35">
        <f t="shared" si="64"/>
        <v>405.0619012940283</v>
      </c>
      <c r="S154" s="35">
        <f t="shared" si="65"/>
        <v>164075.14387993314</v>
      </c>
      <c r="T154" s="35">
        <f t="shared" si="66"/>
        <v>300735.06055957335</v>
      </c>
      <c r="U154" s="35">
        <f t="shared" si="67"/>
        <v>531.65392325776554</v>
      </c>
      <c r="V154" s="35">
        <f t="shared" si="68"/>
        <v>-48775.278534874436</v>
      </c>
      <c r="W154" s="35">
        <f t="shared" si="69"/>
        <v>636.16938852080568</v>
      </c>
      <c r="X154" s="35">
        <f t="shared" si="70"/>
        <v>9.3096913008156879</v>
      </c>
      <c r="Y154" s="35">
        <f t="shared" si="71"/>
        <v>48525.083630501023</v>
      </c>
    </row>
    <row r="155" spans="1:25" x14ac:dyDescent="0.3">
      <c r="A155" s="4" t="str">
        <f>DATASETS!A119</f>
        <v>MARCOS HIGHWAY</v>
      </c>
      <c r="B155" s="9">
        <f>DATASETS!C119</f>
        <v>221360</v>
      </c>
      <c r="C155" s="4">
        <f>DATASETS!B119</f>
        <v>2019</v>
      </c>
      <c r="D155" s="6">
        <f>DATASETS!I119</f>
        <v>1332</v>
      </c>
      <c r="E155" s="9">
        <f>DATASETS!H119</f>
        <v>705</v>
      </c>
      <c r="F155" s="6">
        <f>DATASETS!D119</f>
        <v>1321</v>
      </c>
      <c r="G155" s="4" t="str">
        <f>DATASETS!E119</f>
        <v>Training</v>
      </c>
      <c r="H155" s="10">
        <f t="shared" si="54"/>
        <v>292416560</v>
      </c>
      <c r="I155" s="10">
        <f t="shared" si="55"/>
        <v>49000249600</v>
      </c>
      <c r="J155" s="10">
        <f t="shared" si="56"/>
        <v>1745041</v>
      </c>
      <c r="K155" s="35">
        <f t="shared" si="57"/>
        <v>2717.9600068919244</v>
      </c>
      <c r="L155" s="35">
        <f t="shared" si="58"/>
        <v>-1396.9600068919244</v>
      </c>
      <c r="M155" s="35">
        <f t="shared" si="59"/>
        <v>1396.9600068919244</v>
      </c>
      <c r="N155" s="35">
        <f t="shared" si="60"/>
        <v>1951497.2608554855</v>
      </c>
      <c r="O155" s="35">
        <f t="shared" si="61"/>
        <v>312920.71013222291</v>
      </c>
      <c r="P155" s="35">
        <f t="shared" si="62"/>
        <v>1626.9667074141355</v>
      </c>
      <c r="Q155" s="35">
        <f t="shared" si="63"/>
        <v>-305.9667074141355</v>
      </c>
      <c r="R155" s="35">
        <f t="shared" si="64"/>
        <v>305.9667074141355</v>
      </c>
      <c r="S155" s="35">
        <f t="shared" si="65"/>
        <v>93615.626045847195</v>
      </c>
      <c r="T155" s="35">
        <f t="shared" si="66"/>
        <v>312920.71013222291</v>
      </c>
      <c r="U155" s="35">
        <f t="shared" si="67"/>
        <v>660.36850332936228</v>
      </c>
      <c r="V155" s="35">
        <f t="shared" si="68"/>
        <v>-48799.448643167234</v>
      </c>
      <c r="W155" s="35">
        <f t="shared" si="69"/>
        <v>1231.6535254501644</v>
      </c>
      <c r="X155" s="35">
        <f t="shared" si="70"/>
        <v>9.3096913008156879</v>
      </c>
      <c r="Y155" s="35">
        <f t="shared" si="71"/>
        <v>48525.083630501023</v>
      </c>
    </row>
    <row r="156" spans="1:25" x14ac:dyDescent="0.3">
      <c r="A156" s="4" t="str">
        <f>DATASETS!A120</f>
        <v>MARCOS HIGHWAY</v>
      </c>
      <c r="B156" s="9">
        <f>DATASETS!C120</f>
        <v>223133</v>
      </c>
      <c r="C156" s="4">
        <f>DATASETS!B120</f>
        <v>2020</v>
      </c>
      <c r="D156" s="6">
        <f>DATASETS!I120</f>
        <v>1321</v>
      </c>
      <c r="E156" s="9">
        <f>DATASETS!H120</f>
        <v>705</v>
      </c>
      <c r="F156" s="6">
        <f>DATASETS!D120</f>
        <v>514</v>
      </c>
      <c r="G156" s="4" t="str">
        <f>DATASETS!E120</f>
        <v>Training</v>
      </c>
      <c r="H156" s="10">
        <f t="shared" si="54"/>
        <v>114690362</v>
      </c>
      <c r="I156" s="10">
        <f t="shared" si="55"/>
        <v>49788335689</v>
      </c>
      <c r="J156" s="10">
        <f t="shared" si="56"/>
        <v>264196</v>
      </c>
      <c r="K156" s="35">
        <f t="shared" si="57"/>
        <v>2745.2288146599158</v>
      </c>
      <c r="L156" s="35">
        <f t="shared" si="58"/>
        <v>-2231.2288146599158</v>
      </c>
      <c r="M156" s="35">
        <f t="shared" si="59"/>
        <v>2231.2288146599158</v>
      </c>
      <c r="N156" s="35">
        <f t="shared" si="60"/>
        <v>4978382.023368693</v>
      </c>
      <c r="O156" s="35">
        <f t="shared" si="61"/>
        <v>1867030.2742347869</v>
      </c>
      <c r="P156" s="35">
        <f t="shared" si="62"/>
        <v>1597.9145587045061</v>
      </c>
      <c r="Q156" s="35">
        <f t="shared" si="63"/>
        <v>-1083.9145587045061</v>
      </c>
      <c r="R156" s="35">
        <f t="shared" si="64"/>
        <v>1083.9145587045061</v>
      </c>
      <c r="S156" s="35">
        <f t="shared" si="65"/>
        <v>1174870.7705715843</v>
      </c>
      <c r="T156" s="35">
        <f t="shared" si="66"/>
        <v>1867030.2742347869</v>
      </c>
      <c r="U156" s="35">
        <f t="shared" si="67"/>
        <v>665.65777581040209</v>
      </c>
      <c r="V156" s="35">
        <f t="shared" si="68"/>
        <v>-48823.618751460039</v>
      </c>
      <c r="W156" s="35">
        <f t="shared" si="69"/>
        <v>1221.4822125523026</v>
      </c>
      <c r="X156" s="35">
        <f t="shared" si="70"/>
        <v>9.3096913008156879</v>
      </c>
      <c r="Y156" s="35">
        <f t="shared" si="71"/>
        <v>48525.083630501023</v>
      </c>
    </row>
    <row r="157" spans="1:25" x14ac:dyDescent="0.3">
      <c r="A157" s="4" t="str">
        <f>DATASETS!A121</f>
        <v>MARCOS HIGHWAY</v>
      </c>
      <c r="B157" s="9">
        <f>DATASETS!C121</f>
        <v>233466</v>
      </c>
      <c r="C157" s="4">
        <f>DATASETS!B121</f>
        <v>2021</v>
      </c>
      <c r="D157" s="6">
        <f>DATASETS!I121</f>
        <v>514</v>
      </c>
      <c r="E157" s="9">
        <f>DATASETS!H121</f>
        <v>705</v>
      </c>
      <c r="F157" s="6">
        <f>DATASETS!D121</f>
        <v>533</v>
      </c>
      <c r="G157" s="4" t="str">
        <f>DATASETS!E121</f>
        <v>Training</v>
      </c>
      <c r="H157" s="10">
        <f t="shared" si="54"/>
        <v>124437378</v>
      </c>
      <c r="I157" s="10">
        <f t="shared" si="55"/>
        <v>54506373156</v>
      </c>
      <c r="J157" s="10">
        <f t="shared" si="56"/>
        <v>284089</v>
      </c>
      <c r="K157" s="35">
        <f t="shared" si="57"/>
        <v>2904.1507496100876</v>
      </c>
      <c r="L157" s="35">
        <f t="shared" si="58"/>
        <v>-2371.1507496100876</v>
      </c>
      <c r="M157" s="35">
        <f t="shared" si="59"/>
        <v>2371.1507496100876</v>
      </c>
      <c r="N157" s="35">
        <f t="shared" si="60"/>
        <v>5622355.87737648</v>
      </c>
      <c r="O157" s="35">
        <f t="shared" si="61"/>
        <v>1815468.3340638469</v>
      </c>
      <c r="P157" s="35">
        <f t="shared" si="62"/>
        <v>858.36569838945809</v>
      </c>
      <c r="Q157" s="35">
        <f t="shared" si="63"/>
        <v>-325.36569838945809</v>
      </c>
      <c r="R157" s="35">
        <f t="shared" si="64"/>
        <v>325.36569838945809</v>
      </c>
      <c r="S157" s="35">
        <f t="shared" si="65"/>
        <v>105862.83768845981</v>
      </c>
      <c r="T157" s="35">
        <f t="shared" si="66"/>
        <v>1815468.3340638469</v>
      </c>
      <c r="U157" s="35">
        <f t="shared" si="67"/>
        <v>696.48352456764053</v>
      </c>
      <c r="V157" s="35">
        <f t="shared" si="68"/>
        <v>-48847.788859752836</v>
      </c>
      <c r="W157" s="35">
        <f t="shared" si="69"/>
        <v>475.27771177281119</v>
      </c>
      <c r="X157" s="35">
        <f t="shared" si="70"/>
        <v>9.3096913008156879</v>
      </c>
      <c r="Y157" s="35">
        <f t="shared" si="71"/>
        <v>48525.083630501023</v>
      </c>
    </row>
    <row r="158" spans="1:25" x14ac:dyDescent="0.3">
      <c r="A158" s="4" t="str">
        <f>DATASETS!A122</f>
        <v>MARCOS HIGHWAY</v>
      </c>
      <c r="B158" s="9">
        <f>DATASETS!C122</f>
        <v>228470</v>
      </c>
      <c r="C158" s="4">
        <f>DATASETS!B122</f>
        <v>2022</v>
      </c>
      <c r="D158" s="6">
        <f>DATASETS!I122</f>
        <v>533</v>
      </c>
      <c r="E158" s="9">
        <f>DATASETS!H122</f>
        <v>705</v>
      </c>
      <c r="F158" s="6">
        <f>DATASETS!D122</f>
        <v>752</v>
      </c>
      <c r="G158" s="4" t="str">
        <f>DATASETS!E122</f>
        <v>Training</v>
      </c>
      <c r="H158" s="10">
        <f t="shared" si="54"/>
        <v>171809440</v>
      </c>
      <c r="I158" s="10">
        <f t="shared" si="55"/>
        <v>52198540900</v>
      </c>
      <c r="J158" s="10">
        <f t="shared" si="56"/>
        <v>565504</v>
      </c>
      <c r="K158" s="35">
        <f t="shared" si="57"/>
        <v>2827.3120786518903</v>
      </c>
      <c r="L158" s="35">
        <f t="shared" si="58"/>
        <v>-2075.3120786518903</v>
      </c>
      <c r="M158" s="35">
        <f t="shared" si="59"/>
        <v>2075.3120786518903</v>
      </c>
      <c r="N158" s="35">
        <f t="shared" si="60"/>
        <v>4306920.2237984296</v>
      </c>
      <c r="O158" s="35">
        <f t="shared" si="61"/>
        <v>1273271.1289356416</v>
      </c>
      <c r="P158" s="35">
        <f t="shared" si="62"/>
        <v>836.85998834934344</v>
      </c>
      <c r="Q158" s="35">
        <f t="shared" si="63"/>
        <v>-84.859988349343439</v>
      </c>
      <c r="R158" s="35">
        <f t="shared" si="64"/>
        <v>84.859988349343439</v>
      </c>
      <c r="S158" s="35">
        <f t="shared" si="65"/>
        <v>7201.2176226507045</v>
      </c>
      <c r="T158" s="35">
        <f t="shared" si="66"/>
        <v>1273271.1289356416</v>
      </c>
      <c r="U158" s="35">
        <f t="shared" si="67"/>
        <v>681.57929145129833</v>
      </c>
      <c r="V158" s="35">
        <f t="shared" si="68"/>
        <v>-48871.958968045641</v>
      </c>
      <c r="W158" s="35">
        <f t="shared" si="69"/>
        <v>492.84634314184507</v>
      </c>
      <c r="X158" s="35">
        <f t="shared" si="70"/>
        <v>9.3096913008156879</v>
      </c>
      <c r="Y158" s="35">
        <f t="shared" si="71"/>
        <v>48525.083630501023</v>
      </c>
    </row>
    <row r="159" spans="1:25" x14ac:dyDescent="0.3">
      <c r="A159" s="4" t="str">
        <f>DATASETS!A123</f>
        <v>MARCOS HIGHWAY</v>
      </c>
      <c r="B159" s="9">
        <f>DATASETS!C123</f>
        <v>243636</v>
      </c>
      <c r="C159" s="4">
        <f>DATASETS!B123</f>
        <v>2023</v>
      </c>
      <c r="D159" s="6">
        <f>DATASETS!I123</f>
        <v>752</v>
      </c>
      <c r="E159" s="9">
        <f>DATASETS!H123</f>
        <v>705</v>
      </c>
      <c r="F159" s="6">
        <f>DATASETS!D123</f>
        <v>1136</v>
      </c>
      <c r="G159" s="4" t="str">
        <f>DATASETS!E123</f>
        <v>Training</v>
      </c>
      <c r="H159" s="10">
        <f t="shared" si="54"/>
        <v>276770496</v>
      </c>
      <c r="I159" s="10">
        <f t="shared" si="55"/>
        <v>59358500496</v>
      </c>
      <c r="J159" s="10">
        <f t="shared" si="56"/>
        <v>1290496</v>
      </c>
      <c r="K159" s="35">
        <f t="shared" si="57"/>
        <v>3060.5657383300386</v>
      </c>
      <c r="L159" s="35">
        <f t="shared" si="58"/>
        <v>-1924.5657383300386</v>
      </c>
      <c r="M159" s="35">
        <f t="shared" si="59"/>
        <v>1924.5657383300386</v>
      </c>
      <c r="N159" s="35">
        <f t="shared" si="60"/>
        <v>3703953.2811538465</v>
      </c>
      <c r="O159" s="35">
        <f t="shared" si="61"/>
        <v>554121.18021769298</v>
      </c>
      <c r="P159" s="35">
        <f t="shared" si="62"/>
        <v>1060.4351880652553</v>
      </c>
      <c r="Q159" s="35">
        <f t="shared" si="63"/>
        <v>75.564811934744739</v>
      </c>
      <c r="R159" s="35">
        <f t="shared" si="64"/>
        <v>75.564811934744739</v>
      </c>
      <c r="S159" s="35">
        <f t="shared" si="65"/>
        <v>5710.0408027333406</v>
      </c>
      <c r="T159" s="35">
        <f t="shared" si="66"/>
        <v>554121.18021769298</v>
      </c>
      <c r="U159" s="35">
        <f t="shared" si="67"/>
        <v>726.82300631167561</v>
      </c>
      <c r="V159" s="35">
        <f t="shared" si="68"/>
        <v>-48896.129076338446</v>
      </c>
      <c r="W159" s="35">
        <f t="shared" si="69"/>
        <v>695.34793629018293</v>
      </c>
      <c r="X159" s="35">
        <f t="shared" si="70"/>
        <v>9.3096913008156879</v>
      </c>
      <c r="Y159" s="35">
        <f t="shared" si="71"/>
        <v>48525.083630501023</v>
      </c>
    </row>
    <row r="160" spans="1:25" x14ac:dyDescent="0.3">
      <c r="A160" s="4" t="str">
        <f>DATASETS!A124</f>
        <v>MARCOS HIGHWAY</v>
      </c>
      <c r="B160" s="9">
        <f>DATASETS!C124</f>
        <v>266610</v>
      </c>
      <c r="C160" s="4">
        <f>DATASETS!B124</f>
        <v>2024</v>
      </c>
      <c r="D160" s="6">
        <f>DATASETS!I124</f>
        <v>1136</v>
      </c>
      <c r="E160" s="9">
        <f>DATASETS!H124</f>
        <v>705</v>
      </c>
      <c r="F160" s="6">
        <f>DATASETS!D124</f>
        <v>1358</v>
      </c>
      <c r="G160" s="4" t="str">
        <f>DATASETS!E124</f>
        <v>Training</v>
      </c>
      <c r="H160" s="10">
        <f t="shared" si="54"/>
        <v>362056380</v>
      </c>
      <c r="I160" s="10">
        <f t="shared" si="55"/>
        <v>71080892100</v>
      </c>
      <c r="J160" s="10">
        <f t="shared" si="56"/>
        <v>1844164</v>
      </c>
      <c r="K160" s="35">
        <f t="shared" si="57"/>
        <v>3413.9067364472594</v>
      </c>
      <c r="L160" s="35">
        <f t="shared" si="58"/>
        <v>-2055.9067364472594</v>
      </c>
      <c r="M160" s="35">
        <f t="shared" si="59"/>
        <v>2055.9067364472594</v>
      </c>
      <c r="N160" s="35">
        <f t="shared" si="60"/>
        <v>4226752.5089692213</v>
      </c>
      <c r="O160" s="35">
        <f t="shared" si="61"/>
        <v>272894.61611512891</v>
      </c>
      <c r="P160" s="35">
        <f t="shared" si="62"/>
        <v>1459.8731661514976</v>
      </c>
      <c r="Q160" s="35">
        <f t="shared" si="63"/>
        <v>-101.87316615149757</v>
      </c>
      <c r="R160" s="35">
        <f t="shared" si="64"/>
        <v>101.87316615149757</v>
      </c>
      <c r="S160" s="35">
        <f t="shared" si="65"/>
        <v>10378.141981730631</v>
      </c>
      <c r="T160" s="35">
        <f t="shared" si="66"/>
        <v>272894.61611512891</v>
      </c>
      <c r="U160" s="35">
        <f t="shared" si="67"/>
        <v>795.35980607445458</v>
      </c>
      <c r="V160" s="35">
        <f t="shared" si="68"/>
        <v>-48920.299184631243</v>
      </c>
      <c r="W160" s="35">
        <f t="shared" si="69"/>
        <v>1050.4192229064465</v>
      </c>
      <c r="X160" s="35">
        <f t="shared" si="70"/>
        <v>9.3096913008156879</v>
      </c>
      <c r="Y160" s="35">
        <f t="shared" si="71"/>
        <v>48525.083630501023</v>
      </c>
    </row>
    <row r="161" spans="1:25" x14ac:dyDescent="0.3">
      <c r="A161" s="4" t="str">
        <f>DATASETS!A126</f>
        <v>MCARTHUR HIGHWAY</v>
      </c>
      <c r="B161" s="9">
        <f>DATASETS!C126</f>
        <v>80079</v>
      </c>
      <c r="C161" s="4">
        <f>DATASETS!B126</f>
        <v>2016</v>
      </c>
      <c r="D161" s="6">
        <f>DATASETS!I126</f>
        <v>279</v>
      </c>
      <c r="E161" s="9">
        <f>DATASETS!H126</f>
        <v>4109.13</v>
      </c>
      <c r="F161" s="6">
        <f>DATASETS!D126</f>
        <v>126</v>
      </c>
      <c r="G161" s="4" t="str">
        <f>DATASETS!E126</f>
        <v>Training</v>
      </c>
      <c r="H161" s="10">
        <f t="shared" si="54"/>
        <v>10089954</v>
      </c>
      <c r="I161" s="10">
        <f t="shared" si="55"/>
        <v>6412646241</v>
      </c>
      <c r="J161" s="10">
        <f t="shared" si="56"/>
        <v>15876</v>
      </c>
      <c r="K161" s="35">
        <f t="shared" si="57"/>
        <v>545.052826818835</v>
      </c>
      <c r="L161" s="35">
        <f t="shared" si="58"/>
        <v>-419.052826818835</v>
      </c>
      <c r="M161" s="35">
        <f t="shared" si="59"/>
        <v>419.052826818835</v>
      </c>
      <c r="N161" s="35">
        <f t="shared" si="60"/>
        <v>175605.27166485653</v>
      </c>
      <c r="O161" s="35">
        <f t="shared" si="61"/>
        <v>3077895.3682518811</v>
      </c>
      <c r="P161" s="35">
        <f t="shared" si="62"/>
        <v>349.28315704795801</v>
      </c>
      <c r="Q161" s="35">
        <f t="shared" si="63"/>
        <v>-223.28315704795801</v>
      </c>
      <c r="R161" s="35">
        <f t="shared" si="64"/>
        <v>223.28315704795801</v>
      </c>
      <c r="S161" s="35">
        <f t="shared" si="65"/>
        <v>49855.368221303084</v>
      </c>
      <c r="T161" s="35">
        <f t="shared" si="66"/>
        <v>3077895.3682518811</v>
      </c>
      <c r="U161" s="35">
        <f t="shared" si="67"/>
        <v>238.89433221048068</v>
      </c>
      <c r="V161" s="35">
        <f t="shared" si="68"/>
        <v>-48726.938318288827</v>
      </c>
      <c r="W161" s="35">
        <f t="shared" si="69"/>
        <v>257.98148168212902</v>
      </c>
      <c r="X161" s="35">
        <f t="shared" si="70"/>
        <v>54.262030943150023</v>
      </c>
      <c r="Y161" s="35">
        <f t="shared" si="71"/>
        <v>48525.083630501023</v>
      </c>
    </row>
    <row r="162" spans="1:25" x14ac:dyDescent="0.3">
      <c r="A162" s="4" t="str">
        <f>DATASETS!A127</f>
        <v>MCARTHUR HIGHWAY</v>
      </c>
      <c r="B162" s="9">
        <f>DATASETS!C127</f>
        <v>82957</v>
      </c>
      <c r="C162" s="4">
        <f>DATASETS!B127</f>
        <v>2017</v>
      </c>
      <c r="D162" s="6">
        <f>DATASETS!I127</f>
        <v>126</v>
      </c>
      <c r="E162" s="9">
        <f>DATASETS!H127</f>
        <v>4109.13</v>
      </c>
      <c r="F162" s="6">
        <f>DATASETS!D127</f>
        <v>891</v>
      </c>
      <c r="G162" s="4" t="str">
        <f>DATASETS!E127</f>
        <v>Training</v>
      </c>
      <c r="H162" s="10">
        <f t="shared" si="54"/>
        <v>73914687</v>
      </c>
      <c r="I162" s="10">
        <f t="shared" si="55"/>
        <v>6881863849</v>
      </c>
      <c r="J162" s="10">
        <f t="shared" si="56"/>
        <v>793881</v>
      </c>
      <c r="K162" s="35">
        <f t="shared" si="57"/>
        <v>589.31657682237642</v>
      </c>
      <c r="L162" s="35">
        <f t="shared" si="58"/>
        <v>301.68342317762358</v>
      </c>
      <c r="M162" s="35">
        <f t="shared" si="59"/>
        <v>301.68342317762358</v>
      </c>
      <c r="N162" s="35">
        <f t="shared" si="60"/>
        <v>91012.887820169111</v>
      </c>
      <c r="O162" s="35">
        <f t="shared" si="61"/>
        <v>978898.82979034248</v>
      </c>
      <c r="P162" s="35">
        <f t="shared" si="62"/>
        <v>192.2250781718941</v>
      </c>
      <c r="Q162" s="35">
        <f t="shared" si="63"/>
        <v>698.7749218281059</v>
      </c>
      <c r="R162" s="35">
        <f t="shared" si="64"/>
        <v>698.7749218281059</v>
      </c>
      <c r="S162" s="35">
        <f t="shared" si="65"/>
        <v>488286.39137587551</v>
      </c>
      <c r="T162" s="35">
        <f t="shared" si="66"/>
        <v>978898.82979034248</v>
      </c>
      <c r="U162" s="35">
        <f t="shared" si="67"/>
        <v>247.48007738838953</v>
      </c>
      <c r="V162" s="35">
        <f t="shared" si="68"/>
        <v>-48751.108426581632</v>
      </c>
      <c r="W162" s="35">
        <f t="shared" si="69"/>
        <v>116.50776592096149</v>
      </c>
      <c r="X162" s="35">
        <f t="shared" si="70"/>
        <v>54.262030943150023</v>
      </c>
      <c r="Y162" s="35">
        <f t="shared" si="71"/>
        <v>48525.083630501023</v>
      </c>
    </row>
    <row r="163" spans="1:25" x14ac:dyDescent="0.3">
      <c r="A163" s="4" t="str">
        <f>DATASETS!A128</f>
        <v>MCARTHUR HIGHWAY</v>
      </c>
      <c r="B163" s="9">
        <f>DATASETS!C128</f>
        <v>92165</v>
      </c>
      <c r="C163" s="4">
        <f>DATASETS!B128</f>
        <v>2018</v>
      </c>
      <c r="D163" s="6">
        <f>DATASETS!I128</f>
        <v>891</v>
      </c>
      <c r="E163" s="9">
        <f>DATASETS!H128</f>
        <v>4109.13</v>
      </c>
      <c r="F163" s="6">
        <f>DATASETS!D128</f>
        <v>812</v>
      </c>
      <c r="G163" s="4" t="str">
        <f>DATASETS!E128</f>
        <v>Training</v>
      </c>
      <c r="H163" s="10">
        <f t="shared" si="54"/>
        <v>74837980</v>
      </c>
      <c r="I163" s="10">
        <f t="shared" si="55"/>
        <v>8494387225</v>
      </c>
      <c r="J163" s="10">
        <f t="shared" si="56"/>
        <v>659344</v>
      </c>
      <c r="K163" s="35">
        <f t="shared" si="57"/>
        <v>730.93596877255391</v>
      </c>
      <c r="L163" s="35">
        <f t="shared" si="58"/>
        <v>81.064031227446094</v>
      </c>
      <c r="M163" s="35">
        <f t="shared" si="59"/>
        <v>81.064031227446094</v>
      </c>
      <c r="N163" s="35">
        <f t="shared" si="60"/>
        <v>6571.3771588443551</v>
      </c>
      <c r="O163" s="35">
        <f t="shared" si="61"/>
        <v>1141463.9494484621</v>
      </c>
      <c r="P163" s="35">
        <f t="shared" si="62"/>
        <v>902.89316008109608</v>
      </c>
      <c r="Q163" s="35">
        <f t="shared" si="63"/>
        <v>-90.893160081096084</v>
      </c>
      <c r="R163" s="35">
        <f t="shared" si="64"/>
        <v>90.893160081096084</v>
      </c>
      <c r="S163" s="35">
        <f t="shared" si="65"/>
        <v>8261.566549527759</v>
      </c>
      <c r="T163" s="35">
        <f t="shared" si="66"/>
        <v>1141463.9494484621</v>
      </c>
      <c r="U163" s="35">
        <f t="shared" si="67"/>
        <v>274.94968878456211</v>
      </c>
      <c r="V163" s="35">
        <f t="shared" si="68"/>
        <v>-48775.278534874436</v>
      </c>
      <c r="W163" s="35">
        <f t="shared" si="69"/>
        <v>823.87634472679918</v>
      </c>
      <c r="X163" s="35">
        <f t="shared" si="70"/>
        <v>54.262030943150023</v>
      </c>
      <c r="Y163" s="35">
        <f t="shared" si="71"/>
        <v>48525.083630501023</v>
      </c>
    </row>
    <row r="164" spans="1:25" x14ac:dyDescent="0.3">
      <c r="A164" s="4" t="str">
        <f>DATASETS!A129</f>
        <v>MCARTHUR HIGHWAY</v>
      </c>
      <c r="B164" s="9">
        <f>DATASETS!C129</f>
        <v>97927</v>
      </c>
      <c r="C164" s="4">
        <f>DATASETS!B129</f>
        <v>2019</v>
      </c>
      <c r="D164" s="6">
        <f>DATASETS!I129</f>
        <v>812</v>
      </c>
      <c r="E164" s="9">
        <f>DATASETS!H129</f>
        <v>4109.13</v>
      </c>
      <c r="F164" s="6">
        <f>DATASETS!D129</f>
        <v>882</v>
      </c>
      <c r="G164" s="4" t="str">
        <f>DATASETS!E129</f>
        <v>Training</v>
      </c>
      <c r="H164" s="10">
        <f t="shared" si="54"/>
        <v>86371614</v>
      </c>
      <c r="I164" s="10">
        <f t="shared" si="55"/>
        <v>9589697329</v>
      </c>
      <c r="J164" s="10">
        <f t="shared" si="56"/>
        <v>777924</v>
      </c>
      <c r="K164" s="35">
        <f t="shared" si="57"/>
        <v>819.55574900897022</v>
      </c>
      <c r="L164" s="35">
        <f t="shared" si="58"/>
        <v>62.444250991029776</v>
      </c>
      <c r="M164" s="35">
        <f t="shared" si="59"/>
        <v>62.444250991029776</v>
      </c>
      <c r="N164" s="35">
        <f t="shared" si="60"/>
        <v>3899.2844818307231</v>
      </c>
      <c r="O164" s="35">
        <f t="shared" si="61"/>
        <v>996788.90671341948</v>
      </c>
      <c r="P164" s="35">
        <f t="shared" si="62"/>
        <v>822.86392164054973</v>
      </c>
      <c r="Q164" s="35">
        <f t="shared" si="63"/>
        <v>59.136078359450266</v>
      </c>
      <c r="R164" s="35">
        <f t="shared" si="64"/>
        <v>59.136078359450266</v>
      </c>
      <c r="S164" s="35">
        <f t="shared" si="65"/>
        <v>3497.0757637350421</v>
      </c>
      <c r="T164" s="35">
        <f t="shared" si="66"/>
        <v>996788.90671341948</v>
      </c>
      <c r="U164" s="35">
        <f t="shared" si="67"/>
        <v>292.13907853963889</v>
      </c>
      <c r="V164" s="35">
        <f t="shared" si="68"/>
        <v>-48799.448643167234</v>
      </c>
      <c r="W164" s="35">
        <f t="shared" si="69"/>
        <v>750.82782482397408</v>
      </c>
      <c r="X164" s="35">
        <f t="shared" si="70"/>
        <v>54.262030943150023</v>
      </c>
      <c r="Y164" s="35">
        <f t="shared" si="71"/>
        <v>48525.083630501023</v>
      </c>
    </row>
    <row r="165" spans="1:25" x14ac:dyDescent="0.3">
      <c r="A165" s="4" t="str">
        <f>DATASETS!A130</f>
        <v>MCARTHUR HIGHWAY</v>
      </c>
      <c r="B165" s="9">
        <f>DATASETS!C130</f>
        <v>111070</v>
      </c>
      <c r="C165" s="4">
        <f>DATASETS!B130</f>
        <v>2020</v>
      </c>
      <c r="D165" s="6">
        <f>DATASETS!I130</f>
        <v>882</v>
      </c>
      <c r="E165" s="9">
        <f>DATASETS!H130</f>
        <v>4109.13</v>
      </c>
      <c r="F165" s="6">
        <f>DATASETS!D130</f>
        <v>721</v>
      </c>
      <c r="G165" s="4" t="str">
        <f>DATASETS!E130</f>
        <v>Training</v>
      </c>
      <c r="H165" s="10">
        <f t="shared" si="54"/>
        <v>80081470</v>
      </c>
      <c r="I165" s="10">
        <f t="shared" si="55"/>
        <v>12336544900</v>
      </c>
      <c r="J165" s="10">
        <f t="shared" si="56"/>
        <v>519841</v>
      </c>
      <c r="K165" s="35">
        <f t="shared" si="57"/>
        <v>1021.6955913635729</v>
      </c>
      <c r="L165" s="35">
        <f t="shared" si="58"/>
        <v>-300.69559136357293</v>
      </c>
      <c r="M165" s="35">
        <f t="shared" si="59"/>
        <v>300.69559136357293</v>
      </c>
      <c r="N165" s="35">
        <f t="shared" si="60"/>
        <v>90417.838665488831</v>
      </c>
      <c r="O165" s="35">
        <f t="shared" si="61"/>
        <v>1344192.5050040178</v>
      </c>
      <c r="P165" s="35">
        <f t="shared" si="62"/>
        <v>902.62898404738144</v>
      </c>
      <c r="Q165" s="35">
        <f t="shared" si="63"/>
        <v>-181.62898404738144</v>
      </c>
      <c r="R165" s="35">
        <f t="shared" si="64"/>
        <v>181.62898404738144</v>
      </c>
      <c r="S165" s="35">
        <f t="shared" si="65"/>
        <v>32989.087846083938</v>
      </c>
      <c r="T165" s="35">
        <f t="shared" si="66"/>
        <v>1344192.5050040178</v>
      </c>
      <c r="U165" s="35">
        <f t="shared" si="67"/>
        <v>331.3477126165173</v>
      </c>
      <c r="V165" s="35">
        <f t="shared" si="68"/>
        <v>-48823.618751460039</v>
      </c>
      <c r="W165" s="35">
        <f t="shared" si="69"/>
        <v>815.55436144673047</v>
      </c>
      <c r="X165" s="35">
        <f t="shared" si="70"/>
        <v>54.262030943150023</v>
      </c>
      <c r="Y165" s="35">
        <f t="shared" si="71"/>
        <v>48525.083630501023</v>
      </c>
    </row>
    <row r="166" spans="1:25" x14ac:dyDescent="0.3">
      <c r="A166" s="4" t="str">
        <f>DATASETS!A131</f>
        <v>MCARTHUR HIGHWAY</v>
      </c>
      <c r="B166" s="9">
        <f>DATASETS!C131</f>
        <v>123390</v>
      </c>
      <c r="C166" s="4">
        <f>DATASETS!B131</f>
        <v>2021</v>
      </c>
      <c r="D166" s="6">
        <f>DATASETS!I131</f>
        <v>721</v>
      </c>
      <c r="E166" s="9">
        <f>DATASETS!H131</f>
        <v>4109.13</v>
      </c>
      <c r="F166" s="6">
        <f>DATASETS!D131</f>
        <v>463</v>
      </c>
      <c r="G166" s="4" t="str">
        <f>DATASETS!E131</f>
        <v>Training</v>
      </c>
      <c r="H166" s="10">
        <f t="shared" si="54"/>
        <v>57129570</v>
      </c>
      <c r="I166" s="10">
        <f t="shared" si="55"/>
        <v>15225092100</v>
      </c>
      <c r="J166" s="10">
        <f t="shared" si="56"/>
        <v>214369</v>
      </c>
      <c r="K166" s="35">
        <f t="shared" si="57"/>
        <v>1211.1776622612906</v>
      </c>
      <c r="L166" s="35">
        <f t="shared" si="58"/>
        <v>-748.17766226129061</v>
      </c>
      <c r="M166" s="35">
        <f t="shared" si="59"/>
        <v>748.17766226129061</v>
      </c>
      <c r="N166" s="35">
        <f t="shared" si="60"/>
        <v>559769.81430676987</v>
      </c>
      <c r="O166" s="35">
        <f t="shared" si="61"/>
        <v>2009003.3767988896</v>
      </c>
      <c r="P166" s="35">
        <f t="shared" si="62"/>
        <v>766.34127466742666</v>
      </c>
      <c r="Q166" s="35">
        <f t="shared" si="63"/>
        <v>-303.34127466742666</v>
      </c>
      <c r="R166" s="35">
        <f t="shared" si="64"/>
        <v>303.34127466742666</v>
      </c>
      <c r="S166" s="35">
        <f t="shared" si="65"/>
        <v>92015.928916859179</v>
      </c>
      <c r="T166" s="35">
        <f t="shared" si="66"/>
        <v>2009003.3767988896</v>
      </c>
      <c r="U166" s="35">
        <f t="shared" si="67"/>
        <v>368.10114576170048</v>
      </c>
      <c r="V166" s="35">
        <f t="shared" si="68"/>
        <v>-48847.788859752836</v>
      </c>
      <c r="W166" s="35">
        <f t="shared" si="69"/>
        <v>666.68332721439083</v>
      </c>
      <c r="X166" s="35">
        <f t="shared" si="70"/>
        <v>54.262030943150023</v>
      </c>
      <c r="Y166" s="35">
        <f t="shared" si="71"/>
        <v>48525.083630501023</v>
      </c>
    </row>
    <row r="167" spans="1:25" x14ac:dyDescent="0.3">
      <c r="A167" s="4" t="str">
        <f>DATASETS!A132</f>
        <v>MCARTHUR HIGHWAY</v>
      </c>
      <c r="B167" s="9">
        <f>DATASETS!C132</f>
        <v>100556</v>
      </c>
      <c r="C167" s="4">
        <f>DATASETS!B132</f>
        <v>2022</v>
      </c>
      <c r="D167" s="6">
        <f>DATASETS!I132</f>
        <v>463</v>
      </c>
      <c r="E167" s="9">
        <f>DATASETS!H132</f>
        <v>4109.13</v>
      </c>
      <c r="F167" s="6">
        <f>DATASETS!D132</f>
        <v>334</v>
      </c>
      <c r="G167" s="4" t="str">
        <f>DATASETS!E132</f>
        <v>Training</v>
      </c>
      <c r="H167" s="10">
        <f t="shared" si="54"/>
        <v>33585704</v>
      </c>
      <c r="I167" s="10">
        <f t="shared" si="55"/>
        <v>10111509136</v>
      </c>
      <c r="J167" s="10">
        <f t="shared" si="56"/>
        <v>111556</v>
      </c>
      <c r="K167" s="35">
        <f t="shared" si="57"/>
        <v>859.98986949517962</v>
      </c>
      <c r="L167" s="35">
        <f t="shared" si="58"/>
        <v>-525.98986949517962</v>
      </c>
      <c r="M167" s="35">
        <f t="shared" si="59"/>
        <v>525.98986949517962</v>
      </c>
      <c r="N167" s="35">
        <f t="shared" si="60"/>
        <v>276665.34281155607</v>
      </c>
      <c r="O167" s="35">
        <f t="shared" si="61"/>
        <v>2391331.8126963256</v>
      </c>
      <c r="P167" s="35">
        <f t="shared" si="62"/>
        <v>435.48849856591909</v>
      </c>
      <c r="Q167" s="35">
        <f t="shared" si="63"/>
        <v>-101.48849856591909</v>
      </c>
      <c r="R167" s="35">
        <f t="shared" si="64"/>
        <v>101.48849856591909</v>
      </c>
      <c r="S167" s="35">
        <f t="shared" si="65"/>
        <v>10299.91534116456</v>
      </c>
      <c r="T167" s="35">
        <f t="shared" si="66"/>
        <v>2391331.8126963256</v>
      </c>
      <c r="U167" s="35">
        <f t="shared" si="67"/>
        <v>299.98199864829849</v>
      </c>
      <c r="V167" s="35">
        <f t="shared" si="68"/>
        <v>-48871.958968045641</v>
      </c>
      <c r="W167" s="35">
        <f t="shared" si="69"/>
        <v>428.11980651908868</v>
      </c>
      <c r="X167" s="35">
        <f t="shared" si="70"/>
        <v>54.262030943150023</v>
      </c>
      <c r="Y167" s="35">
        <f t="shared" si="71"/>
        <v>48525.083630501023</v>
      </c>
    </row>
    <row r="168" spans="1:25" x14ac:dyDescent="0.3">
      <c r="A168" s="4" t="str">
        <f>DATASETS!A133</f>
        <v>MCARTHUR HIGHWAY</v>
      </c>
      <c r="B168" s="9">
        <f>DATASETS!C133</f>
        <v>121189</v>
      </c>
      <c r="C168" s="4">
        <f>DATASETS!B133</f>
        <v>2023</v>
      </c>
      <c r="D168" s="6">
        <f>DATASETS!I133</f>
        <v>334</v>
      </c>
      <c r="E168" s="9">
        <f>DATASETS!H133</f>
        <v>4109.13</v>
      </c>
      <c r="F168" s="6">
        <f>DATASETS!D133</f>
        <v>426</v>
      </c>
      <c r="G168" s="4" t="str">
        <f>DATASETS!E133</f>
        <v>Training</v>
      </c>
      <c r="H168" s="10">
        <f t="shared" si="54"/>
        <v>51626514</v>
      </c>
      <c r="I168" s="10">
        <f t="shared" si="55"/>
        <v>14686773721</v>
      </c>
      <c r="J168" s="10">
        <f t="shared" si="56"/>
        <v>181476</v>
      </c>
      <c r="K168" s="35">
        <f t="shared" si="57"/>
        <v>1177.3261981341902</v>
      </c>
      <c r="L168" s="35">
        <f t="shared" si="58"/>
        <v>-751.32619813419024</v>
      </c>
      <c r="M168" s="35">
        <f t="shared" si="59"/>
        <v>751.32619813419024</v>
      </c>
      <c r="N168" s="35">
        <f t="shared" si="60"/>
        <v>564491.05600277649</v>
      </c>
      <c r="O168" s="35">
        <f t="shared" si="61"/>
        <v>2115259.4708159836</v>
      </c>
      <c r="P168" s="35">
        <f t="shared" si="62"/>
        <v>353.58968074401798</v>
      </c>
      <c r="Q168" s="35">
        <f t="shared" si="63"/>
        <v>72.410319255982017</v>
      </c>
      <c r="R168" s="35">
        <f t="shared" si="64"/>
        <v>72.410319255982017</v>
      </c>
      <c r="S168" s="35">
        <f t="shared" si="65"/>
        <v>5243.2543347532401</v>
      </c>
      <c r="T168" s="35">
        <f t="shared" si="66"/>
        <v>2115259.4708159836</v>
      </c>
      <c r="U168" s="35">
        <f t="shared" si="67"/>
        <v>361.53504946685075</v>
      </c>
      <c r="V168" s="35">
        <f t="shared" si="68"/>
        <v>-48896.129076338446</v>
      </c>
      <c r="W168" s="35">
        <f t="shared" si="69"/>
        <v>308.83804617143761</v>
      </c>
      <c r="X168" s="35">
        <f t="shared" si="70"/>
        <v>54.262030943150023</v>
      </c>
      <c r="Y168" s="35">
        <f t="shared" si="71"/>
        <v>48525.083630501023</v>
      </c>
    </row>
    <row r="169" spans="1:25" x14ac:dyDescent="0.3">
      <c r="A169" s="4" t="str">
        <f>DATASETS!A134</f>
        <v>MCARTHUR HIGHWAY</v>
      </c>
      <c r="B169" s="9">
        <f>DATASETS!C134</f>
        <v>126009</v>
      </c>
      <c r="C169" s="4">
        <f>DATASETS!B134</f>
        <v>2024</v>
      </c>
      <c r="D169" s="6">
        <f>DATASETS!I134</f>
        <v>426</v>
      </c>
      <c r="E169" s="9">
        <f>DATASETS!H134</f>
        <v>4109.13</v>
      </c>
      <c r="F169" s="6">
        <f>DATASETS!D134</f>
        <v>473</v>
      </c>
      <c r="G169" s="4" t="str">
        <f>DATASETS!E134</f>
        <v>Training</v>
      </c>
      <c r="H169" s="10">
        <f t="shared" si="54"/>
        <v>59602257</v>
      </c>
      <c r="I169" s="10">
        <f t="shared" si="55"/>
        <v>15878268081</v>
      </c>
      <c r="J169" s="10">
        <f t="shared" si="56"/>
        <v>223729</v>
      </c>
      <c r="K169" s="35">
        <f t="shared" si="57"/>
        <v>1251.4579823652778</v>
      </c>
      <c r="L169" s="35">
        <f t="shared" si="58"/>
        <v>-778.45798236527776</v>
      </c>
      <c r="M169" s="35">
        <f t="shared" si="59"/>
        <v>778.45798236527776</v>
      </c>
      <c r="N169" s="35">
        <f t="shared" si="60"/>
        <v>605996.83030821907</v>
      </c>
      <c r="O169" s="35">
        <f t="shared" si="61"/>
        <v>1980755.5135510263</v>
      </c>
      <c r="P169" s="35">
        <f t="shared" si="62"/>
        <v>428.86791894111144</v>
      </c>
      <c r="Q169" s="35">
        <f t="shared" si="63"/>
        <v>44.132081058888559</v>
      </c>
      <c r="R169" s="35">
        <f t="shared" si="64"/>
        <v>44.132081058888559</v>
      </c>
      <c r="S169" s="35">
        <f t="shared" si="65"/>
        <v>1947.6405785883103</v>
      </c>
      <c r="T169" s="35">
        <f t="shared" si="66"/>
        <v>1980755.5135510263</v>
      </c>
      <c r="U169" s="35">
        <f t="shared" si="67"/>
        <v>375.91423353826173</v>
      </c>
      <c r="V169" s="35">
        <f t="shared" si="68"/>
        <v>-48920.299184631243</v>
      </c>
      <c r="W169" s="35">
        <f t="shared" si="69"/>
        <v>393.90720858991745</v>
      </c>
      <c r="X169" s="35">
        <f t="shared" si="70"/>
        <v>54.262030943150023</v>
      </c>
      <c r="Y169" s="35">
        <f t="shared" si="71"/>
        <v>48525.083630501023</v>
      </c>
    </row>
    <row r="170" spans="1:25" x14ac:dyDescent="0.3">
      <c r="A170" s="15" t="str">
        <f>DATASETS!A136</f>
        <v>EDSA</v>
      </c>
      <c r="B170" s="20">
        <f>DATASETS!C136</f>
        <v>364781</v>
      </c>
      <c r="C170" s="15">
        <f>DATASETS!B136</f>
        <v>2016</v>
      </c>
      <c r="D170" s="17">
        <f>DATASETS!I136</f>
        <v>9801</v>
      </c>
      <c r="E170" s="20">
        <f>DATASETS!H136</f>
        <v>285.60000000000002</v>
      </c>
      <c r="F170" s="17">
        <f>DATASETS!D136</f>
        <v>13354</v>
      </c>
      <c r="G170" s="15" t="str">
        <f>DATASETS!E136</f>
        <v>EDSA Test</v>
      </c>
      <c r="H170" s="21">
        <f t="shared" si="54"/>
        <v>4871285474</v>
      </c>
      <c r="I170" s="21">
        <f>B170^2</f>
        <v>133065177961</v>
      </c>
      <c r="J170" s="21">
        <f t="shared" si="56"/>
        <v>178329316</v>
      </c>
      <c r="K170" s="36">
        <f t="shared" si="57"/>
        <v>4923.7804687605585</v>
      </c>
      <c r="L170" s="36">
        <f t="shared" si="58"/>
        <v>8430.2195312394415</v>
      </c>
      <c r="M170" s="36">
        <f t="shared" si="59"/>
        <v>8430.2195312394415</v>
      </c>
      <c r="N170" s="36">
        <f t="shared" si="60"/>
        <v>71068601.344890952</v>
      </c>
      <c r="O170" s="36">
        <f t="shared" si="61"/>
        <v>131643653.86397839</v>
      </c>
      <c r="P170" s="36">
        <f t="shared" si="62"/>
        <v>9952.7833130938016</v>
      </c>
      <c r="Q170" s="36">
        <f t="shared" si="63"/>
        <v>3401.2166869061984</v>
      </c>
      <c r="R170" s="36">
        <f t="shared" si="64"/>
        <v>3401.2166869061984</v>
      </c>
      <c r="S170" s="36">
        <f t="shared" si="65"/>
        <v>11568274.951289177</v>
      </c>
      <c r="T170" s="36">
        <f t="shared" si="66"/>
        <v>131643653.86397839</v>
      </c>
      <c r="U170" s="36">
        <f t="shared" si="67"/>
        <v>1088.2267935172936</v>
      </c>
      <c r="V170" s="36">
        <f t="shared" si="68"/>
        <v>-48726.938318288827</v>
      </c>
      <c r="W170" s="36">
        <f t="shared" si="69"/>
        <v>9062.6397919947904</v>
      </c>
      <c r="X170" s="36">
        <f t="shared" si="70"/>
        <v>3.7714153695219301</v>
      </c>
      <c r="Y170" s="36">
        <f t="shared" si="71"/>
        <v>48525.083630501023</v>
      </c>
    </row>
    <row r="171" spans="1:25" x14ac:dyDescent="0.3">
      <c r="A171" s="15" t="str">
        <f>DATASETS!A137</f>
        <v>EDSA</v>
      </c>
      <c r="B171" s="20">
        <f>DATASETS!C137</f>
        <v>367728</v>
      </c>
      <c r="C171" s="15">
        <f>DATASETS!B137</f>
        <v>2017</v>
      </c>
      <c r="D171" s="17">
        <f>DATASETS!I137</f>
        <v>13354</v>
      </c>
      <c r="E171" s="20">
        <f>DATASETS!H137</f>
        <v>285.60000000000002</v>
      </c>
      <c r="F171" s="17">
        <f>DATASETS!D137</f>
        <v>12635</v>
      </c>
      <c r="G171" s="15" t="str">
        <f>DATASETS!E137</f>
        <v>EDSA Test</v>
      </c>
      <c r="H171" s="21">
        <f t="shared" si="54"/>
        <v>4646243280</v>
      </c>
      <c r="I171" s="21">
        <f t="shared" si="55"/>
        <v>135223881984</v>
      </c>
      <c r="J171" s="21">
        <f t="shared" si="56"/>
        <v>159643225</v>
      </c>
      <c r="K171" s="36">
        <f t="shared" si="57"/>
        <v>4969.1054414014334</v>
      </c>
      <c r="L171" s="36">
        <f t="shared" si="58"/>
        <v>7665.8945585985666</v>
      </c>
      <c r="M171" s="36">
        <f t="shared" si="59"/>
        <v>7665.8945585985666</v>
      </c>
      <c r="N171" s="36">
        <f t="shared" si="60"/>
        <v>58765939.383551113</v>
      </c>
      <c r="O171" s="36">
        <f t="shared" si="61"/>
        <v>115661568.23149975</v>
      </c>
      <c r="P171" s="36">
        <f t="shared" si="62"/>
        <v>13222.738859079716</v>
      </c>
      <c r="Q171" s="36">
        <f t="shared" si="63"/>
        <v>-587.73885907971635</v>
      </c>
      <c r="R171" s="36">
        <f t="shared" si="64"/>
        <v>587.73885907971635</v>
      </c>
      <c r="S171" s="36">
        <f t="shared" si="65"/>
        <v>345436.96647232666</v>
      </c>
      <c r="T171" s="36">
        <f t="shared" si="66"/>
        <v>115661568.23149975</v>
      </c>
      <c r="U171" s="36">
        <f t="shared" si="67"/>
        <v>1097.0183817866812</v>
      </c>
      <c r="V171" s="36">
        <f t="shared" si="68"/>
        <v>-48751.108426581632</v>
      </c>
      <c r="W171" s="36">
        <f t="shared" si="69"/>
        <v>12347.973858004125</v>
      </c>
      <c r="X171" s="36">
        <f t="shared" si="70"/>
        <v>3.7714153695219301</v>
      </c>
      <c r="Y171" s="36">
        <f t="shared" si="71"/>
        <v>48525.083630501023</v>
      </c>
    </row>
    <row r="172" spans="1:25" x14ac:dyDescent="0.3">
      <c r="A172" s="15" t="str">
        <f>DATASETS!A138</f>
        <v>EDSA</v>
      </c>
      <c r="B172" s="20">
        <f>DATASETS!C138</f>
        <v>383828</v>
      </c>
      <c r="C172" s="15">
        <f>DATASETS!B138</f>
        <v>2018</v>
      </c>
      <c r="D172" s="17">
        <f>DATASETS!I138</f>
        <v>12635</v>
      </c>
      <c r="E172" s="20">
        <f>DATASETS!H138</f>
        <v>285.60000000000002</v>
      </c>
      <c r="F172" s="17">
        <f>DATASETS!D138</f>
        <v>17276</v>
      </c>
      <c r="G172" s="15" t="str">
        <f>DATASETS!E138</f>
        <v>EDSA Test</v>
      </c>
      <c r="H172" s="21">
        <f t="shared" si="54"/>
        <v>6631012528</v>
      </c>
      <c r="I172" s="21">
        <f t="shared" si="55"/>
        <v>147323933584</v>
      </c>
      <c r="J172" s="21">
        <f t="shared" si="56"/>
        <v>298460176</v>
      </c>
      <c r="K172" s="36">
        <f t="shared" si="57"/>
        <v>5216.7240567791332</v>
      </c>
      <c r="L172" s="36">
        <f t="shared" si="58"/>
        <v>12059.275943220866</v>
      </c>
      <c r="M172" s="36">
        <f t="shared" si="59"/>
        <v>12059.275943220866</v>
      </c>
      <c r="N172" s="36">
        <f t="shared" si="60"/>
        <v>145426136.27474549</v>
      </c>
      <c r="O172" s="36">
        <f t="shared" si="61"/>
        <v>237024709.89816642</v>
      </c>
      <c r="P172" s="36">
        <f t="shared" si="62"/>
        <v>12581.764807868683</v>
      </c>
      <c r="Q172" s="36">
        <f t="shared" si="63"/>
        <v>4694.2351921313166</v>
      </c>
      <c r="R172" s="36">
        <f t="shared" si="64"/>
        <v>4694.2351921313166</v>
      </c>
      <c r="S172" s="36">
        <f t="shared" si="65"/>
        <v>22035844.039044138</v>
      </c>
      <c r="T172" s="36">
        <f t="shared" si="66"/>
        <v>237024709.89816642</v>
      </c>
      <c r="U172" s="36">
        <f t="shared" si="67"/>
        <v>1145.0484364650454</v>
      </c>
      <c r="V172" s="36">
        <f t="shared" si="68"/>
        <v>-48775.278534874436</v>
      </c>
      <c r="W172" s="36">
        <f t="shared" si="69"/>
        <v>11683.139860407528</v>
      </c>
      <c r="X172" s="36">
        <f t="shared" si="70"/>
        <v>3.7714153695219301</v>
      </c>
      <c r="Y172" s="36">
        <f t="shared" si="71"/>
        <v>48525.083630501023</v>
      </c>
    </row>
    <row r="173" spans="1:25" x14ac:dyDescent="0.3">
      <c r="A173" s="15" t="str">
        <f>DATASETS!A139</f>
        <v>EDSA</v>
      </c>
      <c r="B173" s="20">
        <f>DATASETS!C139</f>
        <v>405882</v>
      </c>
      <c r="C173" s="15">
        <f>DATASETS!B139</f>
        <v>2019</v>
      </c>
      <c r="D173" s="17">
        <f>DATASETS!I139</f>
        <v>17276</v>
      </c>
      <c r="E173" s="20">
        <f>DATASETS!H139</f>
        <v>285.60000000000002</v>
      </c>
      <c r="F173" s="17">
        <f>DATASETS!D139</f>
        <v>17382</v>
      </c>
      <c r="G173" s="15" t="str">
        <f>DATASETS!E139</f>
        <v>EDSA Test</v>
      </c>
      <c r="H173" s="21">
        <f t="shared" si="54"/>
        <v>7055040924</v>
      </c>
      <c r="I173" s="21">
        <f t="shared" si="55"/>
        <v>164740197924</v>
      </c>
      <c r="J173" s="21">
        <f t="shared" si="56"/>
        <v>302133924</v>
      </c>
      <c r="K173" s="36">
        <f t="shared" si="57"/>
        <v>5555.915419731914</v>
      </c>
      <c r="L173" s="36">
        <f t="shared" si="58"/>
        <v>11826.084580268085</v>
      </c>
      <c r="M173" s="36">
        <f t="shared" si="59"/>
        <v>11826.084580268085</v>
      </c>
      <c r="N173" s="36">
        <f t="shared" si="60"/>
        <v>139856276.49965456</v>
      </c>
      <c r="O173" s="36">
        <f t="shared" si="61"/>
        <v>240299814.54773906</v>
      </c>
      <c r="P173" s="36">
        <f t="shared" si="62"/>
        <v>16914.756302874364</v>
      </c>
      <c r="Q173" s="36">
        <f t="shared" si="63"/>
        <v>467.24369712563566</v>
      </c>
      <c r="R173" s="36">
        <f t="shared" si="64"/>
        <v>467.24369712563566</v>
      </c>
      <c r="S173" s="36">
        <f t="shared" si="65"/>
        <v>218316.67250363276</v>
      </c>
      <c r="T173" s="36">
        <f t="shared" si="66"/>
        <v>240299814.54773906</v>
      </c>
      <c r="U173" s="36">
        <f t="shared" si="67"/>
        <v>1210.8406616747752</v>
      </c>
      <c r="V173" s="36">
        <f t="shared" si="68"/>
        <v>-48799.448643167234</v>
      </c>
      <c r="W173" s="36">
        <f t="shared" si="69"/>
        <v>15974.509238496275</v>
      </c>
      <c r="X173" s="36">
        <f t="shared" si="70"/>
        <v>3.7714153695219301</v>
      </c>
      <c r="Y173" s="36">
        <f t="shared" si="71"/>
        <v>48525.083630501023</v>
      </c>
    </row>
    <row r="174" spans="1:25" x14ac:dyDescent="0.3">
      <c r="A174" s="15" t="str">
        <f>DATASETS!A140</f>
        <v>EDSA</v>
      </c>
      <c r="B174" s="20">
        <f>DATASETS!C140</f>
        <v>328114</v>
      </c>
      <c r="C174" s="15">
        <f>DATASETS!B140</f>
        <v>2020</v>
      </c>
      <c r="D174" s="17">
        <f>DATASETS!I140</f>
        <v>17382</v>
      </c>
      <c r="E174" s="20">
        <f>DATASETS!H140</f>
        <v>285.60000000000002</v>
      </c>
      <c r="F174" s="17">
        <f>DATASETS!D140</f>
        <v>7319</v>
      </c>
      <c r="G174" s="15" t="str">
        <f>DATASETS!E140</f>
        <v>EDSA Test</v>
      </c>
      <c r="H174" s="21">
        <f t="shared" si="54"/>
        <v>2401466366</v>
      </c>
      <c r="I174" s="21">
        <f t="shared" si="55"/>
        <v>107658796996</v>
      </c>
      <c r="J174" s="21">
        <f t="shared" si="56"/>
        <v>53567761</v>
      </c>
      <c r="K174" s="36">
        <f t="shared" si="57"/>
        <v>4359.8406072665157</v>
      </c>
      <c r="L174" s="36">
        <f t="shared" si="58"/>
        <v>2959.1593927334843</v>
      </c>
      <c r="M174" s="36">
        <f t="shared" si="59"/>
        <v>2959.1593927334843</v>
      </c>
      <c r="N174" s="36">
        <f t="shared" si="60"/>
        <v>8756624.3116028029</v>
      </c>
      <c r="O174" s="36">
        <f t="shared" si="61"/>
        <v>29578444.33406385</v>
      </c>
      <c r="P174" s="36">
        <f t="shared" si="62"/>
        <v>16756.600584062038</v>
      </c>
      <c r="Q174" s="36">
        <f t="shared" si="63"/>
        <v>-9437.6005840620383</v>
      </c>
      <c r="R174" s="36">
        <f t="shared" si="64"/>
        <v>9437.6005840620383</v>
      </c>
      <c r="S174" s="36">
        <f t="shared" si="65"/>
        <v>89068304.784288123</v>
      </c>
      <c r="T174" s="36">
        <f t="shared" si="66"/>
        <v>29578444.33406385</v>
      </c>
      <c r="U174" s="36">
        <f t="shared" si="67"/>
        <v>978.84058141222613</v>
      </c>
      <c r="V174" s="36">
        <f t="shared" si="68"/>
        <v>-48823.618751460039</v>
      </c>
      <c r="W174" s="36">
        <f t="shared" si="69"/>
        <v>16072.523708239307</v>
      </c>
      <c r="X174" s="36">
        <f t="shared" si="70"/>
        <v>3.7714153695219301</v>
      </c>
      <c r="Y174" s="36">
        <f t="shared" si="71"/>
        <v>48525.083630501023</v>
      </c>
    </row>
    <row r="175" spans="1:25" x14ac:dyDescent="0.3">
      <c r="A175" s="15" t="str">
        <f>DATASETS!A141</f>
        <v>EDSA</v>
      </c>
      <c r="B175" s="20">
        <f>DATASETS!C141</f>
        <v>372271</v>
      </c>
      <c r="C175" s="15">
        <f>DATASETS!B141</f>
        <v>2021</v>
      </c>
      <c r="D175" s="17">
        <f>DATASETS!I141</f>
        <v>7319</v>
      </c>
      <c r="E175" s="20">
        <f>DATASETS!H141</f>
        <v>285.60000000000002</v>
      </c>
      <c r="F175" s="17">
        <f>DATASETS!D141</f>
        <v>6523</v>
      </c>
      <c r="G175" s="15" t="str">
        <f>DATASETS!E141</f>
        <v>EDSA Test</v>
      </c>
      <c r="H175" s="21">
        <f t="shared" si="54"/>
        <v>2428323733</v>
      </c>
      <c r="I175" s="21">
        <f t="shared" si="55"/>
        <v>138585697441</v>
      </c>
      <c r="J175" s="21">
        <f t="shared" si="56"/>
        <v>42549529</v>
      </c>
      <c r="K175" s="36">
        <f t="shared" si="57"/>
        <v>5038.9769550449664</v>
      </c>
      <c r="L175" s="36">
        <f t="shared" si="58"/>
        <v>1484.0230449550336</v>
      </c>
      <c r="M175" s="36">
        <f t="shared" si="59"/>
        <v>1484.0230449550336</v>
      </c>
      <c r="N175" s="36">
        <f t="shared" si="60"/>
        <v>2202324.3979576095</v>
      </c>
      <c r="O175" s="36">
        <f t="shared" si="61"/>
        <v>21553798.248593763</v>
      </c>
      <c r="P175" s="36">
        <f t="shared" si="62"/>
        <v>7559.2591326903048</v>
      </c>
      <c r="Q175" s="36">
        <f t="shared" si="63"/>
        <v>-1036.2591326903048</v>
      </c>
      <c r="R175" s="36">
        <f t="shared" si="64"/>
        <v>1036.2591326903048</v>
      </c>
      <c r="S175" s="36">
        <f t="shared" si="65"/>
        <v>1073832.9900840628</v>
      </c>
      <c r="T175" s="36">
        <f t="shared" si="66"/>
        <v>21553798.248593763</v>
      </c>
      <c r="U175" s="36">
        <f t="shared" si="67"/>
        <v>1110.5712102589673</v>
      </c>
      <c r="V175" s="36">
        <f t="shared" si="68"/>
        <v>-48847.788859752836</v>
      </c>
      <c r="W175" s="36">
        <f t="shared" si="69"/>
        <v>6767.6217363136284</v>
      </c>
      <c r="X175" s="36">
        <f t="shared" si="70"/>
        <v>3.7714153695219301</v>
      </c>
      <c r="Y175" s="36">
        <f t="shared" si="71"/>
        <v>48525.083630501023</v>
      </c>
    </row>
    <row r="176" spans="1:25" x14ac:dyDescent="0.3">
      <c r="A176" s="15" t="str">
        <f>DATASETS!A142</f>
        <v>EDSA</v>
      </c>
      <c r="B176" s="20">
        <f>DATASETS!C142</f>
        <v>385096</v>
      </c>
      <c r="C176" s="15">
        <f>DATASETS!B142</f>
        <v>2022</v>
      </c>
      <c r="D176" s="17">
        <f>DATASETS!I142</f>
        <v>6523</v>
      </c>
      <c r="E176" s="20">
        <f>DATASETS!H142</f>
        <v>285.60000000000002</v>
      </c>
      <c r="F176" s="17">
        <f>DATASETS!D142</f>
        <v>8009</v>
      </c>
      <c r="G176" s="15" t="str">
        <f>DATASETS!E142</f>
        <v>EDSA Test</v>
      </c>
      <c r="H176" s="21">
        <f t="shared" si="54"/>
        <v>3084233864</v>
      </c>
      <c r="I176" s="21">
        <f t="shared" si="55"/>
        <v>148298929216</v>
      </c>
      <c r="J176" s="21">
        <f t="shared" si="56"/>
        <v>64144081</v>
      </c>
      <c r="K176" s="36">
        <f t="shared" si="57"/>
        <v>5236.2259452449043</v>
      </c>
      <c r="L176" s="36">
        <f t="shared" si="58"/>
        <v>2772.7740547550957</v>
      </c>
      <c r="M176" s="36">
        <f t="shared" si="59"/>
        <v>2772.7740547550957</v>
      </c>
      <c r="N176" s="36">
        <f t="shared" si="60"/>
        <v>7688275.9587230142</v>
      </c>
      <c r="O176" s="36">
        <f t="shared" si="61"/>
        <v>37559821.769961283</v>
      </c>
      <c r="P176" s="36">
        <f t="shared" si="62"/>
        <v>6837.3158024320201</v>
      </c>
      <c r="Q176" s="36">
        <f t="shared" si="63"/>
        <v>1171.6841975679799</v>
      </c>
      <c r="R176" s="36">
        <f t="shared" si="64"/>
        <v>1171.6841975679799</v>
      </c>
      <c r="S176" s="36">
        <f t="shared" si="65"/>
        <v>1372843.8588305211</v>
      </c>
      <c r="T176" s="36">
        <f t="shared" si="66"/>
        <v>37559821.769961283</v>
      </c>
      <c r="U176" s="36">
        <f t="shared" si="67"/>
        <v>1148.8311761751179</v>
      </c>
      <c r="V176" s="36">
        <f t="shared" si="68"/>
        <v>-48871.958968045641</v>
      </c>
      <c r="W176" s="36">
        <f t="shared" si="69"/>
        <v>6031.5885484319988</v>
      </c>
      <c r="X176" s="36">
        <f t="shared" si="70"/>
        <v>3.7714153695219301</v>
      </c>
      <c r="Y176" s="36">
        <f t="shared" si="71"/>
        <v>48525.083630501023</v>
      </c>
    </row>
    <row r="177" spans="1:25" x14ac:dyDescent="0.3">
      <c r="A177" s="15" t="str">
        <f>DATASETS!A143</f>
        <v>EDSA</v>
      </c>
      <c r="B177" s="20">
        <f>DATASETS!C143</f>
        <v>407342</v>
      </c>
      <c r="C177" s="15">
        <f>DATASETS!B143</f>
        <v>2023</v>
      </c>
      <c r="D177" s="17">
        <f>DATASETS!I143</f>
        <v>8009</v>
      </c>
      <c r="E177" s="20">
        <f>DATASETS!H143</f>
        <v>285.60000000000002</v>
      </c>
      <c r="F177" s="17">
        <f>DATASETS!D143</f>
        <v>8727</v>
      </c>
      <c r="G177" s="15" t="str">
        <f>DATASETS!E143</f>
        <v>EDSA Test</v>
      </c>
      <c r="H177" s="21">
        <f t="shared" si="54"/>
        <v>3554873634</v>
      </c>
      <c r="I177" s="21">
        <f t="shared" si="55"/>
        <v>165927504964</v>
      </c>
      <c r="J177" s="21">
        <f t="shared" si="56"/>
        <v>76160529</v>
      </c>
      <c r="K177" s="36">
        <f t="shared" si="57"/>
        <v>5578.370275536352</v>
      </c>
      <c r="L177" s="36">
        <f t="shared" si="58"/>
        <v>3148.629724463648</v>
      </c>
      <c r="M177" s="36">
        <f t="shared" si="59"/>
        <v>3148.629724463648</v>
      </c>
      <c r="N177" s="36">
        <f t="shared" si="60"/>
        <v>9913869.1417760272</v>
      </c>
      <c r="O177" s="36">
        <f t="shared" si="61"/>
        <v>46876025.188764706</v>
      </c>
      <c r="P177" s="36">
        <f t="shared" si="62"/>
        <v>8253.5626061454586</v>
      </c>
      <c r="Q177" s="36">
        <f t="shared" si="63"/>
        <v>473.43739385454137</v>
      </c>
      <c r="R177" s="36">
        <f t="shared" si="64"/>
        <v>473.43739385454137</v>
      </c>
      <c r="S177" s="36">
        <f t="shared" si="65"/>
        <v>224142.96589978013</v>
      </c>
      <c r="T177" s="36">
        <f t="shared" si="66"/>
        <v>46876025.188764706</v>
      </c>
      <c r="U177" s="36">
        <f t="shared" si="67"/>
        <v>1215.1961821611362</v>
      </c>
      <c r="V177" s="36">
        <f t="shared" si="68"/>
        <v>-48896.129076338446</v>
      </c>
      <c r="W177" s="36">
        <f t="shared" si="69"/>
        <v>7405.6404544522275</v>
      </c>
      <c r="X177" s="36">
        <f t="shared" si="70"/>
        <v>3.7714153695219301</v>
      </c>
      <c r="Y177" s="36">
        <f t="shared" si="71"/>
        <v>48525.083630501023</v>
      </c>
    </row>
    <row r="178" spans="1:25" x14ac:dyDescent="0.3">
      <c r="A178" s="15" t="str">
        <f>DATASETS!A144</f>
        <v>EDSA</v>
      </c>
      <c r="B178" s="20">
        <f>DATASETS!C144</f>
        <v>419952</v>
      </c>
      <c r="C178" s="15">
        <f>DATASETS!B144</f>
        <v>2024</v>
      </c>
      <c r="D178" s="17">
        <f>DATASETS!I144</f>
        <v>8727</v>
      </c>
      <c r="E178" s="20">
        <f>DATASETS!H144</f>
        <v>285.60000000000002</v>
      </c>
      <c r="F178" s="17">
        <f>DATASETS!D144</f>
        <v>8873</v>
      </c>
      <c r="G178" s="15" t="str">
        <f>DATASETS!E144</f>
        <v>EDSA Test</v>
      </c>
      <c r="H178" s="21">
        <f t="shared" si="54"/>
        <v>3726234096</v>
      </c>
      <c r="I178" s="21">
        <f>B178^2</f>
        <v>176359682304</v>
      </c>
      <c r="J178" s="21">
        <f t="shared" si="56"/>
        <v>78730129</v>
      </c>
      <c r="K178" s="36">
        <f t="shared" si="57"/>
        <v>5772.3125575185122</v>
      </c>
      <c r="L178" s="36">
        <f t="shared" si="58"/>
        <v>3100.6874424814878</v>
      </c>
      <c r="M178" s="36">
        <f t="shared" si="59"/>
        <v>3100.6874424814878</v>
      </c>
      <c r="N178" s="36">
        <f t="shared" si="60"/>
        <v>9614262.6159623899</v>
      </c>
      <c r="O178" s="36">
        <f t="shared" si="61"/>
        <v>48896550.385345899</v>
      </c>
      <c r="P178" s="36">
        <f t="shared" si="62"/>
        <v>8930.9204014164006</v>
      </c>
      <c r="Q178" s="36">
        <f t="shared" si="63"/>
        <v>-57.920401416400637</v>
      </c>
      <c r="R178" s="36">
        <f t="shared" si="64"/>
        <v>57.920401416400637</v>
      </c>
      <c r="S178" s="36">
        <f t="shared" si="65"/>
        <v>3354.7729002369847</v>
      </c>
      <c r="T178" s="36">
        <f t="shared" si="66"/>
        <v>48896550.385345899</v>
      </c>
      <c r="U178" s="36">
        <f t="shared" si="67"/>
        <v>1252.8147529371718</v>
      </c>
      <c r="V178" s="36">
        <f t="shared" si="68"/>
        <v>-48920.299184631243</v>
      </c>
      <c r="W178" s="36">
        <f t="shared" si="69"/>
        <v>8069.5497872399283</v>
      </c>
      <c r="X178" s="36">
        <f t="shared" si="70"/>
        <v>3.7714153695219301</v>
      </c>
      <c r="Y178" s="36">
        <f t="shared" si="71"/>
        <v>48525.083630501023</v>
      </c>
    </row>
    <row r="179" spans="1:25" x14ac:dyDescent="0.3">
      <c r="F179" s="71"/>
      <c r="H179" s="71"/>
    </row>
    <row r="180" spans="1:25" x14ac:dyDescent="0.3">
      <c r="A180" s="2" t="s">
        <v>105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</sheetPr>
  <dimension ref="A1:CM272"/>
  <sheetViews>
    <sheetView showGridLines="0" topLeftCell="A15" zoomScale="85" zoomScaleNormal="85" workbookViewId="0">
      <selection activeCell="J27" sqref="J27"/>
    </sheetView>
  </sheetViews>
  <sheetFormatPr defaultColWidth="8.6640625" defaultRowHeight="14.4" x14ac:dyDescent="0.3"/>
  <cols>
    <col min="1" max="1" width="46" customWidth="1"/>
    <col min="2" max="2" width="16" customWidth="1"/>
    <col min="3" max="3" width="14" customWidth="1"/>
    <col min="4" max="6" width="12" customWidth="1"/>
    <col min="7" max="95" width="13" customWidth="1"/>
  </cols>
  <sheetData>
    <row r="1" spans="1:8" ht="16.8" x14ac:dyDescent="0.3">
      <c r="A1" s="1" t="s">
        <v>106</v>
      </c>
    </row>
    <row r="2" spans="1:8" x14ac:dyDescent="0.3">
      <c r="A2" s="2" t="s">
        <v>107</v>
      </c>
    </row>
    <row r="4" spans="1:8" x14ac:dyDescent="0.3">
      <c r="A4" s="13" t="s">
        <v>108</v>
      </c>
      <c r="B4" s="23"/>
      <c r="C4" s="23"/>
      <c r="D4" s="23"/>
      <c r="E4" s="23"/>
      <c r="F4" s="23"/>
      <c r="G4" s="23"/>
      <c r="H4" s="23"/>
    </row>
    <row r="5" spans="1:8" x14ac:dyDescent="0.3">
      <c r="A5" s="11" t="s">
        <v>109</v>
      </c>
      <c r="B5" s="75" t="s">
        <v>110</v>
      </c>
    </row>
    <row r="6" spans="1:8" x14ac:dyDescent="0.3">
      <c r="A6" s="11" t="s">
        <v>111</v>
      </c>
      <c r="B6" s="37">
        <v>10</v>
      </c>
    </row>
    <row r="7" spans="1:8" x14ac:dyDescent="0.3">
      <c r="A7" s="11" t="s">
        <v>112</v>
      </c>
      <c r="B7" s="37">
        <v>3</v>
      </c>
    </row>
    <row r="8" spans="1:8" x14ac:dyDescent="0.3">
      <c r="A8" s="11" t="s">
        <v>113</v>
      </c>
      <c r="B8" s="37">
        <v>3</v>
      </c>
    </row>
    <row r="9" spans="1:8" x14ac:dyDescent="0.3">
      <c r="A9" s="11" t="s">
        <v>114</v>
      </c>
      <c r="B9" s="37" t="s">
        <v>115</v>
      </c>
    </row>
    <row r="10" spans="1:8" x14ac:dyDescent="0.3">
      <c r="A10" s="11" t="s">
        <v>116</v>
      </c>
      <c r="B10" s="37" t="s">
        <v>117</v>
      </c>
    </row>
    <row r="11" spans="1:8" x14ac:dyDescent="0.3">
      <c r="A11" s="11" t="s">
        <v>118</v>
      </c>
      <c r="B11" s="75" t="s">
        <v>119</v>
      </c>
    </row>
    <row r="12" spans="1:8" x14ac:dyDescent="0.3">
      <c r="A12" s="11" t="s">
        <v>120</v>
      </c>
      <c r="B12" s="37">
        <v>42</v>
      </c>
    </row>
    <row r="13" spans="1:8" x14ac:dyDescent="0.3">
      <c r="A13" s="11" t="s">
        <v>121</v>
      </c>
      <c r="B13" s="38">
        <f>COUNT($T$90:$T$206)</f>
        <v>117</v>
      </c>
    </row>
    <row r="14" spans="1:8" x14ac:dyDescent="0.3">
      <c r="A14" s="11" t="s">
        <v>122</v>
      </c>
      <c r="B14" s="75" t="s">
        <v>123</v>
      </c>
    </row>
    <row r="15" spans="1:8" x14ac:dyDescent="0.3">
      <c r="A15" s="11" t="s">
        <v>124</v>
      </c>
      <c r="B15" s="37" t="s">
        <v>125</v>
      </c>
    </row>
    <row r="16" spans="1:8" x14ac:dyDescent="0.3">
      <c r="A16" s="11" t="s">
        <v>126</v>
      </c>
      <c r="B16" s="37" t="s">
        <v>127</v>
      </c>
    </row>
    <row r="18" spans="1:8" x14ac:dyDescent="0.3">
      <c r="A18" s="13" t="s">
        <v>128</v>
      </c>
      <c r="B18" s="23"/>
      <c r="C18" s="23"/>
      <c r="D18" s="23"/>
      <c r="E18" s="23"/>
      <c r="F18" s="23"/>
      <c r="G18" s="23"/>
      <c r="H18" s="23"/>
    </row>
    <row r="19" spans="1:8" x14ac:dyDescent="0.3">
      <c r="A19" s="2" t="s">
        <v>129</v>
      </c>
    </row>
    <row r="20" spans="1:8" x14ac:dyDescent="0.3">
      <c r="A20" s="2" t="s">
        <v>130</v>
      </c>
    </row>
    <row r="21" spans="1:8" x14ac:dyDescent="0.3">
      <c r="A21" s="2" t="s">
        <v>131</v>
      </c>
    </row>
    <row r="22" spans="1:8" x14ac:dyDescent="0.3">
      <c r="A22" s="2" t="s">
        <v>132</v>
      </c>
    </row>
    <row r="23" spans="1:8" x14ac:dyDescent="0.3">
      <c r="A23" s="2" t="s">
        <v>133</v>
      </c>
    </row>
    <row r="24" spans="1:8" x14ac:dyDescent="0.3">
      <c r="A24" s="2" t="s">
        <v>134</v>
      </c>
    </row>
    <row r="25" spans="1:8" x14ac:dyDescent="0.3">
      <c r="A25" s="2" t="s">
        <v>135</v>
      </c>
    </row>
    <row r="27" spans="1:8" x14ac:dyDescent="0.3">
      <c r="A27" s="13" t="s">
        <v>136</v>
      </c>
      <c r="B27" s="23"/>
      <c r="C27" s="23"/>
      <c r="D27" s="23"/>
      <c r="E27" s="23"/>
      <c r="F27" s="23"/>
      <c r="G27" s="23"/>
      <c r="H27" s="23"/>
    </row>
    <row r="28" spans="1:8" x14ac:dyDescent="0.3">
      <c r="A28" s="3" t="s">
        <v>137</v>
      </c>
      <c r="B28" s="3" t="s">
        <v>138</v>
      </c>
      <c r="C28" s="3" t="s">
        <v>139</v>
      </c>
    </row>
    <row r="29" spans="1:8" x14ac:dyDescent="0.3">
      <c r="A29" s="11" t="s">
        <v>49</v>
      </c>
      <c r="B29" s="28">
        <f>SUM($BB$90:$BB$206)</f>
        <v>172882481.51581794</v>
      </c>
      <c r="C29" s="28">
        <f>SUM($CL$90:$CL$206)</f>
        <v>26417618.74750258</v>
      </c>
    </row>
    <row r="30" spans="1:8" x14ac:dyDescent="0.3">
      <c r="A30" s="11" t="s">
        <v>50</v>
      </c>
      <c r="B30" s="28">
        <f>SUM($BC$90:$BC$206)</f>
        <v>417269951.91452974</v>
      </c>
      <c r="C30" s="28">
        <f>SUM($CM$90:$CM$206)</f>
        <v>417269951.91452974</v>
      </c>
    </row>
    <row r="31" spans="1:8" x14ac:dyDescent="0.3">
      <c r="A31" s="11" t="s">
        <v>51</v>
      </c>
      <c r="B31" s="29">
        <f>1-B29/B30</f>
        <v>0.58568192911424921</v>
      </c>
      <c r="C31" s="29">
        <f>1-C29/C30</f>
        <v>0.93668938147524761</v>
      </c>
    </row>
    <row r="32" spans="1:8" x14ac:dyDescent="0.3">
      <c r="A32" s="11" t="s">
        <v>140</v>
      </c>
      <c r="B32" s="28">
        <f>SUM($BA$90:$BA$206)/$B$13</f>
        <v>824.45577316657625</v>
      </c>
      <c r="C32" s="28">
        <f>SUM($CK$90:$CK$206)/$B$13</f>
        <v>340.64423427987322</v>
      </c>
    </row>
    <row r="33" spans="1:8" x14ac:dyDescent="0.3">
      <c r="A33" s="11" t="s">
        <v>53</v>
      </c>
      <c r="B33" s="28">
        <f>SQRT(B29/$B$13)</f>
        <v>1215.5772485299908</v>
      </c>
      <c r="C33" s="28">
        <f>SQRT(C29/$B$13)</f>
        <v>475.17534997779268</v>
      </c>
    </row>
    <row r="34" spans="1:8" x14ac:dyDescent="0.3">
      <c r="A34" s="2" t="s">
        <v>141</v>
      </c>
    </row>
    <row r="36" spans="1:8" x14ac:dyDescent="0.3">
      <c r="A36" s="13" t="s">
        <v>142</v>
      </c>
      <c r="B36" s="23"/>
      <c r="C36" s="23"/>
      <c r="D36" s="23"/>
      <c r="E36" s="23"/>
      <c r="F36" s="23"/>
      <c r="G36" s="23"/>
      <c r="H36" s="23"/>
    </row>
    <row r="37" spans="1:8" x14ac:dyDescent="0.3">
      <c r="A37" s="11" t="s">
        <v>143</v>
      </c>
      <c r="B37" s="72">
        <v>122</v>
      </c>
    </row>
    <row r="38" spans="1:8" x14ac:dyDescent="0.3">
      <c r="A38" s="11" t="s">
        <v>2</v>
      </c>
      <c r="B38" s="73" t="str">
        <f>INDEX($A$90:$A$215,$B$37)</f>
        <v>EDSA</v>
      </c>
    </row>
    <row r="39" spans="1:8" x14ac:dyDescent="0.3">
      <c r="A39" s="11" t="s">
        <v>86</v>
      </c>
      <c r="B39" s="73" t="str">
        <f>INDEX($B$90:$B$215,$B$37)</f>
        <v>EDSA Test</v>
      </c>
    </row>
    <row r="40" spans="1:8" x14ac:dyDescent="0.3">
      <c r="A40" s="11" t="s">
        <v>144</v>
      </c>
      <c r="B40" s="74">
        <f>INDEX($C$90:$C$215,$B$37)</f>
        <v>328114</v>
      </c>
    </row>
    <row r="41" spans="1:8" x14ac:dyDescent="0.3">
      <c r="A41" s="11" t="s">
        <v>3</v>
      </c>
      <c r="B41" s="73">
        <f>INDEX($D$90:$D$215,$B$37)</f>
        <v>2020</v>
      </c>
    </row>
    <row r="42" spans="1:8" x14ac:dyDescent="0.3">
      <c r="A42" s="11" t="s">
        <v>145</v>
      </c>
      <c r="B42" s="69">
        <f>INDEX($E$90:$E$215,$B$37)</f>
        <v>17382</v>
      </c>
    </row>
    <row r="43" spans="1:8" x14ac:dyDescent="0.3">
      <c r="A43" s="11" t="s">
        <v>146</v>
      </c>
      <c r="B43" s="74">
        <f>INDEX($F$90:$F$215,$B$37)</f>
        <v>285.60000000000002</v>
      </c>
    </row>
    <row r="44" spans="1:8" x14ac:dyDescent="0.3">
      <c r="A44" s="11" t="s">
        <v>147</v>
      </c>
      <c r="B44" s="69">
        <f>INDEX($T$90:$T$215,$B$37)</f>
        <v>7319</v>
      </c>
    </row>
    <row r="46" spans="1:8" ht="26.4" x14ac:dyDescent="0.3">
      <c r="A46" s="3" t="s">
        <v>148</v>
      </c>
      <c r="B46" s="3" t="s">
        <v>149</v>
      </c>
      <c r="C46" s="3" t="s">
        <v>150</v>
      </c>
      <c r="D46" s="3" t="s">
        <v>151</v>
      </c>
      <c r="E46" s="3" t="s">
        <v>152</v>
      </c>
    </row>
    <row r="47" spans="1:8" x14ac:dyDescent="0.3">
      <c r="A47" s="11">
        <v>1</v>
      </c>
      <c r="B47" s="11">
        <f>INDEX($AE$90:$AE$215,$B$37)</f>
        <v>12</v>
      </c>
      <c r="C47" s="35">
        <f>INDEX($AO$90:$AO$215,$B$37)</f>
        <v>3512.1428571428573</v>
      </c>
      <c r="D47" s="11">
        <f>INDEX($BO$90:$BO$215,$B$37)</f>
        <v>12</v>
      </c>
      <c r="E47" s="35">
        <f>INDEX($BY$90:$BY$215,$B$37)</f>
        <v>3616.75</v>
      </c>
    </row>
    <row r="48" spans="1:8" x14ac:dyDescent="0.3">
      <c r="A48" s="11">
        <v>2</v>
      </c>
      <c r="B48" s="11">
        <f>INDEX($AF$90:$AF$215,$B$37)</f>
        <v>14</v>
      </c>
      <c r="C48" s="35">
        <f>INDEX($AP$90:$AP$215,$B$37)</f>
        <v>4040.3636363636365</v>
      </c>
      <c r="D48" s="11">
        <f>INDEX($BP$90:$BP$215,$B$37)</f>
        <v>14</v>
      </c>
      <c r="E48" s="35">
        <f>INDEX($BZ$90:$BZ$215,$B$37)</f>
        <v>8401.5</v>
      </c>
    </row>
    <row r="49" spans="1:5" x14ac:dyDescent="0.3">
      <c r="A49" s="11">
        <v>3</v>
      </c>
      <c r="B49" s="11">
        <f>INDEX($AG$90:$AG$215,$B$37)</f>
        <v>14</v>
      </c>
      <c r="C49" s="35">
        <f>INDEX($AQ$90:$AQ$215,$B$37)</f>
        <v>3393.8823529411766</v>
      </c>
      <c r="D49" s="11">
        <f>INDEX($BQ$90:$BQ$215,$B$37)</f>
        <v>12</v>
      </c>
      <c r="E49" s="35">
        <f>INDEX($CA$90:$CA$215,$B$37)</f>
        <v>7604.25</v>
      </c>
    </row>
    <row r="50" spans="1:5" x14ac:dyDescent="0.3">
      <c r="A50" s="11">
        <v>4</v>
      </c>
      <c r="B50" s="11">
        <f>INDEX($AH$90:$AH$215,$B$37)</f>
        <v>14</v>
      </c>
      <c r="C50" s="35">
        <f>INDEX($AR$90:$AR$215,$B$37)</f>
        <v>2684.8333333333335</v>
      </c>
      <c r="D50" s="11">
        <f>INDEX($BR$90:$BR$215,$B$37)</f>
        <v>9</v>
      </c>
      <c r="E50" s="35">
        <f>INDEX($CB$90:$CB$215,$B$37)</f>
        <v>4077.7142857142858</v>
      </c>
    </row>
    <row r="51" spans="1:5" x14ac:dyDescent="0.3">
      <c r="A51" s="11">
        <v>5</v>
      </c>
      <c r="B51" s="11">
        <f>INDEX($AI$90:$AI$215,$B$37)</f>
        <v>12</v>
      </c>
      <c r="C51" s="35">
        <f>INDEX($AS$90:$AS$215,$B$37)</f>
        <v>3307.5294117647059</v>
      </c>
      <c r="D51" s="11">
        <f>INDEX($BS$90:$BS$215,$B$37)</f>
        <v>10</v>
      </c>
      <c r="E51" s="35">
        <f>INDEX($CC$90:$CC$215,$B$37)</f>
        <v>4206.666666666667</v>
      </c>
    </row>
    <row r="52" spans="1:5" x14ac:dyDescent="0.3">
      <c r="A52" s="11">
        <v>6</v>
      </c>
      <c r="B52" s="11">
        <f>INDEX($AJ$90:$AJ$215,$B$37)</f>
        <v>14</v>
      </c>
      <c r="C52" s="35">
        <f>INDEX($AT$90:$AT$215,$B$37)</f>
        <v>3280.125</v>
      </c>
      <c r="D52" s="11">
        <f>INDEX($BT$90:$BT$215,$B$37)</f>
        <v>12</v>
      </c>
      <c r="E52" s="35">
        <f>INDEX($CD$90:$CD$215,$B$37)</f>
        <v>7763.833333333333</v>
      </c>
    </row>
    <row r="53" spans="1:5" x14ac:dyDescent="0.3">
      <c r="A53" s="11">
        <v>7</v>
      </c>
      <c r="B53" s="11">
        <f>INDEX($AK$90:$AK$215,$B$37)</f>
        <v>12</v>
      </c>
      <c r="C53" s="35">
        <f>INDEX($AU$90:$AU$215,$B$37)</f>
        <v>4402.375</v>
      </c>
      <c r="D53" s="11">
        <f>INDEX($BU$90:$BU$215,$B$37)</f>
        <v>14</v>
      </c>
      <c r="E53" s="35">
        <f>INDEX($CE$90:$CE$215,$B$37)</f>
        <v>8476.5</v>
      </c>
    </row>
    <row r="54" spans="1:5" x14ac:dyDescent="0.3">
      <c r="A54" s="11">
        <v>8</v>
      </c>
      <c r="B54" s="11">
        <f>INDEX($AL$90:$AL$215,$B$37)</f>
        <v>14</v>
      </c>
      <c r="C54" s="35">
        <f>INDEX($AV$90:$AV$215,$B$37)</f>
        <v>4702.25</v>
      </c>
      <c r="D54" s="11">
        <f>INDEX($BV$90:$BV$215,$B$37)</f>
        <v>12</v>
      </c>
      <c r="E54" s="35">
        <f>INDEX($CF$90:$CF$215,$B$37)</f>
        <v>7488.8888888888887</v>
      </c>
    </row>
    <row r="55" spans="1:5" x14ac:dyDescent="0.3">
      <c r="A55" s="11">
        <v>9</v>
      </c>
      <c r="B55" s="11">
        <f>INDEX($AM$90:$AM$215,$B$37)</f>
        <v>12</v>
      </c>
      <c r="C55" s="35">
        <f>INDEX($AW$90:$AW$215,$B$37)</f>
        <v>5025.5555555555557</v>
      </c>
      <c r="D55" s="11">
        <f>INDEX($BW$90:$BW$215,$B$37)</f>
        <v>10</v>
      </c>
      <c r="E55" s="35">
        <f>INDEX($CG$90:$CG$215,$B$37)</f>
        <v>8392</v>
      </c>
    </row>
    <row r="56" spans="1:5" x14ac:dyDescent="0.3">
      <c r="A56" s="11">
        <v>10</v>
      </c>
      <c r="B56" s="11">
        <f>INDEX($AN$90:$AN$215,$B$37)</f>
        <v>14</v>
      </c>
      <c r="C56" s="35">
        <f>INDEX($AX$90:$AX$215,$B$37)</f>
        <v>3305.8571428571427</v>
      </c>
      <c r="D56" s="11">
        <f>INDEX($BX$90:$BX$215,$B$37)</f>
        <v>10</v>
      </c>
      <c r="E56" s="35">
        <f>INDEX($CH$90:$CH$215,$B$37)</f>
        <v>8517.8333333333339</v>
      </c>
    </row>
    <row r="57" spans="1:5" x14ac:dyDescent="0.3">
      <c r="A57" s="11" t="s">
        <v>153</v>
      </c>
      <c r="C57" s="28">
        <f>AVERAGE(C47:C56)</f>
        <v>3765.491428995841</v>
      </c>
      <c r="E57" s="28">
        <f>AVERAGE(E47:E56)</f>
        <v>6854.5936507936512</v>
      </c>
    </row>
    <row r="58" spans="1:5" x14ac:dyDescent="0.3">
      <c r="A58" s="11" t="s">
        <v>154</v>
      </c>
      <c r="C58" s="34">
        <f>C57-INDEX($AY$90:$AY$215,$B$37)</f>
        <v>0</v>
      </c>
      <c r="E58" s="34">
        <f>E57-INDEX($CI$90:$CI$215,$B$37)</f>
        <v>0</v>
      </c>
    </row>
    <row r="59" spans="1:5" x14ac:dyDescent="0.3">
      <c r="A59" s="11" t="s">
        <v>155</v>
      </c>
      <c r="C59" s="28">
        <f>B44-C57</f>
        <v>3553.508571004159</v>
      </c>
      <c r="E59" s="28">
        <f>B44-E57</f>
        <v>464.40634920634875</v>
      </c>
    </row>
    <row r="60" spans="1:5" x14ac:dyDescent="0.3">
      <c r="A60" s="2" t="s">
        <v>156</v>
      </c>
    </row>
    <row r="87" spans="1:91" x14ac:dyDescent="0.3">
      <c r="U87" s="13" t="s">
        <v>157</v>
      </c>
      <c r="BE87" s="13" t="s">
        <v>158</v>
      </c>
    </row>
    <row r="88" spans="1:91" ht="66.599999999999994" x14ac:dyDescent="0.3">
      <c r="F88" s="2" t="s">
        <v>159</v>
      </c>
      <c r="G88" s="41" t="str">
        <f>DATASETS!A6</f>
        <v>PRES. QUIRINO AVE.</v>
      </c>
      <c r="H88" s="41" t="str">
        <f>DATASETS!A16</f>
        <v>C.P. GARCIA /KATIPUNAN AVE. / TANDANG SORA</v>
      </c>
      <c r="I88" s="41" t="str">
        <f>DATASETS!A26</f>
        <v>ROXAS BLVD.</v>
      </c>
      <c r="J88" s="41" t="str">
        <f>DATASETS!A36</f>
        <v>TAFT AVE.</v>
      </c>
      <c r="K88" s="41" t="str">
        <f>DATASETS!A46</f>
        <v>SSH</v>
      </c>
      <c r="L88" s="41" t="str">
        <f>DATASETS!A56</f>
        <v>ORTIGAS AVE.</v>
      </c>
      <c r="M88" s="41" t="str">
        <f>DATASETS!A66</f>
        <v>R-6 MAGSAYSAY / AURORA BLVD.</v>
      </c>
      <c r="N88" s="41" t="str">
        <f>DATASETS!A76</f>
        <v>QUEZON AVE.</v>
      </c>
      <c r="O88" s="41" t="str">
        <f>DATASETS!A86</f>
        <v>COMMONWEALTH AVE.</v>
      </c>
      <c r="P88" s="41" t="str">
        <f>DATASETS!A96</f>
        <v>RIZAL AVE.</v>
      </c>
      <c r="Q88" s="41" t="str">
        <f>DATASETS!A106</f>
        <v>DEL PAN</v>
      </c>
      <c r="R88" s="41" t="str">
        <f>DATASETS!A116</f>
        <v>MARCOS HIGHWAY</v>
      </c>
      <c r="S88" s="41" t="str">
        <f>DATASETS!A126</f>
        <v>MCARTHUR HIGHWAY</v>
      </c>
    </row>
    <row r="89" spans="1:91" ht="79.2" x14ac:dyDescent="0.3">
      <c r="A89" s="3" t="s">
        <v>2</v>
      </c>
      <c r="B89" s="3" t="s">
        <v>86</v>
      </c>
      <c r="C89" s="3" t="s">
        <v>144</v>
      </c>
      <c r="D89" s="3" t="s">
        <v>3</v>
      </c>
      <c r="E89" s="3" t="s">
        <v>145</v>
      </c>
      <c r="F89" s="3" t="s">
        <v>146</v>
      </c>
      <c r="G89" s="3" t="s">
        <v>160</v>
      </c>
      <c r="H89" s="3" t="s">
        <v>161</v>
      </c>
      <c r="I89" s="3" t="s">
        <v>162</v>
      </c>
      <c r="J89" s="3" t="s">
        <v>163</v>
      </c>
      <c r="K89" s="3" t="s">
        <v>164</v>
      </c>
      <c r="L89" s="3" t="s">
        <v>165</v>
      </c>
      <c r="M89" s="3" t="s">
        <v>166</v>
      </c>
      <c r="N89" s="3" t="s">
        <v>167</v>
      </c>
      <c r="O89" s="3" t="s">
        <v>168</v>
      </c>
      <c r="P89" s="3" t="s">
        <v>169</v>
      </c>
      <c r="Q89" s="3" t="s">
        <v>170</v>
      </c>
      <c r="R89" s="3" t="s">
        <v>171</v>
      </c>
      <c r="S89" s="3" t="s">
        <v>172</v>
      </c>
      <c r="T89" s="3" t="s">
        <v>85</v>
      </c>
      <c r="U89" s="3" t="s">
        <v>173</v>
      </c>
      <c r="V89" s="3" t="s">
        <v>174</v>
      </c>
      <c r="W89" s="3" t="s">
        <v>175</v>
      </c>
      <c r="X89" s="3" t="s">
        <v>176</v>
      </c>
      <c r="Y89" s="3" t="s">
        <v>177</v>
      </c>
      <c r="Z89" s="3" t="s">
        <v>178</v>
      </c>
      <c r="AA89" s="3" t="s">
        <v>179</v>
      </c>
      <c r="AB89" s="3" t="s">
        <v>180</v>
      </c>
      <c r="AC89" s="3" t="s">
        <v>181</v>
      </c>
      <c r="AD89" s="3" t="s">
        <v>182</v>
      </c>
      <c r="AE89" s="3" t="s">
        <v>183</v>
      </c>
      <c r="AF89" s="3" t="s">
        <v>184</v>
      </c>
      <c r="AG89" s="3" t="s">
        <v>185</v>
      </c>
      <c r="AH89" s="3" t="s">
        <v>186</v>
      </c>
      <c r="AI89" s="3" t="s">
        <v>187</v>
      </c>
      <c r="AJ89" s="3" t="s">
        <v>188</v>
      </c>
      <c r="AK89" s="3" t="s">
        <v>189</v>
      </c>
      <c r="AL89" s="3" t="s">
        <v>190</v>
      </c>
      <c r="AM89" s="3" t="s">
        <v>191</v>
      </c>
      <c r="AN89" s="3" t="s">
        <v>192</v>
      </c>
      <c r="AO89" s="3" t="s">
        <v>193</v>
      </c>
      <c r="AP89" s="3" t="s">
        <v>194</v>
      </c>
      <c r="AQ89" s="3" t="s">
        <v>195</v>
      </c>
      <c r="AR89" s="3" t="s">
        <v>196</v>
      </c>
      <c r="AS89" s="3" t="s">
        <v>197</v>
      </c>
      <c r="AT89" s="3" t="s">
        <v>198</v>
      </c>
      <c r="AU89" s="3" t="s">
        <v>199</v>
      </c>
      <c r="AV89" s="3" t="s">
        <v>200</v>
      </c>
      <c r="AW89" s="3" t="s">
        <v>201</v>
      </c>
      <c r="AX89" s="3" t="s">
        <v>202</v>
      </c>
      <c r="AY89" s="3" t="s">
        <v>203</v>
      </c>
      <c r="AZ89" s="3" t="s">
        <v>204</v>
      </c>
      <c r="BA89" s="3" t="s">
        <v>92</v>
      </c>
      <c r="BB89" s="3" t="s">
        <v>93</v>
      </c>
      <c r="BC89" s="3" t="s">
        <v>205</v>
      </c>
      <c r="BE89" s="3" t="s">
        <v>206</v>
      </c>
      <c r="BF89" s="3" t="s">
        <v>207</v>
      </c>
      <c r="BG89" s="3" t="s">
        <v>208</v>
      </c>
      <c r="BH89" s="3" t="s">
        <v>209</v>
      </c>
      <c r="BI89" s="3" t="s">
        <v>210</v>
      </c>
      <c r="BJ89" s="3" t="s">
        <v>211</v>
      </c>
      <c r="BK89" s="3" t="s">
        <v>212</v>
      </c>
      <c r="BL89" s="3" t="s">
        <v>213</v>
      </c>
      <c r="BM89" s="3" t="s">
        <v>214</v>
      </c>
      <c r="BN89" s="3" t="s">
        <v>215</v>
      </c>
      <c r="BO89" s="3" t="s">
        <v>216</v>
      </c>
      <c r="BP89" s="3" t="s">
        <v>217</v>
      </c>
      <c r="BQ89" s="3" t="s">
        <v>218</v>
      </c>
      <c r="BR89" s="3" t="s">
        <v>219</v>
      </c>
      <c r="BS89" s="3" t="s">
        <v>220</v>
      </c>
      <c r="BT89" s="3" t="s">
        <v>221</v>
      </c>
      <c r="BU89" s="3" t="s">
        <v>222</v>
      </c>
      <c r="BV89" s="3" t="s">
        <v>223</v>
      </c>
      <c r="BW89" s="3" t="s">
        <v>224</v>
      </c>
      <c r="BX89" s="3" t="s">
        <v>225</v>
      </c>
      <c r="BY89" s="3" t="s">
        <v>226</v>
      </c>
      <c r="BZ89" s="3" t="s">
        <v>227</v>
      </c>
      <c r="CA89" s="3" t="s">
        <v>228</v>
      </c>
      <c r="CB89" s="3" t="s">
        <v>229</v>
      </c>
      <c r="CC89" s="3" t="s">
        <v>230</v>
      </c>
      <c r="CD89" s="3" t="s">
        <v>231</v>
      </c>
      <c r="CE89" s="3" t="s">
        <v>232</v>
      </c>
      <c r="CF89" s="3" t="s">
        <v>233</v>
      </c>
      <c r="CG89" s="3" t="s">
        <v>234</v>
      </c>
      <c r="CH89" s="3" t="s">
        <v>235</v>
      </c>
      <c r="CI89" s="3" t="s">
        <v>236</v>
      </c>
      <c r="CJ89" s="3" t="s">
        <v>237</v>
      </c>
      <c r="CK89" s="3" t="s">
        <v>97</v>
      </c>
      <c r="CL89" s="3" t="s">
        <v>98</v>
      </c>
      <c r="CM89" s="3" t="s">
        <v>238</v>
      </c>
    </row>
    <row r="90" spans="1:91" x14ac:dyDescent="0.3">
      <c r="A90" s="4" t="str">
        <f>DATASETS!A6</f>
        <v>PRES. QUIRINO AVE.</v>
      </c>
      <c r="B90" s="4" t="str">
        <f>DATASETS!E6</f>
        <v>Training</v>
      </c>
      <c r="C90" s="9">
        <f>DATASETS!C6</f>
        <v>117482</v>
      </c>
      <c r="D90" s="4">
        <f>DATASETS!B6</f>
        <v>2016</v>
      </c>
      <c r="E90" s="6">
        <f>DATASETS!I6</f>
        <v>887</v>
      </c>
      <c r="F90" s="9">
        <f>DATASETS!H6</f>
        <v>28.8</v>
      </c>
      <c r="G90" s="11">
        <f t="shared" ref="G90:S99" si="0">IF($A90=G$88,1,0)</f>
        <v>1</v>
      </c>
      <c r="H90" s="11">
        <f t="shared" si="0"/>
        <v>0</v>
      </c>
      <c r="I90" s="11">
        <f t="shared" si="0"/>
        <v>0</v>
      </c>
      <c r="J90" s="11">
        <f t="shared" si="0"/>
        <v>0</v>
      </c>
      <c r="K90" s="11">
        <f t="shared" si="0"/>
        <v>0</v>
      </c>
      <c r="L90" s="11">
        <f t="shared" si="0"/>
        <v>0</v>
      </c>
      <c r="M90" s="11">
        <f t="shared" si="0"/>
        <v>0</v>
      </c>
      <c r="N90" s="11">
        <f t="shared" si="0"/>
        <v>0</v>
      </c>
      <c r="O90" s="11">
        <f t="shared" si="0"/>
        <v>0</v>
      </c>
      <c r="P90" s="11">
        <f t="shared" si="0"/>
        <v>0</v>
      </c>
      <c r="Q90" s="11">
        <f t="shared" si="0"/>
        <v>0</v>
      </c>
      <c r="R90" s="11">
        <f t="shared" si="0"/>
        <v>0</v>
      </c>
      <c r="S90" s="11">
        <f t="shared" si="0"/>
        <v>0</v>
      </c>
      <c r="T90" s="6">
        <f>DATASETS!D6</f>
        <v>1005</v>
      </c>
      <c r="U90" s="37">
        <v>2</v>
      </c>
      <c r="V90" s="37">
        <v>1</v>
      </c>
      <c r="W90" s="37">
        <v>0</v>
      </c>
      <c r="X90" s="37">
        <v>2</v>
      </c>
      <c r="Y90" s="37">
        <v>3</v>
      </c>
      <c r="Z90" s="37">
        <v>1</v>
      </c>
      <c r="AA90" s="37">
        <v>2</v>
      </c>
      <c r="AB90" s="37">
        <v>1</v>
      </c>
      <c r="AC90" s="37">
        <v>0</v>
      </c>
      <c r="AD90" s="37">
        <v>0</v>
      </c>
      <c r="AE90" s="11">
        <f t="shared" ref="AE90:AE121" si="1">IF($C90&lt;=$C$222,IF($C90&lt;=$E$222,IF($C90&lt;=$G$222,3,4),IF($C90&lt;=$M$222,6,7)),IF($C90&lt;=$S$222,9,IF($C90&lt;=$W$222,11,12)))</f>
        <v>4</v>
      </c>
      <c r="AF90" s="11">
        <f t="shared" ref="AF90:AF121" si="2">IF($C90&lt;=$C$223,IF($C90&lt;=$E$223,IF($C90&lt;=$G$223,3,4),IF($C90&lt;=$M$223,6,7)),IF($C90&lt;=$S$223,IF($C90&lt;=$U$223,10,11),IF($C90&lt;=$AA$223,13,14)))</f>
        <v>3</v>
      </c>
      <c r="AG90" s="11">
        <f t="shared" ref="AG90:AG121" si="3">IF($C90&lt;=$C$224,IF($C90&lt;=$E$224,IF($C90&lt;=$G$224,3,4),IF($C90&lt;=$M$224,6,7)),IF($C90&lt;=$S$224,IF($C90&lt;=$U$224,10,11),IF($C90&lt;=$AA$224,13,14)))</f>
        <v>4</v>
      </c>
      <c r="AH90" s="11">
        <f t="shared" ref="AH90:AH121" si="4">IF($C90&lt;=$C$225,IF($C90&lt;=$E$225,IF($C90&lt;=$G$225,3,4),IF($C90&lt;=$M$225,6,7)),IF($C90&lt;=$S$225,IF($C90&lt;=$U$225,10,11),IF($C90&lt;=$AA$225,13,14)))</f>
        <v>4</v>
      </c>
      <c r="AI90" s="11">
        <f t="shared" ref="AI90:AI121" si="5">IF($C90&lt;=$C$226,IF($C90&lt;=$E$226,IF($C90&lt;=$G$226,3,4),IF($C90&lt;=$M$226,6,7)),IF($C90&lt;=$S$226,9,IF($C90&lt;=$W$226,11,12)))</f>
        <v>4</v>
      </c>
      <c r="AJ90" s="11">
        <f t="shared" ref="AJ90:AJ121" si="6">IF($C90&lt;=$C$227,IF($C90&lt;=$E$227,IF($C90&lt;=$G$227,3,4),IF($C90&lt;=$M$227,6,7)),IF($C90&lt;=$S$227,IF($C90&lt;=$U$227,10,11),IF($C90&lt;=$AA$227,13,14)))</f>
        <v>4</v>
      </c>
      <c r="AK90" s="11">
        <f t="shared" ref="AK90:AK121" si="7">IF($C90&lt;=$C$228,IF($C90&lt;=$E$228,IF($C90&lt;=$G$228,3,4),IF($C90&lt;=$M$228,6,7)),IF($C90&lt;=$S$228,9,IF($C90&lt;=$W$228,11,12)))</f>
        <v>4</v>
      </c>
      <c r="AL90" s="11">
        <f t="shared" ref="AL90:AL121" si="8">IF($C90&lt;=$C$229,IF($C90&lt;=$E$229,IF($C90&lt;=$G$229,3,4),IF($C90&lt;=$M$229,6,7)),IF($C90&lt;=$S$229,IF($C90&lt;=$U$229,10,11),IF($C90&lt;=$AA$229,13,14)))</f>
        <v>4</v>
      </c>
      <c r="AM90" s="11">
        <f t="shared" ref="AM90:AM121" si="9">IF($C90&lt;=$C$230,IF($C90&lt;=$E$230,IF($C90&lt;=$G$230,3,4),IF($C90&lt;=$M$230,6,7)),IF($C90&lt;=$S$230,9,IF($C90&lt;=$W$230,11,12)))</f>
        <v>4</v>
      </c>
      <c r="AN90" s="11">
        <f t="shared" ref="AN90:AN121" si="10">IF($C90&lt;=$C$231,IF($C90&lt;=$E$231,IF($C90&lt;=$G$231,3,4),IF($C90&lt;=$M$231,6,7)),IF($C90&lt;=$S$231,IF($C90&lt;=$U$231,10,11),IF($C90&lt;=$AA$231,13,14)))</f>
        <v>4</v>
      </c>
      <c r="AO90" s="35">
        <f t="shared" ref="AO90:AO121" si="11">INDEX($B$235:$P$235,1,AE90+1)</f>
        <v>920.9375</v>
      </c>
      <c r="AP90" s="35">
        <f t="shared" ref="AP90:AP121" si="12">INDEX($B$236:$P$236,1,AF90+1)</f>
        <v>879.5</v>
      </c>
      <c r="AQ90" s="35">
        <f t="shared" ref="AQ90:AQ121" si="13">INDEX($B$237:$P$237,1,AG90+1)</f>
        <v>800.71794871794873</v>
      </c>
      <c r="AR90" s="35">
        <f t="shared" ref="AR90:AR121" si="14">INDEX($B$238:$P$238,1,AH90+1)</f>
        <v>1087.8888888888889</v>
      </c>
      <c r="AS90" s="35">
        <f t="shared" ref="AS90:AS121" si="15">INDEX($B$239:$P$239,1,AI90+1)</f>
        <v>938.71428571428567</v>
      </c>
      <c r="AT90" s="35">
        <f t="shared" ref="AT90:AT121" si="16">INDEX($B$240:$P$240,1,AJ90+1)</f>
        <v>516.90476190476193</v>
      </c>
      <c r="AU90" s="35">
        <f t="shared" ref="AU90:AU121" si="17">INDEX($B$241:$P$241,1,AK90+1)</f>
        <v>763.24242424242425</v>
      </c>
      <c r="AV90" s="35">
        <f t="shared" ref="AV90:AV121" si="18">INDEX($B$242:$P$242,1,AL90+1)</f>
        <v>986.22580645161293</v>
      </c>
      <c r="AW90" s="35">
        <f t="shared" ref="AW90:AW121" si="19">INDEX($B$243:$P$243,1,AM90+1)</f>
        <v>838.3125</v>
      </c>
      <c r="AX90" s="35">
        <f t="shared" ref="AX90:AX121" si="20">INDEX($B$244:$P$244,1,AN90+1)</f>
        <v>556.0625</v>
      </c>
      <c r="AY90" s="28">
        <f t="shared" ref="AY90:AY121" si="21">AVERAGE(AO90:AX90)</f>
        <v>828.85066159199232</v>
      </c>
      <c r="AZ90" s="35">
        <f t="shared" ref="AZ90:AZ121" si="22">$T90-AY90</f>
        <v>176.14933840800768</v>
      </c>
      <c r="BA90" s="35">
        <f t="shared" ref="BA90:BA121" si="23">ABS(AZ90)</f>
        <v>176.14933840800768</v>
      </c>
      <c r="BB90" s="35">
        <f t="shared" ref="BB90:BB121" si="24">AZ90^2</f>
        <v>31028.58942157881</v>
      </c>
      <c r="BC90" s="35">
        <f t="shared" ref="BC90:BC121" si="25">($T90-AVERAGE($T$90:$T$206))^2</f>
        <v>766313.18876470148</v>
      </c>
      <c r="BE90" s="37">
        <v>2</v>
      </c>
      <c r="BF90" s="37">
        <v>1</v>
      </c>
      <c r="BG90" s="37">
        <v>0</v>
      </c>
      <c r="BH90" s="37">
        <v>2</v>
      </c>
      <c r="BI90" s="37">
        <v>3</v>
      </c>
      <c r="BJ90" s="37">
        <v>1</v>
      </c>
      <c r="BK90" s="37">
        <v>2</v>
      </c>
      <c r="BL90" s="37">
        <v>1</v>
      </c>
      <c r="BM90" s="37">
        <v>0</v>
      </c>
      <c r="BN90" s="37">
        <v>0</v>
      </c>
      <c r="BO90" s="11">
        <f t="shared" ref="BO90:BO121" si="26">IF($E90&lt;=$C$250,IF($E90&lt;=$E$250,IF($E90&lt;=$G$250,3,4),IF($C90&lt;=$M$250,6,7)),IF($C90&lt;=$S$250,9,IF($D90&lt;=$W$250,11,12)))</f>
        <v>4</v>
      </c>
      <c r="BP90" s="11">
        <f t="shared" ref="BP90:BP121" si="27">IF($E90&lt;=$C$251,IF($E90&lt;=$E$251,IF($E90&lt;=$G$251,3,4),IF($D90&lt;=$M$251,6,7)),IF($E90&lt;=$S$251,IF($E90&lt;=$U$251,10,11),IF($C90&lt;=$AA$251,13,14)))</f>
        <v>4</v>
      </c>
      <c r="BQ90" s="11">
        <f t="shared" ref="BQ90:BQ121" si="28">IF($E90&lt;=$C$252,IF($E90&lt;=$E$252,IF($E90&lt;=$G$252,3,4),IF($C90&lt;=$M$252,6,7)),IF($E90&lt;=$S$252,9,IF($C90&lt;=$W$252,11,12)))</f>
        <v>4</v>
      </c>
      <c r="BR90" s="11">
        <f t="shared" ref="BR90:BR121" si="29">IF($E90&lt;=$C$253,IF($E90&lt;=$E$253,IF($E90&lt;=$G$253,3,4),IF($C90&lt;=$M$253,6,7)),IF($H90&lt;=$S$253,9,10))</f>
        <v>4</v>
      </c>
      <c r="BS90" s="11">
        <f t="shared" ref="BS90:BS121" si="30">IF($E90&lt;=$C$254,IF($E90&lt;=$E$254,IF($E90&lt;=$G$254,3,4),IF($E90&lt;=$M$254,6,7)),IF($C90&lt;=$S$254,9,10))</f>
        <v>4</v>
      </c>
      <c r="BT90" s="11">
        <f t="shared" ref="BT90:BT121" si="31">IF($E90&lt;=$C$255,IF($E90&lt;=$E$255,IF($E90&lt;=$G$255,3,4),IF($E90&lt;=$M$255,6,7)),IF($E90&lt;=$S$255,IF($E90&lt;=$U$255,10,11),12))</f>
        <v>4</v>
      </c>
      <c r="BU90" s="11">
        <f t="shared" ref="BU90:BU121" si="32">IF($E90&lt;=$C$256,IF($E90&lt;=$E$256,IF($M90&lt;=$G$256,3,4),IF($C90&lt;=$M$256,6,7)),IF($E90&lt;=$S$256,IF($E90&lt;=$U$256,10,11),IF($C90&lt;=$AA$256,13,14)))</f>
        <v>3</v>
      </c>
      <c r="BV90" s="11">
        <f t="shared" ref="BV90:BV121" si="33">IF($E90&lt;=$C$257,IF($E90&lt;=$E$257,IF($E90&lt;=$G$257,3,4),IF($D90&lt;=$M$257,6,7)),IF($E90&lt;=$S$257,IF($E90&lt;=$U$257,10,11),12))</f>
        <v>4</v>
      </c>
      <c r="BW90" s="11">
        <f t="shared" ref="BW90:BW121" si="34">IF($E90&lt;=$C$258,IF($E90&lt;=$E$258,IF($E90&lt;=$G$258,3,4),IF($C90&lt;=$M$258,6,7)),IF($E90&lt;=$S$258,9,10))</f>
        <v>4</v>
      </c>
      <c r="BX90" s="11">
        <f t="shared" ref="BX90:BX121" si="35">IF($E90&lt;=$C$259,IF($E90&lt;=$E$259,IF($E90&lt;=$G$259,3,4),IF($E90&lt;=$M$259,6,7)),IF($C90&lt;=$S$259,9,10))</f>
        <v>4</v>
      </c>
      <c r="BY90" s="35">
        <f t="shared" ref="BY90:BY121" si="36">INDEX($B$263:$P$263,1,BO90+1)</f>
        <v>1064.1818181818182</v>
      </c>
      <c r="BZ90" s="35">
        <f t="shared" ref="BZ90:BZ121" si="37">INDEX($B$264:$P$264,1,BP90+1)</f>
        <v>1019.8181818181819</v>
      </c>
      <c r="CA90" s="35">
        <f t="shared" ref="CA90:CA121" si="38">INDEX($B$265:$P$265,1,BQ90+1)</f>
        <v>1010.6551724137931</v>
      </c>
      <c r="CB90" s="35">
        <f t="shared" ref="CB90:CB121" si="39">INDEX($B$266:$P$266,1,BR90+1)</f>
        <v>1067.3953488372092</v>
      </c>
      <c r="CC90" s="35">
        <f t="shared" ref="CC90:CC121" si="40">INDEX($B$267:$P$267,1,BS90+1)</f>
        <v>1186.5882352941176</v>
      </c>
      <c r="CD90" s="35">
        <f t="shared" ref="CD90:CD121" si="41">INDEX($B$268:$P$268,1,BT90+1)</f>
        <v>1025.608695652174</v>
      </c>
      <c r="CE90" s="35">
        <f t="shared" ref="CE90:CE121" si="42">INDEX($B$269:$P$269,1,BU90+1)</f>
        <v>737.21875</v>
      </c>
      <c r="CF90" s="35">
        <f t="shared" ref="CF90:CF121" si="43">INDEX($B$270:$P$270,1,BV90+1)</f>
        <v>1130.5</v>
      </c>
      <c r="CG90" s="35">
        <f t="shared" ref="CG90:CG121" si="44">INDEX($B$271:$P$271,1,BW90+1)</f>
        <v>1060.5135135135135</v>
      </c>
      <c r="CH90" s="35">
        <f t="shared" ref="CH90:CH121" si="45">INDEX($B$272:$P$272,1,BX90+1)</f>
        <v>1071.409090909091</v>
      </c>
      <c r="CI90" s="28">
        <f t="shared" ref="CI90:CI121" si="46">AVERAGE(BY90:CH90)</f>
        <v>1037.38888066199</v>
      </c>
      <c r="CJ90" s="35">
        <f t="shared" ref="CJ90:CJ121" si="47">$T90-CI90</f>
        <v>-32.388880661990015</v>
      </c>
      <c r="CK90" s="35">
        <f t="shared" ref="CK90:CK121" si="48">ABS(CJ90)</f>
        <v>32.388880661990015</v>
      </c>
      <c r="CL90" s="35">
        <f t="shared" ref="CL90:CL121" si="49">CJ90^2</f>
        <v>1049.0395905366308</v>
      </c>
      <c r="CM90" s="35">
        <f t="shared" ref="CM90:CM121" si="50">($T90-AVERAGE($T$90:$T$206))^2</f>
        <v>766313.18876470148</v>
      </c>
    </row>
    <row r="91" spans="1:91" x14ac:dyDescent="0.3">
      <c r="A91" s="4" t="str">
        <f>DATASETS!A7</f>
        <v>PRES. QUIRINO AVE.</v>
      </c>
      <c r="B91" s="4" t="str">
        <f>DATASETS!E7</f>
        <v>Training</v>
      </c>
      <c r="C91" s="9">
        <f>DATASETS!C7</f>
        <v>105118</v>
      </c>
      <c r="D91" s="4">
        <f>DATASETS!B7</f>
        <v>2017</v>
      </c>
      <c r="E91" s="6">
        <f>DATASETS!I7</f>
        <v>1005</v>
      </c>
      <c r="F91" s="9">
        <f>DATASETS!H7</f>
        <v>28.8</v>
      </c>
      <c r="G91" s="11">
        <f t="shared" si="0"/>
        <v>1</v>
      </c>
      <c r="H91" s="11">
        <f t="shared" si="0"/>
        <v>0</v>
      </c>
      <c r="I91" s="11">
        <f t="shared" si="0"/>
        <v>0</v>
      </c>
      <c r="J91" s="11">
        <f t="shared" si="0"/>
        <v>0</v>
      </c>
      <c r="K91" s="11">
        <f t="shared" si="0"/>
        <v>0</v>
      </c>
      <c r="L91" s="11">
        <f t="shared" si="0"/>
        <v>0</v>
      </c>
      <c r="M91" s="11">
        <f t="shared" si="0"/>
        <v>0</v>
      </c>
      <c r="N91" s="11">
        <f t="shared" si="0"/>
        <v>0</v>
      </c>
      <c r="O91" s="11">
        <f t="shared" si="0"/>
        <v>0</v>
      </c>
      <c r="P91" s="11">
        <f t="shared" si="0"/>
        <v>0</v>
      </c>
      <c r="Q91" s="11">
        <f t="shared" si="0"/>
        <v>0</v>
      </c>
      <c r="R91" s="11">
        <f t="shared" si="0"/>
        <v>0</v>
      </c>
      <c r="S91" s="11">
        <f t="shared" si="0"/>
        <v>0</v>
      </c>
      <c r="T91" s="6">
        <f>DATASETS!D7</f>
        <v>868</v>
      </c>
      <c r="U91" s="37">
        <v>1</v>
      </c>
      <c r="V91" s="37">
        <v>0</v>
      </c>
      <c r="W91" s="37">
        <v>0</v>
      </c>
      <c r="X91" s="37">
        <v>1</v>
      </c>
      <c r="Y91" s="37">
        <v>1</v>
      </c>
      <c r="Z91" s="37">
        <v>1</v>
      </c>
      <c r="AA91" s="37">
        <v>3</v>
      </c>
      <c r="AB91" s="37">
        <v>1</v>
      </c>
      <c r="AC91" s="37">
        <v>2</v>
      </c>
      <c r="AD91" s="37">
        <v>0</v>
      </c>
      <c r="AE91" s="11">
        <f t="shared" si="1"/>
        <v>4</v>
      </c>
      <c r="AF91" s="11">
        <f t="shared" si="2"/>
        <v>3</v>
      </c>
      <c r="AG91" s="11">
        <f t="shared" si="3"/>
        <v>4</v>
      </c>
      <c r="AH91" s="11">
        <f t="shared" si="4"/>
        <v>3</v>
      </c>
      <c r="AI91" s="11">
        <f t="shared" si="5"/>
        <v>4</v>
      </c>
      <c r="AJ91" s="11">
        <f t="shared" si="6"/>
        <v>3</v>
      </c>
      <c r="AK91" s="11">
        <f t="shared" si="7"/>
        <v>4</v>
      </c>
      <c r="AL91" s="11">
        <f t="shared" si="8"/>
        <v>4</v>
      </c>
      <c r="AM91" s="11">
        <f t="shared" si="9"/>
        <v>4</v>
      </c>
      <c r="AN91" s="11">
        <f t="shared" si="10"/>
        <v>3</v>
      </c>
      <c r="AO91" s="35">
        <f t="shared" si="11"/>
        <v>920.9375</v>
      </c>
      <c r="AP91" s="35">
        <f t="shared" si="12"/>
        <v>879.5</v>
      </c>
      <c r="AQ91" s="35">
        <f t="shared" si="13"/>
        <v>800.71794871794873</v>
      </c>
      <c r="AR91" s="35">
        <f t="shared" si="14"/>
        <v>668.6</v>
      </c>
      <c r="AS91" s="35">
        <f t="shared" si="15"/>
        <v>938.71428571428567</v>
      </c>
      <c r="AT91" s="35">
        <f t="shared" si="16"/>
        <v>730.06451612903231</v>
      </c>
      <c r="AU91" s="35">
        <f t="shared" si="17"/>
        <v>763.24242424242425</v>
      </c>
      <c r="AV91" s="35">
        <f t="shared" si="18"/>
        <v>986.22580645161293</v>
      </c>
      <c r="AW91" s="35">
        <f t="shared" si="19"/>
        <v>838.3125</v>
      </c>
      <c r="AX91" s="35">
        <f t="shared" si="20"/>
        <v>889.97222222222217</v>
      </c>
      <c r="AY91" s="28">
        <f t="shared" si="21"/>
        <v>841.62872034775251</v>
      </c>
      <c r="AZ91" s="35">
        <f t="shared" si="22"/>
        <v>26.371279652247495</v>
      </c>
      <c r="BA91" s="35">
        <f t="shared" si="23"/>
        <v>26.371279652247495</v>
      </c>
      <c r="BB91" s="35">
        <f t="shared" si="24"/>
        <v>695.44439049704272</v>
      </c>
      <c r="BC91" s="35">
        <f t="shared" si="25"/>
        <v>1024939.915260428</v>
      </c>
      <c r="BE91" s="37">
        <v>1</v>
      </c>
      <c r="BF91" s="37">
        <v>0</v>
      </c>
      <c r="BG91" s="37">
        <v>0</v>
      </c>
      <c r="BH91" s="37">
        <v>1</v>
      </c>
      <c r="BI91" s="37">
        <v>1</v>
      </c>
      <c r="BJ91" s="37">
        <v>1</v>
      </c>
      <c r="BK91" s="37">
        <v>3</v>
      </c>
      <c r="BL91" s="37">
        <v>1</v>
      </c>
      <c r="BM91" s="37">
        <v>2</v>
      </c>
      <c r="BN91" s="37">
        <v>0</v>
      </c>
      <c r="BO91" s="11">
        <f t="shared" si="26"/>
        <v>4</v>
      </c>
      <c r="BP91" s="11">
        <f t="shared" si="27"/>
        <v>4</v>
      </c>
      <c r="BQ91" s="11">
        <f t="shared" si="28"/>
        <v>4</v>
      </c>
      <c r="BR91" s="11">
        <f t="shared" si="29"/>
        <v>4</v>
      </c>
      <c r="BS91" s="11">
        <f t="shared" si="30"/>
        <v>4</v>
      </c>
      <c r="BT91" s="11">
        <f t="shared" si="31"/>
        <v>4</v>
      </c>
      <c r="BU91" s="11">
        <f t="shared" si="32"/>
        <v>3</v>
      </c>
      <c r="BV91" s="11">
        <f t="shared" si="33"/>
        <v>4</v>
      </c>
      <c r="BW91" s="11">
        <f t="shared" si="34"/>
        <v>4</v>
      </c>
      <c r="BX91" s="11">
        <f t="shared" si="35"/>
        <v>4</v>
      </c>
      <c r="BY91" s="35">
        <f t="shared" si="36"/>
        <v>1064.1818181818182</v>
      </c>
      <c r="BZ91" s="35">
        <f t="shared" si="37"/>
        <v>1019.8181818181819</v>
      </c>
      <c r="CA91" s="35">
        <f t="shared" si="38"/>
        <v>1010.6551724137931</v>
      </c>
      <c r="CB91" s="35">
        <f t="shared" si="39"/>
        <v>1067.3953488372092</v>
      </c>
      <c r="CC91" s="35">
        <f t="shared" si="40"/>
        <v>1186.5882352941176</v>
      </c>
      <c r="CD91" s="35">
        <f t="shared" si="41"/>
        <v>1025.608695652174</v>
      </c>
      <c r="CE91" s="35">
        <f t="shared" si="42"/>
        <v>737.21875</v>
      </c>
      <c r="CF91" s="35">
        <f t="shared" si="43"/>
        <v>1130.5</v>
      </c>
      <c r="CG91" s="35">
        <f t="shared" si="44"/>
        <v>1060.5135135135135</v>
      </c>
      <c r="CH91" s="35">
        <f t="shared" si="45"/>
        <v>1071.409090909091</v>
      </c>
      <c r="CI91" s="28">
        <f t="shared" si="46"/>
        <v>1037.38888066199</v>
      </c>
      <c r="CJ91" s="35">
        <f t="shared" si="47"/>
        <v>-169.38888066199002</v>
      </c>
      <c r="CK91" s="35">
        <f t="shared" si="48"/>
        <v>169.38888066199002</v>
      </c>
      <c r="CL91" s="35">
        <f t="shared" si="49"/>
        <v>28692.592891921893</v>
      </c>
      <c r="CM91" s="35">
        <f t="shared" si="50"/>
        <v>1024939.915260428</v>
      </c>
    </row>
    <row r="92" spans="1:91" x14ac:dyDescent="0.3">
      <c r="A92" s="4" t="str">
        <f>DATASETS!A8</f>
        <v>PRES. QUIRINO AVE.</v>
      </c>
      <c r="B92" s="4" t="str">
        <f>DATASETS!E8</f>
        <v>Training</v>
      </c>
      <c r="C92" s="9">
        <f>DATASETS!C8</f>
        <v>108592</v>
      </c>
      <c r="D92" s="4">
        <f>DATASETS!B8</f>
        <v>2018</v>
      </c>
      <c r="E92" s="6">
        <f>DATASETS!I8</f>
        <v>868</v>
      </c>
      <c r="F92" s="9">
        <f>DATASETS!H8</f>
        <v>28.8</v>
      </c>
      <c r="G92" s="11">
        <f t="shared" si="0"/>
        <v>1</v>
      </c>
      <c r="H92" s="11">
        <f t="shared" si="0"/>
        <v>0</v>
      </c>
      <c r="I92" s="11">
        <f t="shared" si="0"/>
        <v>0</v>
      </c>
      <c r="J92" s="11">
        <f t="shared" si="0"/>
        <v>0</v>
      </c>
      <c r="K92" s="11">
        <f t="shared" si="0"/>
        <v>0</v>
      </c>
      <c r="L92" s="11">
        <f t="shared" si="0"/>
        <v>0</v>
      </c>
      <c r="M92" s="11">
        <f t="shared" si="0"/>
        <v>0</v>
      </c>
      <c r="N92" s="11">
        <f t="shared" si="0"/>
        <v>0</v>
      </c>
      <c r="O92" s="11">
        <f t="shared" si="0"/>
        <v>0</v>
      </c>
      <c r="P92" s="11">
        <f t="shared" si="0"/>
        <v>0</v>
      </c>
      <c r="Q92" s="11">
        <f t="shared" si="0"/>
        <v>0</v>
      </c>
      <c r="R92" s="11">
        <f t="shared" si="0"/>
        <v>0</v>
      </c>
      <c r="S92" s="11">
        <f t="shared" si="0"/>
        <v>0</v>
      </c>
      <c r="T92" s="6">
        <f>DATASETS!D8</f>
        <v>953</v>
      </c>
      <c r="U92" s="37">
        <v>1</v>
      </c>
      <c r="V92" s="37">
        <v>2</v>
      </c>
      <c r="W92" s="37">
        <v>2</v>
      </c>
      <c r="X92" s="37">
        <v>1</v>
      </c>
      <c r="Y92" s="37">
        <v>2</v>
      </c>
      <c r="Z92" s="37">
        <v>1</v>
      </c>
      <c r="AA92" s="37">
        <v>3</v>
      </c>
      <c r="AB92" s="37">
        <v>1</v>
      </c>
      <c r="AC92" s="37">
        <v>0</v>
      </c>
      <c r="AD92" s="37">
        <v>1</v>
      </c>
      <c r="AE92" s="11">
        <f t="shared" si="1"/>
        <v>4</v>
      </c>
      <c r="AF92" s="11">
        <f t="shared" si="2"/>
        <v>3</v>
      </c>
      <c r="AG92" s="11">
        <f t="shared" si="3"/>
        <v>4</v>
      </c>
      <c r="AH92" s="11">
        <f t="shared" si="4"/>
        <v>3</v>
      </c>
      <c r="AI92" s="11">
        <f t="shared" si="5"/>
        <v>4</v>
      </c>
      <c r="AJ92" s="11">
        <f t="shared" si="6"/>
        <v>4</v>
      </c>
      <c r="AK92" s="11">
        <f t="shared" si="7"/>
        <v>4</v>
      </c>
      <c r="AL92" s="11">
        <f t="shared" si="8"/>
        <v>4</v>
      </c>
      <c r="AM92" s="11">
        <f t="shared" si="9"/>
        <v>4</v>
      </c>
      <c r="AN92" s="11">
        <f t="shared" si="10"/>
        <v>3</v>
      </c>
      <c r="AO92" s="35">
        <f t="shared" si="11"/>
        <v>920.9375</v>
      </c>
      <c r="AP92" s="35">
        <f t="shared" si="12"/>
        <v>879.5</v>
      </c>
      <c r="AQ92" s="35">
        <f t="shared" si="13"/>
        <v>800.71794871794873</v>
      </c>
      <c r="AR92" s="35">
        <f t="shared" si="14"/>
        <v>668.6</v>
      </c>
      <c r="AS92" s="35">
        <f t="shared" si="15"/>
        <v>938.71428571428567</v>
      </c>
      <c r="AT92" s="35">
        <f t="shared" si="16"/>
        <v>516.90476190476193</v>
      </c>
      <c r="AU92" s="35">
        <f t="shared" si="17"/>
        <v>763.24242424242425</v>
      </c>
      <c r="AV92" s="35">
        <f t="shared" si="18"/>
        <v>986.22580645161293</v>
      </c>
      <c r="AW92" s="35">
        <f t="shared" si="19"/>
        <v>838.3125</v>
      </c>
      <c r="AX92" s="35">
        <f t="shared" si="20"/>
        <v>889.97222222222217</v>
      </c>
      <c r="AY92" s="28">
        <f t="shared" si="21"/>
        <v>820.31274492532543</v>
      </c>
      <c r="AZ92" s="35">
        <f t="shared" si="22"/>
        <v>132.68725507467457</v>
      </c>
      <c r="BA92" s="35">
        <f t="shared" si="23"/>
        <v>132.68725507467457</v>
      </c>
      <c r="BB92" s="35">
        <f t="shared" si="24"/>
        <v>17605.907659251752</v>
      </c>
      <c r="BC92" s="35">
        <f t="shared" si="25"/>
        <v>860058.07765359036</v>
      </c>
      <c r="BE92" s="37">
        <v>1</v>
      </c>
      <c r="BF92" s="37">
        <v>2</v>
      </c>
      <c r="BG92" s="37">
        <v>2</v>
      </c>
      <c r="BH92" s="37">
        <v>1</v>
      </c>
      <c r="BI92" s="37">
        <v>2</v>
      </c>
      <c r="BJ92" s="37">
        <v>1</v>
      </c>
      <c r="BK92" s="37">
        <v>3</v>
      </c>
      <c r="BL92" s="37">
        <v>1</v>
      </c>
      <c r="BM92" s="37">
        <v>0</v>
      </c>
      <c r="BN92" s="37">
        <v>1</v>
      </c>
      <c r="BO92" s="11">
        <f t="shared" si="26"/>
        <v>4</v>
      </c>
      <c r="BP92" s="11">
        <f t="shared" si="27"/>
        <v>4</v>
      </c>
      <c r="BQ92" s="11">
        <f t="shared" si="28"/>
        <v>4</v>
      </c>
      <c r="BR92" s="11">
        <f t="shared" si="29"/>
        <v>4</v>
      </c>
      <c r="BS92" s="11">
        <f t="shared" si="30"/>
        <v>4</v>
      </c>
      <c r="BT92" s="11">
        <f t="shared" si="31"/>
        <v>4</v>
      </c>
      <c r="BU92" s="11">
        <f t="shared" si="32"/>
        <v>3</v>
      </c>
      <c r="BV92" s="11">
        <f t="shared" si="33"/>
        <v>4</v>
      </c>
      <c r="BW92" s="11">
        <f t="shared" si="34"/>
        <v>4</v>
      </c>
      <c r="BX92" s="11">
        <f t="shared" si="35"/>
        <v>4</v>
      </c>
      <c r="BY92" s="35">
        <f t="shared" si="36"/>
        <v>1064.1818181818182</v>
      </c>
      <c r="BZ92" s="35">
        <f t="shared" si="37"/>
        <v>1019.8181818181819</v>
      </c>
      <c r="CA92" s="35">
        <f t="shared" si="38"/>
        <v>1010.6551724137931</v>
      </c>
      <c r="CB92" s="35">
        <f t="shared" si="39"/>
        <v>1067.3953488372092</v>
      </c>
      <c r="CC92" s="35">
        <f t="shared" si="40"/>
        <v>1186.5882352941176</v>
      </c>
      <c r="CD92" s="35">
        <f t="shared" si="41"/>
        <v>1025.608695652174</v>
      </c>
      <c r="CE92" s="35">
        <f t="shared" si="42"/>
        <v>737.21875</v>
      </c>
      <c r="CF92" s="35">
        <f t="shared" si="43"/>
        <v>1130.5</v>
      </c>
      <c r="CG92" s="35">
        <f t="shared" si="44"/>
        <v>1060.5135135135135</v>
      </c>
      <c r="CH92" s="35">
        <f t="shared" si="45"/>
        <v>1071.409090909091</v>
      </c>
      <c r="CI92" s="28">
        <f t="shared" si="46"/>
        <v>1037.38888066199</v>
      </c>
      <c r="CJ92" s="35">
        <f t="shared" si="47"/>
        <v>-84.388880661990015</v>
      </c>
      <c r="CK92" s="35">
        <f t="shared" si="48"/>
        <v>84.388880661990015</v>
      </c>
      <c r="CL92" s="35">
        <f t="shared" si="49"/>
        <v>7121.483179383592</v>
      </c>
      <c r="CM92" s="35">
        <f t="shared" si="50"/>
        <v>860058.07765359036</v>
      </c>
    </row>
    <row r="93" spans="1:91" x14ac:dyDescent="0.3">
      <c r="A93" s="4" t="str">
        <f>DATASETS!A9</f>
        <v>PRES. QUIRINO AVE.</v>
      </c>
      <c r="B93" s="4" t="str">
        <f>DATASETS!E9</f>
        <v>Training</v>
      </c>
      <c r="C93" s="9">
        <f>DATASETS!C9</f>
        <v>116767</v>
      </c>
      <c r="D93" s="4">
        <f>DATASETS!B9</f>
        <v>2019</v>
      </c>
      <c r="E93" s="6">
        <f>DATASETS!I9</f>
        <v>953</v>
      </c>
      <c r="F93" s="9">
        <f>DATASETS!H9</f>
        <v>28.8</v>
      </c>
      <c r="G93" s="11">
        <f t="shared" si="0"/>
        <v>1</v>
      </c>
      <c r="H93" s="11">
        <f t="shared" si="0"/>
        <v>0</v>
      </c>
      <c r="I93" s="11">
        <f t="shared" si="0"/>
        <v>0</v>
      </c>
      <c r="J93" s="11">
        <f t="shared" si="0"/>
        <v>0</v>
      </c>
      <c r="K93" s="11">
        <f t="shared" si="0"/>
        <v>0</v>
      </c>
      <c r="L93" s="11">
        <f t="shared" si="0"/>
        <v>0</v>
      </c>
      <c r="M93" s="11">
        <f t="shared" si="0"/>
        <v>0</v>
      </c>
      <c r="N93" s="11">
        <f t="shared" si="0"/>
        <v>0</v>
      </c>
      <c r="O93" s="11">
        <f t="shared" si="0"/>
        <v>0</v>
      </c>
      <c r="P93" s="11">
        <f t="shared" si="0"/>
        <v>0</v>
      </c>
      <c r="Q93" s="11">
        <f t="shared" si="0"/>
        <v>0</v>
      </c>
      <c r="R93" s="11">
        <f t="shared" si="0"/>
        <v>0</v>
      </c>
      <c r="S93" s="11">
        <f t="shared" si="0"/>
        <v>0</v>
      </c>
      <c r="T93" s="6">
        <f>DATASETS!D9</f>
        <v>1127</v>
      </c>
      <c r="U93" s="37">
        <v>1</v>
      </c>
      <c r="V93" s="37">
        <v>3</v>
      </c>
      <c r="W93" s="37">
        <v>1</v>
      </c>
      <c r="X93" s="37">
        <v>3</v>
      </c>
      <c r="Y93" s="37">
        <v>1</v>
      </c>
      <c r="Z93" s="37">
        <v>0</v>
      </c>
      <c r="AA93" s="37">
        <v>0</v>
      </c>
      <c r="AB93" s="37">
        <v>1</v>
      </c>
      <c r="AC93" s="37">
        <v>3</v>
      </c>
      <c r="AD93" s="37">
        <v>1</v>
      </c>
      <c r="AE93" s="11">
        <f t="shared" si="1"/>
        <v>4</v>
      </c>
      <c r="AF93" s="11">
        <f t="shared" si="2"/>
        <v>3</v>
      </c>
      <c r="AG93" s="11">
        <f t="shared" si="3"/>
        <v>4</v>
      </c>
      <c r="AH93" s="11">
        <f t="shared" si="4"/>
        <v>4</v>
      </c>
      <c r="AI93" s="11">
        <f t="shared" si="5"/>
        <v>4</v>
      </c>
      <c r="AJ93" s="11">
        <f t="shared" si="6"/>
        <v>4</v>
      </c>
      <c r="AK93" s="11">
        <f t="shared" si="7"/>
        <v>4</v>
      </c>
      <c r="AL93" s="11">
        <f t="shared" si="8"/>
        <v>4</v>
      </c>
      <c r="AM93" s="11">
        <f t="shared" si="9"/>
        <v>4</v>
      </c>
      <c r="AN93" s="11">
        <f t="shared" si="10"/>
        <v>4</v>
      </c>
      <c r="AO93" s="35">
        <f t="shared" si="11"/>
        <v>920.9375</v>
      </c>
      <c r="AP93" s="35">
        <f t="shared" si="12"/>
        <v>879.5</v>
      </c>
      <c r="AQ93" s="35">
        <f t="shared" si="13"/>
        <v>800.71794871794873</v>
      </c>
      <c r="AR93" s="35">
        <f t="shared" si="14"/>
        <v>1087.8888888888889</v>
      </c>
      <c r="AS93" s="35">
        <f t="shared" si="15"/>
        <v>938.71428571428567</v>
      </c>
      <c r="AT93" s="35">
        <f t="shared" si="16"/>
        <v>516.90476190476193</v>
      </c>
      <c r="AU93" s="35">
        <f t="shared" si="17"/>
        <v>763.24242424242425</v>
      </c>
      <c r="AV93" s="35">
        <f t="shared" si="18"/>
        <v>986.22580645161293</v>
      </c>
      <c r="AW93" s="35">
        <f t="shared" si="19"/>
        <v>838.3125</v>
      </c>
      <c r="AX93" s="35">
        <f t="shared" si="20"/>
        <v>556.0625</v>
      </c>
      <c r="AY93" s="28">
        <f t="shared" si="21"/>
        <v>828.85066159199232</v>
      </c>
      <c r="AZ93" s="35">
        <f t="shared" si="22"/>
        <v>298.14933840800768</v>
      </c>
      <c r="BA93" s="35">
        <f t="shared" si="23"/>
        <v>298.14933840800768</v>
      </c>
      <c r="BB93" s="35">
        <f t="shared" si="24"/>
        <v>88893.02799313268</v>
      </c>
      <c r="BC93" s="35">
        <f t="shared" si="25"/>
        <v>567601.25714076986</v>
      </c>
      <c r="BE93" s="37">
        <v>1</v>
      </c>
      <c r="BF93" s="37">
        <v>3</v>
      </c>
      <c r="BG93" s="37">
        <v>1</v>
      </c>
      <c r="BH93" s="37">
        <v>3</v>
      </c>
      <c r="BI93" s="37">
        <v>1</v>
      </c>
      <c r="BJ93" s="37">
        <v>0</v>
      </c>
      <c r="BK93" s="37">
        <v>0</v>
      </c>
      <c r="BL93" s="37">
        <v>1</v>
      </c>
      <c r="BM93" s="37">
        <v>3</v>
      </c>
      <c r="BN93" s="37">
        <v>1</v>
      </c>
      <c r="BO93" s="11">
        <f t="shared" si="26"/>
        <v>4</v>
      </c>
      <c r="BP93" s="11">
        <f t="shared" si="27"/>
        <v>4</v>
      </c>
      <c r="BQ93" s="11">
        <f t="shared" si="28"/>
        <v>4</v>
      </c>
      <c r="BR93" s="11">
        <f t="shared" si="29"/>
        <v>4</v>
      </c>
      <c r="BS93" s="11">
        <f t="shared" si="30"/>
        <v>4</v>
      </c>
      <c r="BT93" s="11">
        <f t="shared" si="31"/>
        <v>4</v>
      </c>
      <c r="BU93" s="11">
        <f t="shared" si="32"/>
        <v>3</v>
      </c>
      <c r="BV93" s="11">
        <f t="shared" si="33"/>
        <v>4</v>
      </c>
      <c r="BW93" s="11">
        <f t="shared" si="34"/>
        <v>4</v>
      </c>
      <c r="BX93" s="11">
        <f t="shared" si="35"/>
        <v>4</v>
      </c>
      <c r="BY93" s="35">
        <f t="shared" si="36"/>
        <v>1064.1818181818182</v>
      </c>
      <c r="BZ93" s="35">
        <f t="shared" si="37"/>
        <v>1019.8181818181819</v>
      </c>
      <c r="CA93" s="35">
        <f t="shared" si="38"/>
        <v>1010.6551724137931</v>
      </c>
      <c r="CB93" s="35">
        <f t="shared" si="39"/>
        <v>1067.3953488372092</v>
      </c>
      <c r="CC93" s="35">
        <f t="shared" si="40"/>
        <v>1186.5882352941176</v>
      </c>
      <c r="CD93" s="35">
        <f t="shared" si="41"/>
        <v>1025.608695652174</v>
      </c>
      <c r="CE93" s="35">
        <f t="shared" si="42"/>
        <v>737.21875</v>
      </c>
      <c r="CF93" s="35">
        <f t="shared" si="43"/>
        <v>1130.5</v>
      </c>
      <c r="CG93" s="35">
        <f t="shared" si="44"/>
        <v>1060.5135135135135</v>
      </c>
      <c r="CH93" s="35">
        <f t="shared" si="45"/>
        <v>1071.409090909091</v>
      </c>
      <c r="CI93" s="28">
        <f t="shared" si="46"/>
        <v>1037.38888066199</v>
      </c>
      <c r="CJ93" s="35">
        <f t="shared" si="47"/>
        <v>89.611119338009985</v>
      </c>
      <c r="CK93" s="35">
        <f t="shared" si="48"/>
        <v>89.611119338009985</v>
      </c>
      <c r="CL93" s="35">
        <f t="shared" si="49"/>
        <v>8030.1527090110667</v>
      </c>
      <c r="CM93" s="35">
        <f t="shared" si="50"/>
        <v>567601.25714076986</v>
      </c>
    </row>
    <row r="94" spans="1:91" x14ac:dyDescent="0.3">
      <c r="A94" s="4" t="str">
        <f>DATASETS!A10</f>
        <v>PRES. QUIRINO AVE.</v>
      </c>
      <c r="B94" s="4" t="str">
        <f>DATASETS!E10</f>
        <v>Training</v>
      </c>
      <c r="C94" s="9">
        <f>DATASETS!C10</f>
        <v>84967</v>
      </c>
      <c r="D94" s="4">
        <f>DATASETS!B10</f>
        <v>2020</v>
      </c>
      <c r="E94" s="6">
        <f>DATASETS!I10</f>
        <v>1127</v>
      </c>
      <c r="F94" s="9">
        <f>DATASETS!H10</f>
        <v>28.8</v>
      </c>
      <c r="G94" s="11">
        <f t="shared" si="0"/>
        <v>1</v>
      </c>
      <c r="H94" s="11">
        <f t="shared" si="0"/>
        <v>0</v>
      </c>
      <c r="I94" s="11">
        <f t="shared" si="0"/>
        <v>0</v>
      </c>
      <c r="J94" s="11">
        <f t="shared" si="0"/>
        <v>0</v>
      </c>
      <c r="K94" s="11">
        <f t="shared" si="0"/>
        <v>0</v>
      </c>
      <c r="L94" s="11">
        <f t="shared" si="0"/>
        <v>0</v>
      </c>
      <c r="M94" s="11">
        <f t="shared" si="0"/>
        <v>0</v>
      </c>
      <c r="N94" s="11">
        <f t="shared" si="0"/>
        <v>0</v>
      </c>
      <c r="O94" s="11">
        <f t="shared" si="0"/>
        <v>0</v>
      </c>
      <c r="P94" s="11">
        <f t="shared" si="0"/>
        <v>0</v>
      </c>
      <c r="Q94" s="11">
        <f t="shared" si="0"/>
        <v>0</v>
      </c>
      <c r="R94" s="11">
        <f t="shared" si="0"/>
        <v>0</v>
      </c>
      <c r="S94" s="11">
        <f t="shared" si="0"/>
        <v>0</v>
      </c>
      <c r="T94" s="6">
        <f>DATASETS!D10</f>
        <v>484</v>
      </c>
      <c r="U94" s="37">
        <v>2</v>
      </c>
      <c r="V94" s="37">
        <v>0</v>
      </c>
      <c r="W94" s="37">
        <v>0</v>
      </c>
      <c r="X94" s="37">
        <v>1</v>
      </c>
      <c r="Y94" s="37">
        <v>0</v>
      </c>
      <c r="Z94" s="37">
        <v>1</v>
      </c>
      <c r="AA94" s="37">
        <v>0</v>
      </c>
      <c r="AB94" s="37">
        <v>2</v>
      </c>
      <c r="AC94" s="37">
        <v>1</v>
      </c>
      <c r="AD94" s="37">
        <v>0</v>
      </c>
      <c r="AE94" s="11">
        <f t="shared" si="1"/>
        <v>3</v>
      </c>
      <c r="AF94" s="11">
        <f t="shared" si="2"/>
        <v>3</v>
      </c>
      <c r="AG94" s="11">
        <f t="shared" si="3"/>
        <v>3</v>
      </c>
      <c r="AH94" s="11">
        <f t="shared" si="4"/>
        <v>3</v>
      </c>
      <c r="AI94" s="11">
        <f t="shared" si="5"/>
        <v>3</v>
      </c>
      <c r="AJ94" s="11">
        <f t="shared" si="6"/>
        <v>3</v>
      </c>
      <c r="AK94" s="11">
        <f t="shared" si="7"/>
        <v>4</v>
      </c>
      <c r="AL94" s="11">
        <f t="shared" si="8"/>
        <v>3</v>
      </c>
      <c r="AM94" s="11">
        <f t="shared" si="9"/>
        <v>4</v>
      </c>
      <c r="AN94" s="11">
        <f t="shared" si="10"/>
        <v>3</v>
      </c>
      <c r="AO94" s="35">
        <f t="shared" si="11"/>
        <v>600.81818181818187</v>
      </c>
      <c r="AP94" s="35">
        <f t="shared" si="12"/>
        <v>879.5</v>
      </c>
      <c r="AQ94" s="35">
        <f t="shared" si="13"/>
        <v>558</v>
      </c>
      <c r="AR94" s="35">
        <f t="shared" si="14"/>
        <v>668.6</v>
      </c>
      <c r="AS94" s="35">
        <f t="shared" si="15"/>
        <v>609.80952380952385</v>
      </c>
      <c r="AT94" s="35">
        <f t="shared" si="16"/>
        <v>730.06451612903231</v>
      </c>
      <c r="AU94" s="35">
        <f t="shared" si="17"/>
        <v>763.24242424242425</v>
      </c>
      <c r="AV94" s="35">
        <f t="shared" si="18"/>
        <v>703.24</v>
      </c>
      <c r="AW94" s="35">
        <f t="shared" si="19"/>
        <v>838.3125</v>
      </c>
      <c r="AX94" s="35">
        <f t="shared" si="20"/>
        <v>889.97222222222217</v>
      </c>
      <c r="AY94" s="28">
        <f t="shared" si="21"/>
        <v>724.15593682213841</v>
      </c>
      <c r="AZ94" s="35">
        <f t="shared" si="22"/>
        <v>-240.15593682213841</v>
      </c>
      <c r="BA94" s="35">
        <f t="shared" si="23"/>
        <v>240.15593682213841</v>
      </c>
      <c r="BB94" s="35">
        <f t="shared" si="24"/>
        <v>57674.873990918939</v>
      </c>
      <c r="BC94" s="35">
        <f t="shared" si="25"/>
        <v>1949913.8639783766</v>
      </c>
      <c r="BE94" s="37">
        <v>2</v>
      </c>
      <c r="BF94" s="37">
        <v>0</v>
      </c>
      <c r="BG94" s="37">
        <v>0</v>
      </c>
      <c r="BH94" s="37">
        <v>1</v>
      </c>
      <c r="BI94" s="37">
        <v>0</v>
      </c>
      <c r="BJ94" s="37">
        <v>1</v>
      </c>
      <c r="BK94" s="37">
        <v>0</v>
      </c>
      <c r="BL94" s="37">
        <v>2</v>
      </c>
      <c r="BM94" s="37">
        <v>1</v>
      </c>
      <c r="BN94" s="37">
        <v>0</v>
      </c>
      <c r="BO94" s="11">
        <f t="shared" si="26"/>
        <v>4</v>
      </c>
      <c r="BP94" s="11">
        <f t="shared" si="27"/>
        <v>7</v>
      </c>
      <c r="BQ94" s="11">
        <f t="shared" si="28"/>
        <v>4</v>
      </c>
      <c r="BR94" s="11">
        <f t="shared" si="29"/>
        <v>4</v>
      </c>
      <c r="BS94" s="11">
        <f t="shared" si="30"/>
        <v>4</v>
      </c>
      <c r="BT94" s="11">
        <f t="shared" si="31"/>
        <v>6</v>
      </c>
      <c r="BU94" s="11">
        <f t="shared" si="32"/>
        <v>3</v>
      </c>
      <c r="BV94" s="11">
        <f t="shared" si="33"/>
        <v>4</v>
      </c>
      <c r="BW94" s="11">
        <f t="shared" si="34"/>
        <v>4</v>
      </c>
      <c r="BX94" s="11">
        <f t="shared" si="35"/>
        <v>4</v>
      </c>
      <c r="BY94" s="35">
        <f t="shared" si="36"/>
        <v>1064.1818181818182</v>
      </c>
      <c r="BZ94" s="35">
        <f t="shared" si="37"/>
        <v>1290.3333333333333</v>
      </c>
      <c r="CA94" s="35">
        <f t="shared" si="38"/>
        <v>1010.6551724137931</v>
      </c>
      <c r="CB94" s="35">
        <f t="shared" si="39"/>
        <v>1067.3953488372092</v>
      </c>
      <c r="CC94" s="35">
        <f t="shared" si="40"/>
        <v>1186.5882352941176</v>
      </c>
      <c r="CD94" s="35">
        <f t="shared" si="41"/>
        <v>1283.8095238095239</v>
      </c>
      <c r="CE94" s="35">
        <f t="shared" si="42"/>
        <v>737.21875</v>
      </c>
      <c r="CF94" s="35">
        <f t="shared" si="43"/>
        <v>1130.5</v>
      </c>
      <c r="CG94" s="35">
        <f t="shared" si="44"/>
        <v>1060.5135135135135</v>
      </c>
      <c r="CH94" s="35">
        <f t="shared" si="45"/>
        <v>1071.409090909091</v>
      </c>
      <c r="CI94" s="28">
        <f t="shared" si="46"/>
        <v>1090.26047862924</v>
      </c>
      <c r="CJ94" s="35">
        <f t="shared" si="47"/>
        <v>-606.26047862923997</v>
      </c>
      <c r="CK94" s="35">
        <f t="shared" si="48"/>
        <v>606.26047862923997</v>
      </c>
      <c r="CL94" s="35">
        <f t="shared" si="49"/>
        <v>367551.76794775511</v>
      </c>
      <c r="CM94" s="35">
        <f t="shared" si="50"/>
        <v>1949913.8639783766</v>
      </c>
    </row>
    <row r="95" spans="1:91" x14ac:dyDescent="0.3">
      <c r="A95" s="4" t="str">
        <f>DATASETS!A11</f>
        <v>PRES. QUIRINO AVE.</v>
      </c>
      <c r="B95" s="4" t="str">
        <f>DATASETS!E11</f>
        <v>Training</v>
      </c>
      <c r="C95" s="9">
        <f>DATASETS!C11</f>
        <v>72582</v>
      </c>
      <c r="D95" s="4">
        <f>DATASETS!B11</f>
        <v>2021</v>
      </c>
      <c r="E95" s="6">
        <f>DATASETS!I11</f>
        <v>484</v>
      </c>
      <c r="F95" s="9">
        <f>DATASETS!H11</f>
        <v>28.8</v>
      </c>
      <c r="G95" s="11">
        <f t="shared" si="0"/>
        <v>1</v>
      </c>
      <c r="H95" s="11">
        <f t="shared" si="0"/>
        <v>0</v>
      </c>
      <c r="I95" s="11">
        <f t="shared" si="0"/>
        <v>0</v>
      </c>
      <c r="J95" s="11">
        <f t="shared" si="0"/>
        <v>0</v>
      </c>
      <c r="K95" s="11">
        <f t="shared" si="0"/>
        <v>0</v>
      </c>
      <c r="L95" s="11">
        <f t="shared" si="0"/>
        <v>0</v>
      </c>
      <c r="M95" s="11">
        <f t="shared" si="0"/>
        <v>0</v>
      </c>
      <c r="N95" s="11">
        <f t="shared" si="0"/>
        <v>0</v>
      </c>
      <c r="O95" s="11">
        <f t="shared" si="0"/>
        <v>0</v>
      </c>
      <c r="P95" s="11">
        <f t="shared" si="0"/>
        <v>0</v>
      </c>
      <c r="Q95" s="11">
        <f t="shared" si="0"/>
        <v>0</v>
      </c>
      <c r="R95" s="11">
        <f t="shared" si="0"/>
        <v>0</v>
      </c>
      <c r="S95" s="11">
        <f t="shared" si="0"/>
        <v>0</v>
      </c>
      <c r="T95" s="6">
        <f>DATASETS!D11</f>
        <v>350</v>
      </c>
      <c r="U95" s="37">
        <v>0</v>
      </c>
      <c r="V95" s="37">
        <v>1</v>
      </c>
      <c r="W95" s="37">
        <v>0</v>
      </c>
      <c r="X95" s="37">
        <v>1</v>
      </c>
      <c r="Y95" s="37">
        <v>1</v>
      </c>
      <c r="Z95" s="37">
        <v>1</v>
      </c>
      <c r="AA95" s="37">
        <v>3</v>
      </c>
      <c r="AB95" s="37">
        <v>1</v>
      </c>
      <c r="AC95" s="37">
        <v>0</v>
      </c>
      <c r="AD95" s="37">
        <v>0</v>
      </c>
      <c r="AE95" s="11">
        <f t="shared" si="1"/>
        <v>3</v>
      </c>
      <c r="AF95" s="11">
        <f t="shared" si="2"/>
        <v>3</v>
      </c>
      <c r="AG95" s="11">
        <f t="shared" si="3"/>
        <v>3</v>
      </c>
      <c r="AH95" s="11">
        <f t="shared" si="4"/>
        <v>3</v>
      </c>
      <c r="AI95" s="11">
        <f t="shared" si="5"/>
        <v>3</v>
      </c>
      <c r="AJ95" s="11">
        <f t="shared" si="6"/>
        <v>3</v>
      </c>
      <c r="AK95" s="11">
        <f t="shared" si="7"/>
        <v>3</v>
      </c>
      <c r="AL95" s="11">
        <f t="shared" si="8"/>
        <v>3</v>
      </c>
      <c r="AM95" s="11">
        <f t="shared" si="9"/>
        <v>3</v>
      </c>
      <c r="AN95" s="11">
        <f t="shared" si="10"/>
        <v>3</v>
      </c>
      <c r="AO95" s="35">
        <f t="shared" si="11"/>
        <v>600.81818181818187</v>
      </c>
      <c r="AP95" s="35">
        <f t="shared" si="12"/>
        <v>879.5</v>
      </c>
      <c r="AQ95" s="35">
        <f t="shared" si="13"/>
        <v>558</v>
      </c>
      <c r="AR95" s="35">
        <f t="shared" si="14"/>
        <v>668.6</v>
      </c>
      <c r="AS95" s="35">
        <f t="shared" si="15"/>
        <v>609.80952380952385</v>
      </c>
      <c r="AT95" s="35">
        <f t="shared" si="16"/>
        <v>730.06451612903231</v>
      </c>
      <c r="AU95" s="35">
        <f t="shared" si="17"/>
        <v>554.66666666666663</v>
      </c>
      <c r="AV95" s="35">
        <f t="shared" si="18"/>
        <v>703.24</v>
      </c>
      <c r="AW95" s="35">
        <f t="shared" si="19"/>
        <v>252.66666666666666</v>
      </c>
      <c r="AX95" s="35">
        <f t="shared" si="20"/>
        <v>889.97222222222217</v>
      </c>
      <c r="AY95" s="28">
        <f t="shared" si="21"/>
        <v>644.73377773122934</v>
      </c>
      <c r="AZ95" s="35">
        <f t="shared" si="22"/>
        <v>-294.73377773122934</v>
      </c>
      <c r="BA95" s="35">
        <f t="shared" si="23"/>
        <v>294.73377773122934</v>
      </c>
      <c r="BB95" s="35">
        <f t="shared" si="24"/>
        <v>86867.999735721693</v>
      </c>
      <c r="BC95" s="35">
        <f t="shared" si="25"/>
        <v>2342103.2314997441</v>
      </c>
      <c r="BE95" s="37">
        <v>0</v>
      </c>
      <c r="BF95" s="37">
        <v>1</v>
      </c>
      <c r="BG95" s="37">
        <v>0</v>
      </c>
      <c r="BH95" s="37">
        <v>1</v>
      </c>
      <c r="BI95" s="37">
        <v>1</v>
      </c>
      <c r="BJ95" s="37">
        <v>1</v>
      </c>
      <c r="BK95" s="37">
        <v>3</v>
      </c>
      <c r="BL95" s="37">
        <v>1</v>
      </c>
      <c r="BM95" s="37">
        <v>0</v>
      </c>
      <c r="BN95" s="37">
        <v>0</v>
      </c>
      <c r="BO95" s="11">
        <f t="shared" si="26"/>
        <v>3</v>
      </c>
      <c r="BP95" s="11">
        <f t="shared" si="27"/>
        <v>3</v>
      </c>
      <c r="BQ95" s="11">
        <f t="shared" si="28"/>
        <v>3</v>
      </c>
      <c r="BR95" s="11">
        <f t="shared" si="29"/>
        <v>3</v>
      </c>
      <c r="BS95" s="11">
        <f t="shared" si="30"/>
        <v>3</v>
      </c>
      <c r="BT95" s="11">
        <f t="shared" si="31"/>
        <v>3</v>
      </c>
      <c r="BU95" s="11">
        <f t="shared" si="32"/>
        <v>3</v>
      </c>
      <c r="BV95" s="11">
        <f t="shared" si="33"/>
        <v>3</v>
      </c>
      <c r="BW95" s="11">
        <f t="shared" si="34"/>
        <v>3</v>
      </c>
      <c r="BX95" s="11">
        <f t="shared" si="35"/>
        <v>3</v>
      </c>
      <c r="BY95" s="35">
        <f t="shared" si="36"/>
        <v>526.31578947368416</v>
      </c>
      <c r="BZ95" s="35">
        <f t="shared" si="37"/>
        <v>549.21428571428567</v>
      </c>
      <c r="CA95" s="35">
        <f t="shared" si="38"/>
        <v>431.78571428571428</v>
      </c>
      <c r="CB95" s="35">
        <f t="shared" si="39"/>
        <v>468.77777777777777</v>
      </c>
      <c r="CC95" s="35">
        <f t="shared" si="40"/>
        <v>493.23809523809524</v>
      </c>
      <c r="CD95" s="35">
        <f t="shared" si="41"/>
        <v>501.72972972972974</v>
      </c>
      <c r="CE95" s="35">
        <f t="shared" si="42"/>
        <v>737.21875</v>
      </c>
      <c r="CF95" s="35">
        <f t="shared" si="43"/>
        <v>454.56</v>
      </c>
      <c r="CG95" s="35">
        <f t="shared" si="44"/>
        <v>490.4848484848485</v>
      </c>
      <c r="CH95" s="35">
        <f t="shared" si="45"/>
        <v>453.52</v>
      </c>
      <c r="CI95" s="28">
        <f t="shared" si="46"/>
        <v>510.68449907041361</v>
      </c>
      <c r="CJ95" s="35">
        <f t="shared" si="47"/>
        <v>-160.68449907041361</v>
      </c>
      <c r="CK95" s="35">
        <f t="shared" si="48"/>
        <v>160.68449907041361</v>
      </c>
      <c r="CL95" s="35">
        <f t="shared" si="49"/>
        <v>25819.508241509753</v>
      </c>
      <c r="CM95" s="35">
        <f t="shared" si="50"/>
        <v>2342103.2314997441</v>
      </c>
    </row>
    <row r="96" spans="1:91" x14ac:dyDescent="0.3">
      <c r="A96" s="4" t="str">
        <f>DATASETS!A12</f>
        <v>PRES. QUIRINO AVE.</v>
      </c>
      <c r="B96" s="4" t="str">
        <f>DATASETS!E12</f>
        <v>Training</v>
      </c>
      <c r="C96" s="9">
        <f>DATASETS!C12</f>
        <v>147617</v>
      </c>
      <c r="D96" s="4">
        <f>DATASETS!B12</f>
        <v>2022</v>
      </c>
      <c r="E96" s="6">
        <f>DATASETS!I12</f>
        <v>350</v>
      </c>
      <c r="F96" s="9">
        <f>DATASETS!H12</f>
        <v>28.8</v>
      </c>
      <c r="G96" s="11">
        <f t="shared" si="0"/>
        <v>1</v>
      </c>
      <c r="H96" s="11">
        <f t="shared" si="0"/>
        <v>0</v>
      </c>
      <c r="I96" s="11">
        <f t="shared" si="0"/>
        <v>0</v>
      </c>
      <c r="J96" s="11">
        <f t="shared" si="0"/>
        <v>0</v>
      </c>
      <c r="K96" s="11">
        <f t="shared" si="0"/>
        <v>0</v>
      </c>
      <c r="L96" s="11">
        <f t="shared" si="0"/>
        <v>0</v>
      </c>
      <c r="M96" s="11">
        <f t="shared" si="0"/>
        <v>0</v>
      </c>
      <c r="N96" s="11">
        <f t="shared" si="0"/>
        <v>0</v>
      </c>
      <c r="O96" s="11">
        <f t="shared" si="0"/>
        <v>0</v>
      </c>
      <c r="P96" s="11">
        <f t="shared" si="0"/>
        <v>0</v>
      </c>
      <c r="Q96" s="11">
        <f t="shared" si="0"/>
        <v>0</v>
      </c>
      <c r="R96" s="11">
        <f t="shared" si="0"/>
        <v>0</v>
      </c>
      <c r="S96" s="11">
        <f t="shared" si="0"/>
        <v>0</v>
      </c>
      <c r="T96" s="6">
        <f>DATASETS!D12</f>
        <v>808</v>
      </c>
      <c r="U96" s="37">
        <v>1</v>
      </c>
      <c r="V96" s="37">
        <v>2</v>
      </c>
      <c r="W96" s="37">
        <v>0</v>
      </c>
      <c r="X96" s="37">
        <v>0</v>
      </c>
      <c r="Y96" s="37">
        <v>0</v>
      </c>
      <c r="Z96" s="37">
        <v>1</v>
      </c>
      <c r="AA96" s="37">
        <v>1</v>
      </c>
      <c r="AB96" s="37">
        <v>1</v>
      </c>
      <c r="AC96" s="37">
        <v>1</v>
      </c>
      <c r="AD96" s="37">
        <v>0</v>
      </c>
      <c r="AE96" s="11">
        <f t="shared" si="1"/>
        <v>6</v>
      </c>
      <c r="AF96" s="11">
        <f t="shared" si="2"/>
        <v>6</v>
      </c>
      <c r="AG96" s="11">
        <f t="shared" si="3"/>
        <v>6</v>
      </c>
      <c r="AH96" s="11">
        <f t="shared" si="4"/>
        <v>6</v>
      </c>
      <c r="AI96" s="11">
        <f t="shared" si="5"/>
        <v>7</v>
      </c>
      <c r="AJ96" s="11">
        <f t="shared" si="6"/>
        <v>6</v>
      </c>
      <c r="AK96" s="11">
        <f t="shared" si="7"/>
        <v>6</v>
      </c>
      <c r="AL96" s="11">
        <f t="shared" si="8"/>
        <v>6</v>
      </c>
      <c r="AM96" s="11">
        <f t="shared" si="9"/>
        <v>6</v>
      </c>
      <c r="AN96" s="11">
        <f t="shared" si="10"/>
        <v>6</v>
      </c>
      <c r="AO96" s="35">
        <f t="shared" si="11"/>
        <v>1533.2941176470588</v>
      </c>
      <c r="AP96" s="35">
        <f t="shared" si="12"/>
        <v>1722.05</v>
      </c>
      <c r="AQ96" s="35">
        <f t="shared" si="13"/>
        <v>2078.2666666666669</v>
      </c>
      <c r="AR96" s="35">
        <f t="shared" si="14"/>
        <v>1627.9428571428571</v>
      </c>
      <c r="AS96" s="35">
        <f t="shared" si="15"/>
        <v>1820.9230769230769</v>
      </c>
      <c r="AT96" s="35">
        <f t="shared" si="16"/>
        <v>1681.7307692307693</v>
      </c>
      <c r="AU96" s="35">
        <f t="shared" si="17"/>
        <v>1434.4848484848485</v>
      </c>
      <c r="AV96" s="35">
        <f t="shared" si="18"/>
        <v>1642.45</v>
      </c>
      <c r="AW96" s="35">
        <f t="shared" si="19"/>
        <v>1284.25</v>
      </c>
      <c r="AX96" s="35">
        <f t="shared" si="20"/>
        <v>1526.8421052631579</v>
      </c>
      <c r="AY96" s="28">
        <f t="shared" si="21"/>
        <v>1635.2234441358437</v>
      </c>
      <c r="AZ96" s="35">
        <f t="shared" si="22"/>
        <v>-827.22344413584369</v>
      </c>
      <c r="BA96" s="35">
        <f t="shared" si="23"/>
        <v>827.22344413584369</v>
      </c>
      <c r="BB96" s="35">
        <f t="shared" si="24"/>
        <v>684298.62652796728</v>
      </c>
      <c r="BC96" s="35">
        <f t="shared" si="25"/>
        <v>1150027.0947476076</v>
      </c>
      <c r="BE96" s="37">
        <v>1</v>
      </c>
      <c r="BF96" s="37">
        <v>2</v>
      </c>
      <c r="BG96" s="37">
        <v>0</v>
      </c>
      <c r="BH96" s="37">
        <v>0</v>
      </c>
      <c r="BI96" s="37">
        <v>0</v>
      </c>
      <c r="BJ96" s="37">
        <v>1</v>
      </c>
      <c r="BK96" s="37">
        <v>1</v>
      </c>
      <c r="BL96" s="37">
        <v>1</v>
      </c>
      <c r="BM96" s="37">
        <v>1</v>
      </c>
      <c r="BN96" s="37">
        <v>0</v>
      </c>
      <c r="BO96" s="11">
        <f t="shared" si="26"/>
        <v>3</v>
      </c>
      <c r="BP96" s="11">
        <f t="shared" si="27"/>
        <v>3</v>
      </c>
      <c r="BQ96" s="11">
        <f t="shared" si="28"/>
        <v>3</v>
      </c>
      <c r="BR96" s="11">
        <f t="shared" si="29"/>
        <v>3</v>
      </c>
      <c r="BS96" s="11">
        <f t="shared" si="30"/>
        <v>3</v>
      </c>
      <c r="BT96" s="11">
        <f t="shared" si="31"/>
        <v>3</v>
      </c>
      <c r="BU96" s="11">
        <f t="shared" si="32"/>
        <v>3</v>
      </c>
      <c r="BV96" s="11">
        <f t="shared" si="33"/>
        <v>3</v>
      </c>
      <c r="BW96" s="11">
        <f t="shared" si="34"/>
        <v>3</v>
      </c>
      <c r="BX96" s="11">
        <f t="shared" si="35"/>
        <v>3</v>
      </c>
      <c r="BY96" s="35">
        <f t="shared" si="36"/>
        <v>526.31578947368416</v>
      </c>
      <c r="BZ96" s="35">
        <f t="shared" si="37"/>
        <v>549.21428571428567</v>
      </c>
      <c r="CA96" s="35">
        <f t="shared" si="38"/>
        <v>431.78571428571428</v>
      </c>
      <c r="CB96" s="35">
        <f t="shared" si="39"/>
        <v>468.77777777777777</v>
      </c>
      <c r="CC96" s="35">
        <f t="shared" si="40"/>
        <v>493.23809523809524</v>
      </c>
      <c r="CD96" s="35">
        <f t="shared" si="41"/>
        <v>501.72972972972974</v>
      </c>
      <c r="CE96" s="35">
        <f t="shared" si="42"/>
        <v>737.21875</v>
      </c>
      <c r="CF96" s="35">
        <f t="shared" si="43"/>
        <v>454.56</v>
      </c>
      <c r="CG96" s="35">
        <f t="shared" si="44"/>
        <v>490.4848484848485</v>
      </c>
      <c r="CH96" s="35">
        <f t="shared" si="45"/>
        <v>453.52</v>
      </c>
      <c r="CI96" s="28">
        <f t="shared" si="46"/>
        <v>510.68449907041361</v>
      </c>
      <c r="CJ96" s="35">
        <f t="shared" si="47"/>
        <v>297.31550092958639</v>
      </c>
      <c r="CK96" s="35">
        <f t="shared" si="48"/>
        <v>297.31550092958639</v>
      </c>
      <c r="CL96" s="35">
        <f t="shared" si="49"/>
        <v>88396.507093010892</v>
      </c>
      <c r="CM96" s="35">
        <f t="shared" si="50"/>
        <v>1150027.0947476076</v>
      </c>
    </row>
    <row r="97" spans="1:91" x14ac:dyDescent="0.3">
      <c r="A97" s="4" t="str">
        <f>DATASETS!A13</f>
        <v>PRES. QUIRINO AVE.</v>
      </c>
      <c r="B97" s="4" t="str">
        <f>DATASETS!E13</f>
        <v>Training</v>
      </c>
      <c r="C97" s="9">
        <f>DATASETS!C13</f>
        <v>177881</v>
      </c>
      <c r="D97" s="4">
        <f>DATASETS!B13</f>
        <v>2023</v>
      </c>
      <c r="E97" s="6">
        <f>DATASETS!I13</f>
        <v>808</v>
      </c>
      <c r="F97" s="9">
        <f>DATASETS!H13</f>
        <v>28.8</v>
      </c>
      <c r="G97" s="11">
        <f t="shared" si="0"/>
        <v>1</v>
      </c>
      <c r="H97" s="11">
        <f t="shared" si="0"/>
        <v>0</v>
      </c>
      <c r="I97" s="11">
        <f t="shared" si="0"/>
        <v>0</v>
      </c>
      <c r="J97" s="11">
        <f t="shared" si="0"/>
        <v>0</v>
      </c>
      <c r="K97" s="11">
        <f t="shared" si="0"/>
        <v>0</v>
      </c>
      <c r="L97" s="11">
        <f t="shared" si="0"/>
        <v>0</v>
      </c>
      <c r="M97" s="11">
        <f t="shared" si="0"/>
        <v>0</v>
      </c>
      <c r="N97" s="11">
        <f t="shared" si="0"/>
        <v>0</v>
      </c>
      <c r="O97" s="11">
        <f t="shared" si="0"/>
        <v>0</v>
      </c>
      <c r="P97" s="11">
        <f t="shared" si="0"/>
        <v>0</v>
      </c>
      <c r="Q97" s="11">
        <f t="shared" si="0"/>
        <v>0</v>
      </c>
      <c r="R97" s="11">
        <f t="shared" si="0"/>
        <v>0</v>
      </c>
      <c r="S97" s="11">
        <f t="shared" si="0"/>
        <v>0</v>
      </c>
      <c r="T97" s="6">
        <f>DATASETS!D13</f>
        <v>951</v>
      </c>
      <c r="U97" s="37">
        <v>0</v>
      </c>
      <c r="V97" s="37">
        <v>1</v>
      </c>
      <c r="W97" s="37">
        <v>0</v>
      </c>
      <c r="X97" s="37">
        <v>1</v>
      </c>
      <c r="Y97" s="37">
        <v>0</v>
      </c>
      <c r="Z97" s="37">
        <v>1</v>
      </c>
      <c r="AA97" s="37">
        <v>1</v>
      </c>
      <c r="AB97" s="37">
        <v>0</v>
      </c>
      <c r="AC97" s="37">
        <v>0</v>
      </c>
      <c r="AD97" s="37">
        <v>1</v>
      </c>
      <c r="AE97" s="11">
        <f t="shared" si="1"/>
        <v>6</v>
      </c>
      <c r="AF97" s="11">
        <f t="shared" si="2"/>
        <v>7</v>
      </c>
      <c r="AG97" s="11">
        <f t="shared" si="3"/>
        <v>6</v>
      </c>
      <c r="AH97" s="11">
        <f t="shared" si="4"/>
        <v>6</v>
      </c>
      <c r="AI97" s="11">
        <f t="shared" si="5"/>
        <v>7</v>
      </c>
      <c r="AJ97" s="11">
        <f t="shared" si="6"/>
        <v>6</v>
      </c>
      <c r="AK97" s="11">
        <f t="shared" si="7"/>
        <v>6</v>
      </c>
      <c r="AL97" s="11">
        <f t="shared" si="8"/>
        <v>6</v>
      </c>
      <c r="AM97" s="11">
        <f t="shared" si="9"/>
        <v>7</v>
      </c>
      <c r="AN97" s="11">
        <f t="shared" si="10"/>
        <v>6</v>
      </c>
      <c r="AO97" s="35">
        <f t="shared" si="11"/>
        <v>1533.2941176470588</v>
      </c>
      <c r="AP97" s="35">
        <f t="shared" si="12"/>
        <v>1396.0454545454545</v>
      </c>
      <c r="AQ97" s="35">
        <f t="shared" si="13"/>
        <v>2078.2666666666669</v>
      </c>
      <c r="AR97" s="35">
        <f t="shared" si="14"/>
        <v>1627.9428571428571</v>
      </c>
      <c r="AS97" s="35">
        <f t="shared" si="15"/>
        <v>1820.9230769230769</v>
      </c>
      <c r="AT97" s="35">
        <f t="shared" si="16"/>
        <v>1681.7307692307693</v>
      </c>
      <c r="AU97" s="35">
        <f t="shared" si="17"/>
        <v>1434.4848484848485</v>
      </c>
      <c r="AV97" s="35">
        <f t="shared" si="18"/>
        <v>1642.45</v>
      </c>
      <c r="AW97" s="35">
        <f t="shared" si="19"/>
        <v>1715.36</v>
      </c>
      <c r="AX97" s="35">
        <f t="shared" si="20"/>
        <v>1526.8421052631579</v>
      </c>
      <c r="AY97" s="28">
        <f t="shared" si="21"/>
        <v>1645.733989590389</v>
      </c>
      <c r="AZ97" s="35">
        <f t="shared" si="22"/>
        <v>-694.733989590389</v>
      </c>
      <c r="BA97" s="35">
        <f t="shared" si="23"/>
        <v>694.733989590389</v>
      </c>
      <c r="BB97" s="35">
        <f t="shared" si="24"/>
        <v>482655.31629217876</v>
      </c>
      <c r="BC97" s="35">
        <f t="shared" si="25"/>
        <v>863771.6503031631</v>
      </c>
      <c r="BE97" s="37">
        <v>0</v>
      </c>
      <c r="BF97" s="37">
        <v>1</v>
      </c>
      <c r="BG97" s="37">
        <v>0</v>
      </c>
      <c r="BH97" s="37">
        <v>1</v>
      </c>
      <c r="BI97" s="37">
        <v>0</v>
      </c>
      <c r="BJ97" s="37">
        <v>1</v>
      </c>
      <c r="BK97" s="37">
        <v>1</v>
      </c>
      <c r="BL97" s="37">
        <v>0</v>
      </c>
      <c r="BM97" s="37">
        <v>0</v>
      </c>
      <c r="BN97" s="37">
        <v>1</v>
      </c>
      <c r="BO97" s="11">
        <f t="shared" si="26"/>
        <v>4</v>
      </c>
      <c r="BP97" s="11">
        <f t="shared" si="27"/>
        <v>4</v>
      </c>
      <c r="BQ97" s="11">
        <f t="shared" si="28"/>
        <v>4</v>
      </c>
      <c r="BR97" s="11">
        <f t="shared" si="29"/>
        <v>4</v>
      </c>
      <c r="BS97" s="11">
        <f t="shared" si="30"/>
        <v>4</v>
      </c>
      <c r="BT97" s="11">
        <f t="shared" si="31"/>
        <v>4</v>
      </c>
      <c r="BU97" s="11">
        <f t="shared" si="32"/>
        <v>3</v>
      </c>
      <c r="BV97" s="11">
        <f t="shared" si="33"/>
        <v>4</v>
      </c>
      <c r="BW97" s="11">
        <f t="shared" si="34"/>
        <v>4</v>
      </c>
      <c r="BX97" s="11">
        <f t="shared" si="35"/>
        <v>4</v>
      </c>
      <c r="BY97" s="35">
        <f t="shared" si="36"/>
        <v>1064.1818181818182</v>
      </c>
      <c r="BZ97" s="35">
        <f t="shared" si="37"/>
        <v>1019.8181818181819</v>
      </c>
      <c r="CA97" s="35">
        <f t="shared" si="38"/>
        <v>1010.6551724137931</v>
      </c>
      <c r="CB97" s="35">
        <f t="shared" si="39"/>
        <v>1067.3953488372092</v>
      </c>
      <c r="CC97" s="35">
        <f t="shared" si="40"/>
        <v>1186.5882352941176</v>
      </c>
      <c r="CD97" s="35">
        <f t="shared" si="41"/>
        <v>1025.608695652174</v>
      </c>
      <c r="CE97" s="35">
        <f t="shared" si="42"/>
        <v>737.21875</v>
      </c>
      <c r="CF97" s="35">
        <f t="shared" si="43"/>
        <v>1130.5</v>
      </c>
      <c r="CG97" s="35">
        <f t="shared" si="44"/>
        <v>1060.5135135135135</v>
      </c>
      <c r="CH97" s="35">
        <f t="shared" si="45"/>
        <v>1071.409090909091</v>
      </c>
      <c r="CI97" s="28">
        <f t="shared" si="46"/>
        <v>1037.38888066199</v>
      </c>
      <c r="CJ97" s="35">
        <f t="shared" si="47"/>
        <v>-86.388880661990015</v>
      </c>
      <c r="CK97" s="35">
        <f t="shared" si="48"/>
        <v>86.388880661990015</v>
      </c>
      <c r="CL97" s="35">
        <f t="shared" si="49"/>
        <v>7463.038702031552</v>
      </c>
      <c r="CM97" s="35">
        <f t="shared" si="50"/>
        <v>863771.6503031631</v>
      </c>
    </row>
    <row r="98" spans="1:91" x14ac:dyDescent="0.3">
      <c r="A98" s="4" t="str">
        <f>DATASETS!A14</f>
        <v>PRES. QUIRINO AVE.</v>
      </c>
      <c r="B98" s="4" t="str">
        <f>DATASETS!E14</f>
        <v>Training</v>
      </c>
      <c r="C98" s="9">
        <f>DATASETS!C14</f>
        <v>195138</v>
      </c>
      <c r="D98" s="4">
        <f>DATASETS!B14</f>
        <v>2024</v>
      </c>
      <c r="E98" s="6">
        <f>DATASETS!I14</f>
        <v>951</v>
      </c>
      <c r="F98" s="9">
        <f>DATASETS!H14</f>
        <v>28.8</v>
      </c>
      <c r="G98" s="11">
        <f t="shared" si="0"/>
        <v>1</v>
      </c>
      <c r="H98" s="11">
        <f t="shared" si="0"/>
        <v>0</v>
      </c>
      <c r="I98" s="11">
        <f t="shared" si="0"/>
        <v>0</v>
      </c>
      <c r="J98" s="11">
        <f t="shared" si="0"/>
        <v>0</v>
      </c>
      <c r="K98" s="11">
        <f t="shared" si="0"/>
        <v>0</v>
      </c>
      <c r="L98" s="11">
        <f t="shared" si="0"/>
        <v>0</v>
      </c>
      <c r="M98" s="11">
        <f t="shared" si="0"/>
        <v>0</v>
      </c>
      <c r="N98" s="11">
        <f t="shared" si="0"/>
        <v>0</v>
      </c>
      <c r="O98" s="11">
        <f t="shared" si="0"/>
        <v>0</v>
      </c>
      <c r="P98" s="11">
        <f t="shared" si="0"/>
        <v>0</v>
      </c>
      <c r="Q98" s="11">
        <f t="shared" si="0"/>
        <v>0</v>
      </c>
      <c r="R98" s="11">
        <f t="shared" si="0"/>
        <v>0</v>
      </c>
      <c r="S98" s="11">
        <f t="shared" si="0"/>
        <v>0</v>
      </c>
      <c r="T98" s="6">
        <f>DATASETS!D14</f>
        <v>1041</v>
      </c>
      <c r="U98" s="37">
        <v>1</v>
      </c>
      <c r="V98" s="37">
        <v>0</v>
      </c>
      <c r="W98" s="37">
        <v>1</v>
      </c>
      <c r="X98" s="37">
        <v>0</v>
      </c>
      <c r="Y98" s="37">
        <v>1</v>
      </c>
      <c r="Z98" s="37">
        <v>1</v>
      </c>
      <c r="AA98" s="37">
        <v>0</v>
      </c>
      <c r="AB98" s="37">
        <v>1</v>
      </c>
      <c r="AC98" s="37">
        <v>0</v>
      </c>
      <c r="AD98" s="37">
        <v>2</v>
      </c>
      <c r="AE98" s="11">
        <f t="shared" si="1"/>
        <v>7</v>
      </c>
      <c r="AF98" s="11">
        <f t="shared" si="2"/>
        <v>7</v>
      </c>
      <c r="AG98" s="11">
        <f t="shared" si="3"/>
        <v>7</v>
      </c>
      <c r="AH98" s="11">
        <f t="shared" si="4"/>
        <v>6</v>
      </c>
      <c r="AI98" s="11">
        <f t="shared" si="5"/>
        <v>7</v>
      </c>
      <c r="AJ98" s="11">
        <f t="shared" si="6"/>
        <v>7</v>
      </c>
      <c r="AK98" s="11">
        <f t="shared" si="7"/>
        <v>7</v>
      </c>
      <c r="AL98" s="11">
        <f t="shared" si="8"/>
        <v>7</v>
      </c>
      <c r="AM98" s="11">
        <f t="shared" si="9"/>
        <v>7</v>
      </c>
      <c r="AN98" s="11">
        <f t="shared" si="10"/>
        <v>7</v>
      </c>
      <c r="AO98" s="35">
        <f t="shared" si="11"/>
        <v>1949.090909090909</v>
      </c>
      <c r="AP98" s="35">
        <f t="shared" si="12"/>
        <v>1396.0454545454545</v>
      </c>
      <c r="AQ98" s="35">
        <f t="shared" si="13"/>
        <v>1137.5999999999999</v>
      </c>
      <c r="AR98" s="35">
        <f t="shared" si="14"/>
        <v>1627.9428571428571</v>
      </c>
      <c r="AS98" s="35">
        <f t="shared" si="15"/>
        <v>1820.9230769230769</v>
      </c>
      <c r="AT98" s="35">
        <f t="shared" si="16"/>
        <v>1187.4000000000001</v>
      </c>
      <c r="AU98" s="35">
        <f t="shared" si="17"/>
        <v>2250.25</v>
      </c>
      <c r="AV98" s="35">
        <f t="shared" si="18"/>
        <v>2257.4375</v>
      </c>
      <c r="AW98" s="35">
        <f t="shared" si="19"/>
        <v>1715.36</v>
      </c>
      <c r="AX98" s="35">
        <f t="shared" si="20"/>
        <v>1973.8571428571429</v>
      </c>
      <c r="AY98" s="28">
        <f t="shared" si="21"/>
        <v>1731.5906940559441</v>
      </c>
      <c r="AZ98" s="35">
        <f t="shared" si="22"/>
        <v>-690.59069405594414</v>
      </c>
      <c r="BA98" s="35">
        <f t="shared" si="23"/>
        <v>690.59069405594414</v>
      </c>
      <c r="BB98" s="35">
        <f t="shared" si="24"/>
        <v>476915.50671667064</v>
      </c>
      <c r="BC98" s="35">
        <f t="shared" si="25"/>
        <v>704580.88107239385</v>
      </c>
      <c r="BE98" s="37">
        <v>1</v>
      </c>
      <c r="BF98" s="37">
        <v>0</v>
      </c>
      <c r="BG98" s="37">
        <v>1</v>
      </c>
      <c r="BH98" s="37">
        <v>0</v>
      </c>
      <c r="BI98" s="37">
        <v>1</v>
      </c>
      <c r="BJ98" s="37">
        <v>1</v>
      </c>
      <c r="BK98" s="37">
        <v>0</v>
      </c>
      <c r="BL98" s="37">
        <v>1</v>
      </c>
      <c r="BM98" s="37">
        <v>0</v>
      </c>
      <c r="BN98" s="37">
        <v>2</v>
      </c>
      <c r="BO98" s="11">
        <f t="shared" si="26"/>
        <v>4</v>
      </c>
      <c r="BP98" s="11">
        <f t="shared" si="27"/>
        <v>4</v>
      </c>
      <c r="BQ98" s="11">
        <f t="shared" si="28"/>
        <v>4</v>
      </c>
      <c r="BR98" s="11">
        <f t="shared" si="29"/>
        <v>4</v>
      </c>
      <c r="BS98" s="11">
        <f t="shared" si="30"/>
        <v>4</v>
      </c>
      <c r="BT98" s="11">
        <f t="shared" si="31"/>
        <v>4</v>
      </c>
      <c r="BU98" s="11">
        <f t="shared" si="32"/>
        <v>3</v>
      </c>
      <c r="BV98" s="11">
        <f t="shared" si="33"/>
        <v>4</v>
      </c>
      <c r="BW98" s="11">
        <f t="shared" si="34"/>
        <v>4</v>
      </c>
      <c r="BX98" s="11">
        <f t="shared" si="35"/>
        <v>4</v>
      </c>
      <c r="BY98" s="35">
        <f t="shared" si="36"/>
        <v>1064.1818181818182</v>
      </c>
      <c r="BZ98" s="35">
        <f t="shared" si="37"/>
        <v>1019.8181818181819</v>
      </c>
      <c r="CA98" s="35">
        <f t="shared" si="38"/>
        <v>1010.6551724137931</v>
      </c>
      <c r="CB98" s="35">
        <f t="shared" si="39"/>
        <v>1067.3953488372092</v>
      </c>
      <c r="CC98" s="35">
        <f t="shared" si="40"/>
        <v>1186.5882352941176</v>
      </c>
      <c r="CD98" s="35">
        <f t="shared" si="41"/>
        <v>1025.608695652174</v>
      </c>
      <c r="CE98" s="35">
        <f t="shared" si="42"/>
        <v>737.21875</v>
      </c>
      <c r="CF98" s="35">
        <f t="shared" si="43"/>
        <v>1130.5</v>
      </c>
      <c r="CG98" s="35">
        <f t="shared" si="44"/>
        <v>1060.5135135135135</v>
      </c>
      <c r="CH98" s="35">
        <f t="shared" si="45"/>
        <v>1071.409090909091</v>
      </c>
      <c r="CI98" s="28">
        <f t="shared" si="46"/>
        <v>1037.38888066199</v>
      </c>
      <c r="CJ98" s="35">
        <f t="shared" si="47"/>
        <v>3.6111193380099849</v>
      </c>
      <c r="CK98" s="35">
        <f t="shared" si="48"/>
        <v>3.6111193380099849</v>
      </c>
      <c r="CL98" s="35">
        <f t="shared" si="49"/>
        <v>13.040182873349671</v>
      </c>
      <c r="CM98" s="35">
        <f t="shared" si="50"/>
        <v>704580.88107239385</v>
      </c>
    </row>
    <row r="99" spans="1:91" x14ac:dyDescent="0.3">
      <c r="A99" s="4" t="str">
        <f>DATASETS!A16</f>
        <v>C.P. GARCIA /KATIPUNAN AVE. / TANDANG SORA</v>
      </c>
      <c r="B99" s="4" t="str">
        <f>DATASETS!E16</f>
        <v>Training</v>
      </c>
      <c r="C99" s="9">
        <f>DATASETS!C16</f>
        <v>218155</v>
      </c>
      <c r="D99" s="4">
        <f>DATASETS!B16</f>
        <v>2016</v>
      </c>
      <c r="E99" s="6">
        <f>DATASETS!I16</f>
        <v>4598</v>
      </c>
      <c r="F99" s="9">
        <f>DATASETS!H16</f>
        <v>438.7</v>
      </c>
      <c r="G99" s="11">
        <f t="shared" si="0"/>
        <v>0</v>
      </c>
      <c r="H99" s="11">
        <f t="shared" si="0"/>
        <v>1</v>
      </c>
      <c r="I99" s="11">
        <f t="shared" si="0"/>
        <v>0</v>
      </c>
      <c r="J99" s="11">
        <f t="shared" si="0"/>
        <v>0</v>
      </c>
      <c r="K99" s="11">
        <f t="shared" si="0"/>
        <v>0</v>
      </c>
      <c r="L99" s="11">
        <f t="shared" si="0"/>
        <v>0</v>
      </c>
      <c r="M99" s="11">
        <f t="shared" si="0"/>
        <v>0</v>
      </c>
      <c r="N99" s="11">
        <f t="shared" si="0"/>
        <v>0</v>
      </c>
      <c r="O99" s="11">
        <f t="shared" si="0"/>
        <v>0</v>
      </c>
      <c r="P99" s="11">
        <f t="shared" si="0"/>
        <v>0</v>
      </c>
      <c r="Q99" s="11">
        <f t="shared" si="0"/>
        <v>0</v>
      </c>
      <c r="R99" s="11">
        <f t="shared" si="0"/>
        <v>0</v>
      </c>
      <c r="S99" s="11">
        <f t="shared" si="0"/>
        <v>0</v>
      </c>
      <c r="T99" s="6">
        <f>DATASETS!D16</f>
        <v>5911</v>
      </c>
      <c r="U99" s="37">
        <v>2</v>
      </c>
      <c r="V99" s="37">
        <v>3</v>
      </c>
      <c r="W99" s="37">
        <v>0</v>
      </c>
      <c r="X99" s="37">
        <v>3</v>
      </c>
      <c r="Y99" s="37">
        <v>2</v>
      </c>
      <c r="Z99" s="37">
        <v>1</v>
      </c>
      <c r="AA99" s="37">
        <v>0</v>
      </c>
      <c r="AB99" s="37">
        <v>1</v>
      </c>
      <c r="AC99" s="37">
        <v>1</v>
      </c>
      <c r="AD99" s="37">
        <v>0</v>
      </c>
      <c r="AE99" s="11">
        <f t="shared" si="1"/>
        <v>9</v>
      </c>
      <c r="AF99" s="11">
        <f t="shared" si="2"/>
        <v>10</v>
      </c>
      <c r="AG99" s="11">
        <f t="shared" si="3"/>
        <v>10</v>
      </c>
      <c r="AH99" s="11">
        <f t="shared" si="4"/>
        <v>10</v>
      </c>
      <c r="AI99" s="11">
        <f t="shared" si="5"/>
        <v>9</v>
      </c>
      <c r="AJ99" s="11">
        <f t="shared" si="6"/>
        <v>11</v>
      </c>
      <c r="AK99" s="11">
        <f t="shared" si="7"/>
        <v>9</v>
      </c>
      <c r="AL99" s="11">
        <f t="shared" si="8"/>
        <v>10</v>
      </c>
      <c r="AM99" s="11">
        <f t="shared" si="9"/>
        <v>7</v>
      </c>
      <c r="AN99" s="11">
        <f t="shared" si="10"/>
        <v>10</v>
      </c>
      <c r="AO99" s="35">
        <f t="shared" si="11"/>
        <v>4308.1428571428569</v>
      </c>
      <c r="AP99" s="35">
        <f t="shared" si="12"/>
        <v>4547</v>
      </c>
      <c r="AQ99" s="35">
        <f t="shared" si="13"/>
        <v>5339.5</v>
      </c>
      <c r="AR99" s="35">
        <f t="shared" si="14"/>
        <v>6156.4</v>
      </c>
      <c r="AS99" s="35">
        <f t="shared" si="15"/>
        <v>5477.5714285714284</v>
      </c>
      <c r="AT99" s="35">
        <f t="shared" si="16"/>
        <v>1861.4285714285713</v>
      </c>
      <c r="AU99" s="35">
        <f t="shared" si="17"/>
        <v>6518.25</v>
      </c>
      <c r="AV99" s="35">
        <f t="shared" si="18"/>
        <v>6311.666666666667</v>
      </c>
      <c r="AW99" s="35">
        <f t="shared" si="19"/>
        <v>1715.36</v>
      </c>
      <c r="AX99" s="35">
        <f t="shared" si="20"/>
        <v>3516.5</v>
      </c>
      <c r="AY99" s="28">
        <f t="shared" si="21"/>
        <v>4575.1819523809518</v>
      </c>
      <c r="AZ99" s="35">
        <f t="shared" si="22"/>
        <v>1335.8180476190482</v>
      </c>
      <c r="BA99" s="35">
        <f t="shared" si="23"/>
        <v>1335.8180476190482</v>
      </c>
      <c r="BB99" s="35">
        <f t="shared" si="24"/>
        <v>1784409.8563447658</v>
      </c>
      <c r="BC99" s="35">
        <f t="shared" si="25"/>
        <v>16245791.479362994</v>
      </c>
      <c r="BE99" s="37">
        <v>2</v>
      </c>
      <c r="BF99" s="37">
        <v>3</v>
      </c>
      <c r="BG99" s="37">
        <v>0</v>
      </c>
      <c r="BH99" s="37">
        <v>3</v>
      </c>
      <c r="BI99" s="37">
        <v>2</v>
      </c>
      <c r="BJ99" s="37">
        <v>1</v>
      </c>
      <c r="BK99" s="37">
        <v>0</v>
      </c>
      <c r="BL99" s="37">
        <v>1</v>
      </c>
      <c r="BM99" s="37">
        <v>1</v>
      </c>
      <c r="BN99" s="37">
        <v>0</v>
      </c>
      <c r="BO99" s="11">
        <f t="shared" si="26"/>
        <v>9</v>
      </c>
      <c r="BP99" s="11">
        <f t="shared" si="27"/>
        <v>11</v>
      </c>
      <c r="BQ99" s="11">
        <f t="shared" si="28"/>
        <v>9</v>
      </c>
      <c r="BR99" s="11">
        <f t="shared" si="29"/>
        <v>10</v>
      </c>
      <c r="BS99" s="11">
        <f t="shared" si="30"/>
        <v>9</v>
      </c>
      <c r="BT99" s="11">
        <f t="shared" si="31"/>
        <v>11</v>
      </c>
      <c r="BU99" s="11">
        <f t="shared" si="32"/>
        <v>11</v>
      </c>
      <c r="BV99" s="11">
        <f t="shared" si="33"/>
        <v>11</v>
      </c>
      <c r="BW99" s="11">
        <f t="shared" si="34"/>
        <v>9</v>
      </c>
      <c r="BX99" s="11">
        <f t="shared" si="35"/>
        <v>7</v>
      </c>
      <c r="BY99" s="35">
        <f t="shared" si="36"/>
        <v>5918.4444444444443</v>
      </c>
      <c r="BZ99" s="35">
        <f t="shared" si="37"/>
        <v>5495</v>
      </c>
      <c r="CA99" s="35">
        <f t="shared" si="38"/>
        <v>4575</v>
      </c>
      <c r="CB99" s="35">
        <f t="shared" si="39"/>
        <v>7110.625</v>
      </c>
      <c r="CC99" s="35">
        <f t="shared" si="40"/>
        <v>6128.875</v>
      </c>
      <c r="CD99" s="35">
        <f t="shared" si="41"/>
        <v>4997.75</v>
      </c>
      <c r="CE99" s="35">
        <f t="shared" si="42"/>
        <v>5094.8</v>
      </c>
      <c r="CF99" s="35">
        <f t="shared" si="43"/>
        <v>5442.25</v>
      </c>
      <c r="CG99" s="35">
        <f t="shared" si="44"/>
        <v>5119.75</v>
      </c>
      <c r="CH99" s="35">
        <f t="shared" si="45"/>
        <v>3729.6666666666665</v>
      </c>
      <c r="CI99" s="28">
        <f t="shared" si="46"/>
        <v>5361.2161111111109</v>
      </c>
      <c r="CJ99" s="35">
        <f t="shared" si="47"/>
        <v>549.78388888888912</v>
      </c>
      <c r="CK99" s="35">
        <f t="shared" si="48"/>
        <v>549.78388888888912</v>
      </c>
      <c r="CL99" s="35">
        <f t="shared" si="49"/>
        <v>302262.32448179036</v>
      </c>
      <c r="CM99" s="35">
        <f t="shared" si="50"/>
        <v>16245791.479362994</v>
      </c>
    </row>
    <row r="100" spans="1:91" x14ac:dyDescent="0.3">
      <c r="A100" s="4" t="str">
        <f>DATASETS!A17</f>
        <v>C.P. GARCIA /KATIPUNAN AVE. / TANDANG SORA</v>
      </c>
      <c r="B100" s="4" t="str">
        <f>DATASETS!E17</f>
        <v>Training</v>
      </c>
      <c r="C100" s="9">
        <f>DATASETS!C17</f>
        <v>218751</v>
      </c>
      <c r="D100" s="4">
        <f>DATASETS!B17</f>
        <v>2017</v>
      </c>
      <c r="E100" s="6">
        <f>DATASETS!I17</f>
        <v>5911</v>
      </c>
      <c r="F100" s="9">
        <f>DATASETS!H17</f>
        <v>438.7</v>
      </c>
      <c r="G100" s="11">
        <f t="shared" ref="G100:S109" si="51">IF($A100=G$88,1,0)</f>
        <v>0</v>
      </c>
      <c r="H100" s="11">
        <f t="shared" si="51"/>
        <v>1</v>
      </c>
      <c r="I100" s="11">
        <f t="shared" si="51"/>
        <v>0</v>
      </c>
      <c r="J100" s="11">
        <f t="shared" si="51"/>
        <v>0</v>
      </c>
      <c r="K100" s="11">
        <f t="shared" si="51"/>
        <v>0</v>
      </c>
      <c r="L100" s="11">
        <f t="shared" si="51"/>
        <v>0</v>
      </c>
      <c r="M100" s="11">
        <f t="shared" si="51"/>
        <v>0</v>
      </c>
      <c r="N100" s="11">
        <f t="shared" si="51"/>
        <v>0</v>
      </c>
      <c r="O100" s="11">
        <f t="shared" si="51"/>
        <v>0</v>
      </c>
      <c r="P100" s="11">
        <f t="shared" si="51"/>
        <v>0</v>
      </c>
      <c r="Q100" s="11">
        <f t="shared" si="51"/>
        <v>0</v>
      </c>
      <c r="R100" s="11">
        <f t="shared" si="51"/>
        <v>0</v>
      </c>
      <c r="S100" s="11">
        <f t="shared" si="51"/>
        <v>0</v>
      </c>
      <c r="T100" s="6">
        <f>DATASETS!D17</f>
        <v>5794</v>
      </c>
      <c r="U100" s="37">
        <v>0</v>
      </c>
      <c r="V100" s="37">
        <v>1</v>
      </c>
      <c r="W100" s="37">
        <v>1</v>
      </c>
      <c r="X100" s="37">
        <v>1</v>
      </c>
      <c r="Y100" s="37">
        <v>0</v>
      </c>
      <c r="Z100" s="37">
        <v>0</v>
      </c>
      <c r="AA100" s="37">
        <v>1</v>
      </c>
      <c r="AB100" s="37">
        <v>0</v>
      </c>
      <c r="AC100" s="37">
        <v>0</v>
      </c>
      <c r="AD100" s="37">
        <v>2</v>
      </c>
      <c r="AE100" s="11">
        <f t="shared" si="1"/>
        <v>9</v>
      </c>
      <c r="AF100" s="11">
        <f t="shared" si="2"/>
        <v>10</v>
      </c>
      <c r="AG100" s="11">
        <f t="shared" si="3"/>
        <v>10</v>
      </c>
      <c r="AH100" s="11">
        <f t="shared" si="4"/>
        <v>10</v>
      </c>
      <c r="AI100" s="11">
        <f t="shared" si="5"/>
        <v>9</v>
      </c>
      <c r="AJ100" s="11">
        <f t="shared" si="6"/>
        <v>11</v>
      </c>
      <c r="AK100" s="11">
        <f t="shared" si="7"/>
        <v>9</v>
      </c>
      <c r="AL100" s="11">
        <f t="shared" si="8"/>
        <v>10</v>
      </c>
      <c r="AM100" s="11">
        <f t="shared" si="9"/>
        <v>7</v>
      </c>
      <c r="AN100" s="11">
        <f t="shared" si="10"/>
        <v>10</v>
      </c>
      <c r="AO100" s="35">
        <f t="shared" si="11"/>
        <v>4308.1428571428569</v>
      </c>
      <c r="AP100" s="35">
        <f t="shared" si="12"/>
        <v>4547</v>
      </c>
      <c r="AQ100" s="35">
        <f t="shared" si="13"/>
        <v>5339.5</v>
      </c>
      <c r="AR100" s="35">
        <f t="shared" si="14"/>
        <v>6156.4</v>
      </c>
      <c r="AS100" s="35">
        <f t="shared" si="15"/>
        <v>5477.5714285714284</v>
      </c>
      <c r="AT100" s="35">
        <f t="shared" si="16"/>
        <v>1861.4285714285713</v>
      </c>
      <c r="AU100" s="35">
        <f t="shared" si="17"/>
        <v>6518.25</v>
      </c>
      <c r="AV100" s="35">
        <f t="shared" si="18"/>
        <v>6311.666666666667</v>
      </c>
      <c r="AW100" s="35">
        <f t="shared" si="19"/>
        <v>1715.36</v>
      </c>
      <c r="AX100" s="35">
        <f t="shared" si="20"/>
        <v>3516.5</v>
      </c>
      <c r="AY100" s="28">
        <f t="shared" si="21"/>
        <v>4575.1819523809518</v>
      </c>
      <c r="AZ100" s="35">
        <f t="shared" si="22"/>
        <v>1218.8180476190482</v>
      </c>
      <c r="BA100" s="35">
        <f t="shared" si="23"/>
        <v>1218.8180476190482</v>
      </c>
      <c r="BB100" s="35">
        <f t="shared" si="24"/>
        <v>1485517.4332019086</v>
      </c>
      <c r="BC100" s="35">
        <f t="shared" si="25"/>
        <v>15316318.479362994</v>
      </c>
      <c r="BE100" s="37">
        <v>0</v>
      </c>
      <c r="BF100" s="37">
        <v>1</v>
      </c>
      <c r="BG100" s="37">
        <v>1</v>
      </c>
      <c r="BH100" s="37">
        <v>1</v>
      </c>
      <c r="BI100" s="37">
        <v>0</v>
      </c>
      <c r="BJ100" s="37">
        <v>0</v>
      </c>
      <c r="BK100" s="37">
        <v>1</v>
      </c>
      <c r="BL100" s="37">
        <v>0</v>
      </c>
      <c r="BM100" s="37">
        <v>0</v>
      </c>
      <c r="BN100" s="37">
        <v>2</v>
      </c>
      <c r="BO100" s="11">
        <f t="shared" si="26"/>
        <v>9</v>
      </c>
      <c r="BP100" s="11">
        <f t="shared" si="27"/>
        <v>13</v>
      </c>
      <c r="BQ100" s="11">
        <f t="shared" si="28"/>
        <v>12</v>
      </c>
      <c r="BR100" s="11">
        <f t="shared" si="29"/>
        <v>10</v>
      </c>
      <c r="BS100" s="11">
        <f t="shared" si="30"/>
        <v>9</v>
      </c>
      <c r="BT100" s="11">
        <f t="shared" si="31"/>
        <v>12</v>
      </c>
      <c r="BU100" s="11">
        <f t="shared" si="32"/>
        <v>13</v>
      </c>
      <c r="BV100" s="11">
        <f t="shared" si="33"/>
        <v>12</v>
      </c>
      <c r="BW100" s="11">
        <f t="shared" si="34"/>
        <v>10</v>
      </c>
      <c r="BX100" s="11">
        <f t="shared" si="35"/>
        <v>9</v>
      </c>
      <c r="BY100" s="35">
        <f t="shared" si="36"/>
        <v>5918.4444444444443</v>
      </c>
      <c r="BZ100" s="35">
        <f t="shared" si="37"/>
        <v>7561</v>
      </c>
      <c r="CA100" s="35">
        <f t="shared" si="38"/>
        <v>7604.25</v>
      </c>
      <c r="CB100" s="35">
        <f t="shared" si="39"/>
        <v>7110.625</v>
      </c>
      <c r="CC100" s="35">
        <f t="shared" si="40"/>
        <v>6128.875</v>
      </c>
      <c r="CD100" s="35">
        <f t="shared" si="41"/>
        <v>7763.833333333333</v>
      </c>
      <c r="CE100" s="35">
        <f t="shared" si="42"/>
        <v>6378</v>
      </c>
      <c r="CF100" s="35">
        <f t="shared" si="43"/>
        <v>7488.8888888888887</v>
      </c>
      <c r="CG100" s="35">
        <f t="shared" si="44"/>
        <v>8392</v>
      </c>
      <c r="CH100" s="35">
        <f t="shared" si="45"/>
        <v>6012.75</v>
      </c>
      <c r="CI100" s="28">
        <f t="shared" si="46"/>
        <v>7035.8666666666668</v>
      </c>
      <c r="CJ100" s="35">
        <f t="shared" si="47"/>
        <v>-1241.8666666666668</v>
      </c>
      <c r="CK100" s="35">
        <f t="shared" si="48"/>
        <v>1241.8666666666668</v>
      </c>
      <c r="CL100" s="35">
        <f t="shared" si="49"/>
        <v>1542232.817777778</v>
      </c>
      <c r="CM100" s="35">
        <f t="shared" si="50"/>
        <v>15316318.479362994</v>
      </c>
    </row>
    <row r="101" spans="1:91" x14ac:dyDescent="0.3">
      <c r="A101" s="4" t="str">
        <f>DATASETS!A18</f>
        <v>C.P. GARCIA /KATIPUNAN AVE. / TANDANG SORA</v>
      </c>
      <c r="B101" s="4" t="str">
        <f>DATASETS!E18</f>
        <v>Training</v>
      </c>
      <c r="C101" s="9">
        <f>DATASETS!C18</f>
        <v>235744</v>
      </c>
      <c r="D101" s="4">
        <f>DATASETS!B18</f>
        <v>2018</v>
      </c>
      <c r="E101" s="6">
        <f>DATASETS!I18</f>
        <v>5794</v>
      </c>
      <c r="F101" s="9">
        <f>DATASETS!H18</f>
        <v>438.7</v>
      </c>
      <c r="G101" s="11">
        <f t="shared" si="51"/>
        <v>0</v>
      </c>
      <c r="H101" s="11">
        <f t="shared" si="51"/>
        <v>1</v>
      </c>
      <c r="I101" s="11">
        <f t="shared" si="51"/>
        <v>0</v>
      </c>
      <c r="J101" s="11">
        <f t="shared" si="51"/>
        <v>0</v>
      </c>
      <c r="K101" s="11">
        <f t="shared" si="51"/>
        <v>0</v>
      </c>
      <c r="L101" s="11">
        <f t="shared" si="51"/>
        <v>0</v>
      </c>
      <c r="M101" s="11">
        <f t="shared" si="51"/>
        <v>0</v>
      </c>
      <c r="N101" s="11">
        <f t="shared" si="51"/>
        <v>0</v>
      </c>
      <c r="O101" s="11">
        <f t="shared" si="51"/>
        <v>0</v>
      </c>
      <c r="P101" s="11">
        <f t="shared" si="51"/>
        <v>0</v>
      </c>
      <c r="Q101" s="11">
        <f t="shared" si="51"/>
        <v>0</v>
      </c>
      <c r="R101" s="11">
        <f t="shared" si="51"/>
        <v>0</v>
      </c>
      <c r="S101" s="11">
        <f t="shared" si="51"/>
        <v>0</v>
      </c>
      <c r="T101" s="6">
        <f>DATASETS!D18</f>
        <v>8252</v>
      </c>
      <c r="U101" s="37">
        <v>0</v>
      </c>
      <c r="V101" s="37">
        <v>3</v>
      </c>
      <c r="W101" s="37">
        <v>2</v>
      </c>
      <c r="X101" s="37">
        <v>0</v>
      </c>
      <c r="Y101" s="37">
        <v>0</v>
      </c>
      <c r="Z101" s="37">
        <v>2</v>
      </c>
      <c r="AA101" s="37">
        <v>3</v>
      </c>
      <c r="AB101" s="37">
        <v>3</v>
      </c>
      <c r="AC101" s="37">
        <v>1</v>
      </c>
      <c r="AD101" s="37">
        <v>1</v>
      </c>
      <c r="AE101" s="11">
        <f t="shared" si="1"/>
        <v>11</v>
      </c>
      <c r="AF101" s="11">
        <f t="shared" si="2"/>
        <v>11</v>
      </c>
      <c r="AG101" s="11">
        <f t="shared" si="3"/>
        <v>13</v>
      </c>
      <c r="AH101" s="11">
        <f t="shared" si="4"/>
        <v>11</v>
      </c>
      <c r="AI101" s="11">
        <f t="shared" si="5"/>
        <v>11</v>
      </c>
      <c r="AJ101" s="11">
        <f t="shared" si="6"/>
        <v>13</v>
      </c>
      <c r="AK101" s="11">
        <f t="shared" si="7"/>
        <v>12</v>
      </c>
      <c r="AL101" s="11">
        <f t="shared" si="8"/>
        <v>11</v>
      </c>
      <c r="AM101" s="11">
        <f t="shared" si="9"/>
        <v>9</v>
      </c>
      <c r="AN101" s="11">
        <f t="shared" si="10"/>
        <v>11</v>
      </c>
      <c r="AO101" s="35">
        <f t="shared" si="11"/>
        <v>1013.2857142857143</v>
      </c>
      <c r="AP101" s="35">
        <f t="shared" si="12"/>
        <v>7272.4285714285716</v>
      </c>
      <c r="AQ101" s="35">
        <f t="shared" si="13"/>
        <v>6677.833333333333</v>
      </c>
      <c r="AR101" s="35">
        <f t="shared" si="14"/>
        <v>5356.5</v>
      </c>
      <c r="AS101" s="35">
        <f t="shared" si="15"/>
        <v>960.18181818181813</v>
      </c>
      <c r="AT101" s="35">
        <f t="shared" si="16"/>
        <v>5849.666666666667</v>
      </c>
      <c r="AU101" s="35">
        <f t="shared" si="17"/>
        <v>4402.375</v>
      </c>
      <c r="AV101" s="35">
        <f t="shared" si="18"/>
        <v>7225.2</v>
      </c>
      <c r="AW101" s="35">
        <f t="shared" si="19"/>
        <v>7189.666666666667</v>
      </c>
      <c r="AX101" s="35">
        <f t="shared" si="20"/>
        <v>6672.375</v>
      </c>
      <c r="AY101" s="28">
        <f t="shared" si="21"/>
        <v>5261.9512770562769</v>
      </c>
      <c r="AZ101" s="35">
        <f t="shared" si="22"/>
        <v>2990.0487229437231</v>
      </c>
      <c r="BA101" s="35">
        <f t="shared" si="23"/>
        <v>2990.0487229437231</v>
      </c>
      <c r="BB101" s="35">
        <f t="shared" si="24"/>
        <v>8940391.3655773886</v>
      </c>
      <c r="BC101" s="35">
        <f t="shared" si="25"/>
        <v>40597373.69303821</v>
      </c>
      <c r="BE101" s="37">
        <v>0</v>
      </c>
      <c r="BF101" s="37">
        <v>3</v>
      </c>
      <c r="BG101" s="37">
        <v>2</v>
      </c>
      <c r="BH101" s="37">
        <v>0</v>
      </c>
      <c r="BI101" s="37">
        <v>0</v>
      </c>
      <c r="BJ101" s="37">
        <v>2</v>
      </c>
      <c r="BK101" s="37">
        <v>3</v>
      </c>
      <c r="BL101" s="37">
        <v>3</v>
      </c>
      <c r="BM101" s="37">
        <v>1</v>
      </c>
      <c r="BN101" s="37">
        <v>1</v>
      </c>
      <c r="BO101" s="11">
        <f t="shared" si="26"/>
        <v>9</v>
      </c>
      <c r="BP101" s="11">
        <f t="shared" si="27"/>
        <v>13</v>
      </c>
      <c r="BQ101" s="11">
        <f t="shared" si="28"/>
        <v>12</v>
      </c>
      <c r="BR101" s="11">
        <f t="shared" si="29"/>
        <v>10</v>
      </c>
      <c r="BS101" s="11">
        <f t="shared" si="30"/>
        <v>9</v>
      </c>
      <c r="BT101" s="11">
        <f t="shared" si="31"/>
        <v>12</v>
      </c>
      <c r="BU101" s="11">
        <f t="shared" si="32"/>
        <v>14</v>
      </c>
      <c r="BV101" s="11">
        <f t="shared" si="33"/>
        <v>12</v>
      </c>
      <c r="BW101" s="11">
        <f t="shared" si="34"/>
        <v>10</v>
      </c>
      <c r="BX101" s="11">
        <f t="shared" si="35"/>
        <v>10</v>
      </c>
      <c r="BY101" s="35">
        <f t="shared" si="36"/>
        <v>5918.4444444444443</v>
      </c>
      <c r="BZ101" s="35">
        <f t="shared" si="37"/>
        <v>7561</v>
      </c>
      <c r="CA101" s="35">
        <f t="shared" si="38"/>
        <v>7604.25</v>
      </c>
      <c r="CB101" s="35">
        <f t="shared" si="39"/>
        <v>7110.625</v>
      </c>
      <c r="CC101" s="35">
        <f t="shared" si="40"/>
        <v>6128.875</v>
      </c>
      <c r="CD101" s="35">
        <f t="shared" si="41"/>
        <v>7763.833333333333</v>
      </c>
      <c r="CE101" s="35">
        <f t="shared" si="42"/>
        <v>8476.5</v>
      </c>
      <c r="CF101" s="35">
        <f t="shared" si="43"/>
        <v>7488.8888888888887</v>
      </c>
      <c r="CG101" s="35">
        <f t="shared" si="44"/>
        <v>8392</v>
      </c>
      <c r="CH101" s="35">
        <f t="shared" si="45"/>
        <v>8517.8333333333339</v>
      </c>
      <c r="CI101" s="28">
        <f t="shared" si="46"/>
        <v>7496.2250000000004</v>
      </c>
      <c r="CJ101" s="35">
        <f t="shared" si="47"/>
        <v>755.77499999999964</v>
      </c>
      <c r="CK101" s="35">
        <f t="shared" si="48"/>
        <v>755.77499999999964</v>
      </c>
      <c r="CL101" s="35">
        <f t="shared" si="49"/>
        <v>571195.8506249995</v>
      </c>
      <c r="CM101" s="35">
        <f t="shared" si="50"/>
        <v>40597373.69303821</v>
      </c>
    </row>
    <row r="102" spans="1:91" x14ac:dyDescent="0.3">
      <c r="A102" s="4" t="str">
        <f>DATASETS!A19</f>
        <v>C.P. GARCIA /KATIPUNAN AVE. / TANDANG SORA</v>
      </c>
      <c r="B102" s="4" t="str">
        <f>DATASETS!E19</f>
        <v>Training</v>
      </c>
      <c r="C102" s="9">
        <f>DATASETS!C19</f>
        <v>236060</v>
      </c>
      <c r="D102" s="4">
        <f>DATASETS!B19</f>
        <v>2019</v>
      </c>
      <c r="E102" s="6">
        <f>DATASETS!I19</f>
        <v>8252</v>
      </c>
      <c r="F102" s="9">
        <f>DATASETS!H19</f>
        <v>438.7</v>
      </c>
      <c r="G102" s="11">
        <f t="shared" si="51"/>
        <v>0</v>
      </c>
      <c r="H102" s="11">
        <f t="shared" si="51"/>
        <v>1</v>
      </c>
      <c r="I102" s="11">
        <f t="shared" si="51"/>
        <v>0</v>
      </c>
      <c r="J102" s="11">
        <f t="shared" si="51"/>
        <v>0</v>
      </c>
      <c r="K102" s="11">
        <f t="shared" si="51"/>
        <v>0</v>
      </c>
      <c r="L102" s="11">
        <f t="shared" si="51"/>
        <v>0</v>
      </c>
      <c r="M102" s="11">
        <f t="shared" si="51"/>
        <v>0</v>
      </c>
      <c r="N102" s="11">
        <f t="shared" si="51"/>
        <v>0</v>
      </c>
      <c r="O102" s="11">
        <f t="shared" si="51"/>
        <v>0</v>
      </c>
      <c r="P102" s="11">
        <f t="shared" si="51"/>
        <v>0</v>
      </c>
      <c r="Q102" s="11">
        <f t="shared" si="51"/>
        <v>0</v>
      </c>
      <c r="R102" s="11">
        <f t="shared" si="51"/>
        <v>0</v>
      </c>
      <c r="S102" s="11">
        <f t="shared" si="51"/>
        <v>0</v>
      </c>
      <c r="T102" s="6">
        <f>DATASETS!D19</f>
        <v>8735</v>
      </c>
      <c r="U102" s="37">
        <v>0</v>
      </c>
      <c r="V102" s="37">
        <v>1</v>
      </c>
      <c r="W102" s="37">
        <v>0</v>
      </c>
      <c r="X102" s="37">
        <v>2</v>
      </c>
      <c r="Y102" s="37">
        <v>0</v>
      </c>
      <c r="Z102" s="37">
        <v>0</v>
      </c>
      <c r="AA102" s="37">
        <v>2</v>
      </c>
      <c r="AB102" s="37">
        <v>1</v>
      </c>
      <c r="AC102" s="37">
        <v>2</v>
      </c>
      <c r="AD102" s="37">
        <v>2</v>
      </c>
      <c r="AE102" s="11">
        <f t="shared" si="1"/>
        <v>11</v>
      </c>
      <c r="AF102" s="11">
        <f t="shared" si="2"/>
        <v>11</v>
      </c>
      <c r="AG102" s="11">
        <f t="shared" si="3"/>
        <v>13</v>
      </c>
      <c r="AH102" s="11">
        <f t="shared" si="4"/>
        <v>11</v>
      </c>
      <c r="AI102" s="11">
        <f t="shared" si="5"/>
        <v>11</v>
      </c>
      <c r="AJ102" s="11">
        <f t="shared" si="6"/>
        <v>13</v>
      </c>
      <c r="AK102" s="11">
        <f t="shared" si="7"/>
        <v>12</v>
      </c>
      <c r="AL102" s="11">
        <f t="shared" si="8"/>
        <v>11</v>
      </c>
      <c r="AM102" s="11">
        <f t="shared" si="9"/>
        <v>9</v>
      </c>
      <c r="AN102" s="11">
        <f t="shared" si="10"/>
        <v>11</v>
      </c>
      <c r="AO102" s="35">
        <f t="shared" si="11"/>
        <v>1013.2857142857143</v>
      </c>
      <c r="AP102" s="35">
        <f t="shared" si="12"/>
        <v>7272.4285714285716</v>
      </c>
      <c r="AQ102" s="35">
        <f t="shared" si="13"/>
        <v>6677.833333333333</v>
      </c>
      <c r="AR102" s="35">
        <f t="shared" si="14"/>
        <v>5356.5</v>
      </c>
      <c r="AS102" s="35">
        <f t="shared" si="15"/>
        <v>960.18181818181813</v>
      </c>
      <c r="AT102" s="35">
        <f t="shared" si="16"/>
        <v>5849.666666666667</v>
      </c>
      <c r="AU102" s="35">
        <f t="shared" si="17"/>
        <v>4402.375</v>
      </c>
      <c r="AV102" s="35">
        <f t="shared" si="18"/>
        <v>7225.2</v>
      </c>
      <c r="AW102" s="35">
        <f t="shared" si="19"/>
        <v>7189.666666666667</v>
      </c>
      <c r="AX102" s="35">
        <f t="shared" si="20"/>
        <v>6672.375</v>
      </c>
      <c r="AY102" s="28">
        <f t="shared" si="21"/>
        <v>5261.9512770562769</v>
      </c>
      <c r="AZ102" s="35">
        <f t="shared" si="22"/>
        <v>3473.0487229437231</v>
      </c>
      <c r="BA102" s="35">
        <f t="shared" si="23"/>
        <v>3473.0487229437231</v>
      </c>
      <c r="BB102" s="35">
        <f t="shared" si="24"/>
        <v>12062067.431941025</v>
      </c>
      <c r="BC102" s="35">
        <f t="shared" si="25"/>
        <v>46985634.898166418</v>
      </c>
      <c r="BE102" s="37">
        <v>0</v>
      </c>
      <c r="BF102" s="37">
        <v>1</v>
      </c>
      <c r="BG102" s="37">
        <v>0</v>
      </c>
      <c r="BH102" s="37">
        <v>2</v>
      </c>
      <c r="BI102" s="37">
        <v>0</v>
      </c>
      <c r="BJ102" s="37">
        <v>0</v>
      </c>
      <c r="BK102" s="37">
        <v>2</v>
      </c>
      <c r="BL102" s="37">
        <v>1</v>
      </c>
      <c r="BM102" s="37">
        <v>2</v>
      </c>
      <c r="BN102" s="37">
        <v>2</v>
      </c>
      <c r="BO102" s="11">
        <f t="shared" si="26"/>
        <v>9</v>
      </c>
      <c r="BP102" s="11">
        <f t="shared" si="27"/>
        <v>14</v>
      </c>
      <c r="BQ102" s="11">
        <f t="shared" si="28"/>
        <v>12</v>
      </c>
      <c r="BR102" s="11">
        <f t="shared" si="29"/>
        <v>10</v>
      </c>
      <c r="BS102" s="11">
        <f t="shared" si="30"/>
        <v>9</v>
      </c>
      <c r="BT102" s="11">
        <f t="shared" si="31"/>
        <v>12</v>
      </c>
      <c r="BU102" s="11">
        <f t="shared" si="32"/>
        <v>14</v>
      </c>
      <c r="BV102" s="11">
        <f t="shared" si="33"/>
        <v>12</v>
      </c>
      <c r="BW102" s="11">
        <f t="shared" si="34"/>
        <v>10</v>
      </c>
      <c r="BX102" s="11">
        <f t="shared" si="35"/>
        <v>10</v>
      </c>
      <c r="BY102" s="35">
        <f t="shared" si="36"/>
        <v>5918.4444444444443</v>
      </c>
      <c r="BZ102" s="35">
        <f t="shared" si="37"/>
        <v>8401.5</v>
      </c>
      <c r="CA102" s="35">
        <f t="shared" si="38"/>
        <v>7604.25</v>
      </c>
      <c r="CB102" s="35">
        <f t="shared" si="39"/>
        <v>7110.625</v>
      </c>
      <c r="CC102" s="35">
        <f t="shared" si="40"/>
        <v>6128.875</v>
      </c>
      <c r="CD102" s="35">
        <f t="shared" si="41"/>
        <v>7763.833333333333</v>
      </c>
      <c r="CE102" s="35">
        <f t="shared" si="42"/>
        <v>8476.5</v>
      </c>
      <c r="CF102" s="35">
        <f t="shared" si="43"/>
        <v>7488.8888888888887</v>
      </c>
      <c r="CG102" s="35">
        <f t="shared" si="44"/>
        <v>8392</v>
      </c>
      <c r="CH102" s="35">
        <f t="shared" si="45"/>
        <v>8517.8333333333339</v>
      </c>
      <c r="CI102" s="28">
        <f t="shared" si="46"/>
        <v>7580.2749999999996</v>
      </c>
      <c r="CJ102" s="35">
        <f t="shared" si="47"/>
        <v>1154.7250000000004</v>
      </c>
      <c r="CK102" s="35">
        <f t="shared" si="48"/>
        <v>1154.7250000000004</v>
      </c>
      <c r="CL102" s="35">
        <f t="shared" si="49"/>
        <v>1333389.8256250008</v>
      </c>
      <c r="CM102" s="35">
        <f t="shared" si="50"/>
        <v>46985634.898166418</v>
      </c>
    </row>
    <row r="103" spans="1:91" x14ac:dyDescent="0.3">
      <c r="A103" s="4" t="str">
        <f>DATASETS!A20</f>
        <v>C.P. GARCIA /KATIPUNAN AVE. / TANDANG SORA</v>
      </c>
      <c r="B103" s="4" t="str">
        <f>DATASETS!E20</f>
        <v>Training</v>
      </c>
      <c r="C103" s="9">
        <f>DATASETS!C20</f>
        <v>192418</v>
      </c>
      <c r="D103" s="4">
        <f>DATASETS!B20</f>
        <v>2020</v>
      </c>
      <c r="E103" s="6">
        <f>DATASETS!I20</f>
        <v>8735</v>
      </c>
      <c r="F103" s="9">
        <f>DATASETS!H20</f>
        <v>438.7</v>
      </c>
      <c r="G103" s="11">
        <f t="shared" si="51"/>
        <v>0</v>
      </c>
      <c r="H103" s="11">
        <f t="shared" si="51"/>
        <v>1</v>
      </c>
      <c r="I103" s="11">
        <f t="shared" si="51"/>
        <v>0</v>
      </c>
      <c r="J103" s="11">
        <f t="shared" si="51"/>
        <v>0</v>
      </c>
      <c r="K103" s="11">
        <f t="shared" si="51"/>
        <v>0</v>
      </c>
      <c r="L103" s="11">
        <f t="shared" si="51"/>
        <v>0</v>
      </c>
      <c r="M103" s="11">
        <f t="shared" si="51"/>
        <v>0</v>
      </c>
      <c r="N103" s="11">
        <f t="shared" si="51"/>
        <v>0</v>
      </c>
      <c r="O103" s="11">
        <f t="shared" si="51"/>
        <v>0</v>
      </c>
      <c r="P103" s="11">
        <f t="shared" si="51"/>
        <v>0</v>
      </c>
      <c r="Q103" s="11">
        <f t="shared" si="51"/>
        <v>0</v>
      </c>
      <c r="R103" s="11">
        <f t="shared" si="51"/>
        <v>0</v>
      </c>
      <c r="S103" s="11">
        <f t="shared" si="51"/>
        <v>0</v>
      </c>
      <c r="T103" s="6">
        <f>DATASETS!D20</f>
        <v>5208</v>
      </c>
      <c r="U103" s="37">
        <v>1</v>
      </c>
      <c r="V103" s="37">
        <v>0</v>
      </c>
      <c r="W103" s="37">
        <v>2</v>
      </c>
      <c r="X103" s="37">
        <v>0</v>
      </c>
      <c r="Y103" s="37">
        <v>0</v>
      </c>
      <c r="Z103" s="37">
        <v>1</v>
      </c>
      <c r="AA103" s="37">
        <v>1</v>
      </c>
      <c r="AB103" s="37">
        <v>2</v>
      </c>
      <c r="AC103" s="37">
        <v>0</v>
      </c>
      <c r="AD103" s="37">
        <v>1</v>
      </c>
      <c r="AE103" s="11">
        <f t="shared" si="1"/>
        <v>7</v>
      </c>
      <c r="AF103" s="11">
        <f t="shared" si="2"/>
        <v>7</v>
      </c>
      <c r="AG103" s="11">
        <f t="shared" si="3"/>
        <v>6</v>
      </c>
      <c r="AH103" s="11">
        <f t="shared" si="4"/>
        <v>6</v>
      </c>
      <c r="AI103" s="11">
        <f t="shared" si="5"/>
        <v>7</v>
      </c>
      <c r="AJ103" s="11">
        <f t="shared" si="6"/>
        <v>6</v>
      </c>
      <c r="AK103" s="11">
        <f t="shared" si="7"/>
        <v>7</v>
      </c>
      <c r="AL103" s="11">
        <f t="shared" si="8"/>
        <v>7</v>
      </c>
      <c r="AM103" s="11">
        <f t="shared" si="9"/>
        <v>7</v>
      </c>
      <c r="AN103" s="11">
        <f t="shared" si="10"/>
        <v>7</v>
      </c>
      <c r="AO103" s="35">
        <f t="shared" si="11"/>
        <v>1949.090909090909</v>
      </c>
      <c r="AP103" s="35">
        <f t="shared" si="12"/>
        <v>1396.0454545454545</v>
      </c>
      <c r="AQ103" s="35">
        <f t="shared" si="13"/>
        <v>2078.2666666666669</v>
      </c>
      <c r="AR103" s="35">
        <f t="shared" si="14"/>
        <v>1627.9428571428571</v>
      </c>
      <c r="AS103" s="35">
        <f t="shared" si="15"/>
        <v>1820.9230769230769</v>
      </c>
      <c r="AT103" s="35">
        <f t="shared" si="16"/>
        <v>1681.7307692307693</v>
      </c>
      <c r="AU103" s="35">
        <f t="shared" si="17"/>
        <v>2250.25</v>
      </c>
      <c r="AV103" s="35">
        <f t="shared" si="18"/>
        <v>2257.4375</v>
      </c>
      <c r="AW103" s="35">
        <f t="shared" si="19"/>
        <v>1715.36</v>
      </c>
      <c r="AX103" s="35">
        <f t="shared" si="20"/>
        <v>1973.8571428571429</v>
      </c>
      <c r="AY103" s="28">
        <f t="shared" si="21"/>
        <v>1875.0904376456874</v>
      </c>
      <c r="AZ103" s="35">
        <f t="shared" si="22"/>
        <v>3332.9095623543126</v>
      </c>
      <c r="BA103" s="35">
        <f t="shared" si="23"/>
        <v>3332.9095623543126</v>
      </c>
      <c r="BB103" s="35">
        <f t="shared" si="24"/>
        <v>11108286.150832815</v>
      </c>
      <c r="BC103" s="35">
        <f t="shared" si="25"/>
        <v>11072967.26568778</v>
      </c>
      <c r="BE103" s="37">
        <v>1</v>
      </c>
      <c r="BF103" s="37">
        <v>0</v>
      </c>
      <c r="BG103" s="37">
        <v>2</v>
      </c>
      <c r="BH103" s="37">
        <v>0</v>
      </c>
      <c r="BI103" s="37">
        <v>0</v>
      </c>
      <c r="BJ103" s="37">
        <v>1</v>
      </c>
      <c r="BK103" s="37">
        <v>1</v>
      </c>
      <c r="BL103" s="37">
        <v>2</v>
      </c>
      <c r="BM103" s="37">
        <v>0</v>
      </c>
      <c r="BN103" s="37">
        <v>1</v>
      </c>
      <c r="BO103" s="11">
        <f t="shared" si="26"/>
        <v>9</v>
      </c>
      <c r="BP103" s="11">
        <f t="shared" si="27"/>
        <v>13</v>
      </c>
      <c r="BQ103" s="11">
        <f t="shared" si="28"/>
        <v>11</v>
      </c>
      <c r="BR103" s="11">
        <f t="shared" si="29"/>
        <v>10</v>
      </c>
      <c r="BS103" s="11">
        <f t="shared" si="30"/>
        <v>9</v>
      </c>
      <c r="BT103" s="11">
        <f t="shared" si="31"/>
        <v>12</v>
      </c>
      <c r="BU103" s="11">
        <f t="shared" si="32"/>
        <v>13</v>
      </c>
      <c r="BV103" s="11">
        <f t="shared" si="33"/>
        <v>12</v>
      </c>
      <c r="BW103" s="11">
        <f t="shared" si="34"/>
        <v>10</v>
      </c>
      <c r="BX103" s="11">
        <f t="shared" si="35"/>
        <v>9</v>
      </c>
      <c r="BY103" s="35">
        <f t="shared" si="36"/>
        <v>5918.4444444444443</v>
      </c>
      <c r="BZ103" s="35">
        <f t="shared" si="37"/>
        <v>7561</v>
      </c>
      <c r="CA103" s="35">
        <f t="shared" si="38"/>
        <v>5860</v>
      </c>
      <c r="CB103" s="35">
        <f t="shared" si="39"/>
        <v>7110.625</v>
      </c>
      <c r="CC103" s="35">
        <f t="shared" si="40"/>
        <v>6128.875</v>
      </c>
      <c r="CD103" s="35">
        <f t="shared" si="41"/>
        <v>7763.833333333333</v>
      </c>
      <c r="CE103" s="35">
        <f t="shared" si="42"/>
        <v>6378</v>
      </c>
      <c r="CF103" s="35">
        <f t="shared" si="43"/>
        <v>7488.8888888888887</v>
      </c>
      <c r="CG103" s="35">
        <f t="shared" si="44"/>
        <v>8392</v>
      </c>
      <c r="CH103" s="35">
        <f t="shared" si="45"/>
        <v>6012.75</v>
      </c>
      <c r="CI103" s="28">
        <f t="shared" si="46"/>
        <v>6861.4416666666675</v>
      </c>
      <c r="CJ103" s="35">
        <f t="shared" si="47"/>
        <v>-1653.4416666666675</v>
      </c>
      <c r="CK103" s="35">
        <f t="shared" si="48"/>
        <v>1653.4416666666675</v>
      </c>
      <c r="CL103" s="35">
        <f t="shared" si="49"/>
        <v>2733869.3450694471</v>
      </c>
      <c r="CM103" s="35">
        <f t="shared" si="50"/>
        <v>11072967.26568778</v>
      </c>
    </row>
    <row r="104" spans="1:91" x14ac:dyDescent="0.3">
      <c r="A104" s="4" t="str">
        <f>DATASETS!A21</f>
        <v>C.P. GARCIA /KATIPUNAN AVE. / TANDANG SORA</v>
      </c>
      <c r="B104" s="4" t="str">
        <f>DATASETS!E21</f>
        <v>Training</v>
      </c>
      <c r="C104" s="9">
        <f>DATASETS!C21</f>
        <v>212285</v>
      </c>
      <c r="D104" s="4">
        <f>DATASETS!B21</f>
        <v>2021</v>
      </c>
      <c r="E104" s="6">
        <f>DATASETS!I21</f>
        <v>5208</v>
      </c>
      <c r="F104" s="9">
        <f>DATASETS!H21</f>
        <v>438.7</v>
      </c>
      <c r="G104" s="11">
        <f t="shared" si="51"/>
        <v>0</v>
      </c>
      <c r="H104" s="11">
        <f t="shared" si="51"/>
        <v>1</v>
      </c>
      <c r="I104" s="11">
        <f t="shared" si="51"/>
        <v>0</v>
      </c>
      <c r="J104" s="11">
        <f t="shared" si="51"/>
        <v>0</v>
      </c>
      <c r="K104" s="11">
        <f t="shared" si="51"/>
        <v>0</v>
      </c>
      <c r="L104" s="11">
        <f t="shared" si="51"/>
        <v>0</v>
      </c>
      <c r="M104" s="11">
        <f t="shared" si="51"/>
        <v>0</v>
      </c>
      <c r="N104" s="11">
        <f t="shared" si="51"/>
        <v>0</v>
      </c>
      <c r="O104" s="11">
        <f t="shared" si="51"/>
        <v>0</v>
      </c>
      <c r="P104" s="11">
        <f t="shared" si="51"/>
        <v>0</v>
      </c>
      <c r="Q104" s="11">
        <f t="shared" si="51"/>
        <v>0</v>
      </c>
      <c r="R104" s="11">
        <f t="shared" si="51"/>
        <v>0</v>
      </c>
      <c r="S104" s="11">
        <f t="shared" si="51"/>
        <v>0</v>
      </c>
      <c r="T104" s="6">
        <f>DATASETS!D21</f>
        <v>5769</v>
      </c>
      <c r="U104" s="37">
        <v>3</v>
      </c>
      <c r="V104" s="37">
        <v>0</v>
      </c>
      <c r="W104" s="37">
        <v>1</v>
      </c>
      <c r="X104" s="37">
        <v>0</v>
      </c>
      <c r="Y104" s="37">
        <v>0</v>
      </c>
      <c r="Z104" s="37">
        <v>2</v>
      </c>
      <c r="AA104" s="37">
        <v>1</v>
      </c>
      <c r="AB104" s="37">
        <v>1</v>
      </c>
      <c r="AC104" s="37">
        <v>0</v>
      </c>
      <c r="AD104" s="37">
        <v>0</v>
      </c>
      <c r="AE104" s="11">
        <f t="shared" si="1"/>
        <v>9</v>
      </c>
      <c r="AF104" s="11">
        <f t="shared" si="2"/>
        <v>10</v>
      </c>
      <c r="AG104" s="11">
        <f t="shared" si="3"/>
        <v>10</v>
      </c>
      <c r="AH104" s="11">
        <f t="shared" si="4"/>
        <v>10</v>
      </c>
      <c r="AI104" s="11">
        <f t="shared" si="5"/>
        <v>9</v>
      </c>
      <c r="AJ104" s="11">
        <f t="shared" si="6"/>
        <v>10</v>
      </c>
      <c r="AK104" s="11">
        <f t="shared" si="7"/>
        <v>9</v>
      </c>
      <c r="AL104" s="11">
        <f t="shared" si="8"/>
        <v>10</v>
      </c>
      <c r="AM104" s="11">
        <f t="shared" si="9"/>
        <v>7</v>
      </c>
      <c r="AN104" s="11">
        <f t="shared" si="10"/>
        <v>10</v>
      </c>
      <c r="AO104" s="35">
        <f t="shared" si="11"/>
        <v>4308.1428571428569</v>
      </c>
      <c r="AP104" s="35">
        <f t="shared" si="12"/>
        <v>4547</v>
      </c>
      <c r="AQ104" s="35">
        <f t="shared" si="13"/>
        <v>5339.5</v>
      </c>
      <c r="AR104" s="35">
        <f t="shared" si="14"/>
        <v>6156.4</v>
      </c>
      <c r="AS104" s="35">
        <f t="shared" si="15"/>
        <v>5477.5714285714284</v>
      </c>
      <c r="AT104" s="35">
        <f t="shared" si="16"/>
        <v>3806.2</v>
      </c>
      <c r="AU104" s="35">
        <f t="shared" si="17"/>
        <v>6518.25</v>
      </c>
      <c r="AV104" s="35">
        <f t="shared" si="18"/>
        <v>6311.666666666667</v>
      </c>
      <c r="AW104" s="35">
        <f t="shared" si="19"/>
        <v>1715.36</v>
      </c>
      <c r="AX104" s="35">
        <f t="shared" si="20"/>
        <v>3516.5</v>
      </c>
      <c r="AY104" s="28">
        <f t="shared" si="21"/>
        <v>4769.6590952380948</v>
      </c>
      <c r="AZ104" s="35">
        <f t="shared" si="22"/>
        <v>999.34090476190522</v>
      </c>
      <c r="BA104" s="35">
        <f t="shared" si="23"/>
        <v>999.34090476190522</v>
      </c>
      <c r="BB104" s="35">
        <f t="shared" si="24"/>
        <v>998682.24393034331</v>
      </c>
      <c r="BC104" s="35">
        <f t="shared" si="25"/>
        <v>15121263.137482652</v>
      </c>
      <c r="BE104" s="37">
        <v>3</v>
      </c>
      <c r="BF104" s="37">
        <v>0</v>
      </c>
      <c r="BG104" s="37">
        <v>1</v>
      </c>
      <c r="BH104" s="37">
        <v>0</v>
      </c>
      <c r="BI104" s="37">
        <v>0</v>
      </c>
      <c r="BJ104" s="37">
        <v>2</v>
      </c>
      <c r="BK104" s="37">
        <v>1</v>
      </c>
      <c r="BL104" s="37">
        <v>1</v>
      </c>
      <c r="BM104" s="37">
        <v>0</v>
      </c>
      <c r="BN104" s="37">
        <v>0</v>
      </c>
      <c r="BO104" s="11">
        <f t="shared" si="26"/>
        <v>9</v>
      </c>
      <c r="BP104" s="11">
        <f t="shared" si="27"/>
        <v>11</v>
      </c>
      <c r="BQ104" s="11">
        <f t="shared" si="28"/>
        <v>11</v>
      </c>
      <c r="BR104" s="11">
        <f t="shared" si="29"/>
        <v>10</v>
      </c>
      <c r="BS104" s="11">
        <f t="shared" si="30"/>
        <v>9</v>
      </c>
      <c r="BT104" s="11">
        <f t="shared" si="31"/>
        <v>11</v>
      </c>
      <c r="BU104" s="11">
        <f t="shared" si="32"/>
        <v>11</v>
      </c>
      <c r="BV104" s="11">
        <f t="shared" si="33"/>
        <v>11</v>
      </c>
      <c r="BW104" s="11">
        <f t="shared" si="34"/>
        <v>9</v>
      </c>
      <c r="BX104" s="11">
        <f t="shared" si="35"/>
        <v>7</v>
      </c>
      <c r="BY104" s="35">
        <f t="shared" si="36"/>
        <v>5918.4444444444443</v>
      </c>
      <c r="BZ104" s="35">
        <f t="shared" si="37"/>
        <v>5495</v>
      </c>
      <c r="CA104" s="35">
        <f t="shared" si="38"/>
        <v>5860</v>
      </c>
      <c r="CB104" s="35">
        <f t="shared" si="39"/>
        <v>7110.625</v>
      </c>
      <c r="CC104" s="35">
        <f t="shared" si="40"/>
        <v>6128.875</v>
      </c>
      <c r="CD104" s="35">
        <f t="shared" si="41"/>
        <v>4997.75</v>
      </c>
      <c r="CE104" s="35">
        <f t="shared" si="42"/>
        <v>5094.8</v>
      </c>
      <c r="CF104" s="35">
        <f t="shared" si="43"/>
        <v>5442.25</v>
      </c>
      <c r="CG104" s="35">
        <f t="shared" si="44"/>
        <v>5119.75</v>
      </c>
      <c r="CH104" s="35">
        <f t="shared" si="45"/>
        <v>3729.6666666666665</v>
      </c>
      <c r="CI104" s="28">
        <f t="shared" si="46"/>
        <v>5489.7161111111109</v>
      </c>
      <c r="CJ104" s="35">
        <f t="shared" si="47"/>
        <v>279.28388888888912</v>
      </c>
      <c r="CK104" s="35">
        <f t="shared" si="48"/>
        <v>279.28388888888912</v>
      </c>
      <c r="CL104" s="35">
        <f t="shared" si="49"/>
        <v>77999.490592901362</v>
      </c>
      <c r="CM104" s="35">
        <f t="shared" si="50"/>
        <v>15121263.137482652</v>
      </c>
    </row>
    <row r="105" spans="1:91" x14ac:dyDescent="0.3">
      <c r="A105" s="4" t="str">
        <f>DATASETS!A22</f>
        <v>C.P. GARCIA /KATIPUNAN AVE. / TANDANG SORA</v>
      </c>
      <c r="B105" s="4" t="str">
        <f>DATASETS!E22</f>
        <v>Training</v>
      </c>
      <c r="C105" s="9">
        <f>DATASETS!C22</f>
        <v>211819</v>
      </c>
      <c r="D105" s="4">
        <f>DATASETS!B22</f>
        <v>2022</v>
      </c>
      <c r="E105" s="6">
        <f>DATASETS!I22</f>
        <v>5769</v>
      </c>
      <c r="F105" s="9">
        <f>DATASETS!H22</f>
        <v>438.7</v>
      </c>
      <c r="G105" s="11">
        <f t="shared" si="51"/>
        <v>0</v>
      </c>
      <c r="H105" s="11">
        <f t="shared" si="51"/>
        <v>1</v>
      </c>
      <c r="I105" s="11">
        <f t="shared" si="51"/>
        <v>0</v>
      </c>
      <c r="J105" s="11">
        <f t="shared" si="51"/>
        <v>0</v>
      </c>
      <c r="K105" s="11">
        <f t="shared" si="51"/>
        <v>0</v>
      </c>
      <c r="L105" s="11">
        <f t="shared" si="51"/>
        <v>0</v>
      </c>
      <c r="M105" s="11">
        <f t="shared" si="51"/>
        <v>0</v>
      </c>
      <c r="N105" s="11">
        <f t="shared" si="51"/>
        <v>0</v>
      </c>
      <c r="O105" s="11">
        <f t="shared" si="51"/>
        <v>0</v>
      </c>
      <c r="P105" s="11">
        <f t="shared" si="51"/>
        <v>0</v>
      </c>
      <c r="Q105" s="11">
        <f t="shared" si="51"/>
        <v>0</v>
      </c>
      <c r="R105" s="11">
        <f t="shared" si="51"/>
        <v>0</v>
      </c>
      <c r="S105" s="11">
        <f t="shared" si="51"/>
        <v>0</v>
      </c>
      <c r="T105" s="6">
        <f>DATASETS!D22</f>
        <v>7255</v>
      </c>
      <c r="U105" s="37">
        <v>0</v>
      </c>
      <c r="V105" s="37">
        <v>1</v>
      </c>
      <c r="W105" s="37">
        <v>1</v>
      </c>
      <c r="X105" s="37">
        <v>1</v>
      </c>
      <c r="Y105" s="37">
        <v>3</v>
      </c>
      <c r="Z105" s="37">
        <v>0</v>
      </c>
      <c r="AA105" s="37">
        <v>2</v>
      </c>
      <c r="AB105" s="37">
        <v>1</v>
      </c>
      <c r="AC105" s="37">
        <v>0</v>
      </c>
      <c r="AD105" s="37">
        <v>1</v>
      </c>
      <c r="AE105" s="11">
        <f t="shared" si="1"/>
        <v>9</v>
      </c>
      <c r="AF105" s="11">
        <f t="shared" si="2"/>
        <v>10</v>
      </c>
      <c r="AG105" s="11">
        <f t="shared" si="3"/>
        <v>10</v>
      </c>
      <c r="AH105" s="11">
        <f t="shared" si="4"/>
        <v>10</v>
      </c>
      <c r="AI105" s="11">
        <f t="shared" si="5"/>
        <v>9</v>
      </c>
      <c r="AJ105" s="11">
        <f t="shared" si="6"/>
        <v>10</v>
      </c>
      <c r="AK105" s="11">
        <f t="shared" si="7"/>
        <v>9</v>
      </c>
      <c r="AL105" s="11">
        <f t="shared" si="8"/>
        <v>10</v>
      </c>
      <c r="AM105" s="11">
        <f t="shared" si="9"/>
        <v>7</v>
      </c>
      <c r="AN105" s="11">
        <f t="shared" si="10"/>
        <v>10</v>
      </c>
      <c r="AO105" s="35">
        <f t="shared" si="11"/>
        <v>4308.1428571428569</v>
      </c>
      <c r="AP105" s="35">
        <f t="shared" si="12"/>
        <v>4547</v>
      </c>
      <c r="AQ105" s="35">
        <f t="shared" si="13"/>
        <v>5339.5</v>
      </c>
      <c r="AR105" s="35">
        <f t="shared" si="14"/>
        <v>6156.4</v>
      </c>
      <c r="AS105" s="35">
        <f t="shared" si="15"/>
        <v>5477.5714285714284</v>
      </c>
      <c r="AT105" s="35">
        <f t="shared" si="16"/>
        <v>3806.2</v>
      </c>
      <c r="AU105" s="35">
        <f t="shared" si="17"/>
        <v>6518.25</v>
      </c>
      <c r="AV105" s="35">
        <f t="shared" si="18"/>
        <v>6311.666666666667</v>
      </c>
      <c r="AW105" s="35">
        <f t="shared" si="19"/>
        <v>1715.36</v>
      </c>
      <c r="AX105" s="35">
        <f t="shared" si="20"/>
        <v>3516.5</v>
      </c>
      <c r="AY105" s="28">
        <f t="shared" si="21"/>
        <v>4769.6590952380948</v>
      </c>
      <c r="AZ105" s="35">
        <f t="shared" si="22"/>
        <v>2485.3409047619052</v>
      </c>
      <c r="BA105" s="35">
        <f t="shared" si="23"/>
        <v>2485.3409047619052</v>
      </c>
      <c r="BB105" s="35">
        <f t="shared" si="24"/>
        <v>6176919.4128827257</v>
      </c>
      <c r="BC105" s="35">
        <f t="shared" si="25"/>
        <v>28886398.658850174</v>
      </c>
      <c r="BE105" s="37">
        <v>0</v>
      </c>
      <c r="BF105" s="37">
        <v>1</v>
      </c>
      <c r="BG105" s="37">
        <v>1</v>
      </c>
      <c r="BH105" s="37">
        <v>1</v>
      </c>
      <c r="BI105" s="37">
        <v>3</v>
      </c>
      <c r="BJ105" s="37">
        <v>0</v>
      </c>
      <c r="BK105" s="37">
        <v>2</v>
      </c>
      <c r="BL105" s="37">
        <v>1</v>
      </c>
      <c r="BM105" s="37">
        <v>0</v>
      </c>
      <c r="BN105" s="37">
        <v>1</v>
      </c>
      <c r="BO105" s="11">
        <f t="shared" si="26"/>
        <v>9</v>
      </c>
      <c r="BP105" s="11">
        <f t="shared" si="27"/>
        <v>13</v>
      </c>
      <c r="BQ105" s="11">
        <f t="shared" si="28"/>
        <v>11</v>
      </c>
      <c r="BR105" s="11">
        <f t="shared" si="29"/>
        <v>10</v>
      </c>
      <c r="BS105" s="11">
        <f t="shared" si="30"/>
        <v>9</v>
      </c>
      <c r="BT105" s="11">
        <f t="shared" si="31"/>
        <v>12</v>
      </c>
      <c r="BU105" s="11">
        <f t="shared" si="32"/>
        <v>13</v>
      </c>
      <c r="BV105" s="11">
        <f t="shared" si="33"/>
        <v>12</v>
      </c>
      <c r="BW105" s="11">
        <f t="shared" si="34"/>
        <v>10</v>
      </c>
      <c r="BX105" s="11">
        <f t="shared" si="35"/>
        <v>9</v>
      </c>
      <c r="BY105" s="35">
        <f t="shared" si="36"/>
        <v>5918.4444444444443</v>
      </c>
      <c r="BZ105" s="35">
        <f t="shared" si="37"/>
        <v>7561</v>
      </c>
      <c r="CA105" s="35">
        <f t="shared" si="38"/>
        <v>5860</v>
      </c>
      <c r="CB105" s="35">
        <f t="shared" si="39"/>
        <v>7110.625</v>
      </c>
      <c r="CC105" s="35">
        <f t="shared" si="40"/>
        <v>6128.875</v>
      </c>
      <c r="CD105" s="35">
        <f t="shared" si="41"/>
        <v>7763.833333333333</v>
      </c>
      <c r="CE105" s="35">
        <f t="shared" si="42"/>
        <v>6378</v>
      </c>
      <c r="CF105" s="35">
        <f t="shared" si="43"/>
        <v>7488.8888888888887</v>
      </c>
      <c r="CG105" s="35">
        <f t="shared" si="44"/>
        <v>8392</v>
      </c>
      <c r="CH105" s="35">
        <f t="shared" si="45"/>
        <v>6012.75</v>
      </c>
      <c r="CI105" s="28">
        <f t="shared" si="46"/>
        <v>6861.4416666666675</v>
      </c>
      <c r="CJ105" s="35">
        <f t="shared" si="47"/>
        <v>393.55833333333248</v>
      </c>
      <c r="CK105" s="35">
        <f t="shared" si="48"/>
        <v>393.55833333333248</v>
      </c>
      <c r="CL105" s="35">
        <f t="shared" si="49"/>
        <v>154888.16173611043</v>
      </c>
      <c r="CM105" s="35">
        <f t="shared" si="50"/>
        <v>28886398.658850174</v>
      </c>
    </row>
    <row r="106" spans="1:91" x14ac:dyDescent="0.3">
      <c r="A106" s="4" t="str">
        <f>DATASETS!A23</f>
        <v>C.P. GARCIA /KATIPUNAN AVE. / TANDANG SORA</v>
      </c>
      <c r="B106" s="4" t="str">
        <f>DATASETS!E23</f>
        <v>Training</v>
      </c>
      <c r="C106" s="9">
        <f>DATASETS!C23</f>
        <v>238695</v>
      </c>
      <c r="D106" s="4">
        <f>DATASETS!B23</f>
        <v>2023</v>
      </c>
      <c r="E106" s="6">
        <f>DATASETS!I23</f>
        <v>7255</v>
      </c>
      <c r="F106" s="9">
        <f>DATASETS!H23</f>
        <v>438.7</v>
      </c>
      <c r="G106" s="11">
        <f t="shared" si="51"/>
        <v>0</v>
      </c>
      <c r="H106" s="11">
        <f t="shared" si="51"/>
        <v>1</v>
      </c>
      <c r="I106" s="11">
        <f t="shared" si="51"/>
        <v>0</v>
      </c>
      <c r="J106" s="11">
        <f t="shared" si="51"/>
        <v>0</v>
      </c>
      <c r="K106" s="11">
        <f t="shared" si="51"/>
        <v>0</v>
      </c>
      <c r="L106" s="11">
        <f t="shared" si="51"/>
        <v>0</v>
      </c>
      <c r="M106" s="11">
        <f t="shared" si="51"/>
        <v>0</v>
      </c>
      <c r="N106" s="11">
        <f t="shared" si="51"/>
        <v>0</v>
      </c>
      <c r="O106" s="11">
        <f t="shared" si="51"/>
        <v>0</v>
      </c>
      <c r="P106" s="11">
        <f t="shared" si="51"/>
        <v>0</v>
      </c>
      <c r="Q106" s="11">
        <f t="shared" si="51"/>
        <v>0</v>
      </c>
      <c r="R106" s="11">
        <f t="shared" si="51"/>
        <v>0</v>
      </c>
      <c r="S106" s="11">
        <f t="shared" si="51"/>
        <v>0</v>
      </c>
      <c r="T106" s="6">
        <f>DATASETS!D23</f>
        <v>8119</v>
      </c>
      <c r="U106" s="37">
        <v>0</v>
      </c>
      <c r="V106" s="37">
        <v>2</v>
      </c>
      <c r="W106" s="37">
        <v>1</v>
      </c>
      <c r="X106" s="37">
        <v>0</v>
      </c>
      <c r="Y106" s="37">
        <v>0</v>
      </c>
      <c r="Z106" s="37">
        <v>2</v>
      </c>
      <c r="AA106" s="37">
        <v>0</v>
      </c>
      <c r="AB106" s="37">
        <v>2</v>
      </c>
      <c r="AC106" s="37">
        <v>2</v>
      </c>
      <c r="AD106" s="37">
        <v>1</v>
      </c>
      <c r="AE106" s="11">
        <f t="shared" si="1"/>
        <v>11</v>
      </c>
      <c r="AF106" s="11">
        <f t="shared" si="2"/>
        <v>11</v>
      </c>
      <c r="AG106" s="11">
        <f t="shared" si="3"/>
        <v>13</v>
      </c>
      <c r="AH106" s="11">
        <f t="shared" si="4"/>
        <v>13</v>
      </c>
      <c r="AI106" s="11">
        <f t="shared" si="5"/>
        <v>11</v>
      </c>
      <c r="AJ106" s="11">
        <f t="shared" si="6"/>
        <v>13</v>
      </c>
      <c r="AK106" s="11">
        <f t="shared" si="7"/>
        <v>12</v>
      </c>
      <c r="AL106" s="11">
        <f t="shared" si="8"/>
        <v>13</v>
      </c>
      <c r="AM106" s="11">
        <f t="shared" si="9"/>
        <v>9</v>
      </c>
      <c r="AN106" s="11">
        <f t="shared" si="10"/>
        <v>11</v>
      </c>
      <c r="AO106" s="35">
        <f t="shared" si="11"/>
        <v>1013.2857142857143</v>
      </c>
      <c r="AP106" s="35">
        <f t="shared" si="12"/>
        <v>7272.4285714285716</v>
      </c>
      <c r="AQ106" s="35">
        <f t="shared" si="13"/>
        <v>6677.833333333333</v>
      </c>
      <c r="AR106" s="35">
        <f t="shared" si="14"/>
        <v>3359.2857142857142</v>
      </c>
      <c r="AS106" s="35">
        <f t="shared" si="15"/>
        <v>960.18181818181813</v>
      </c>
      <c r="AT106" s="35">
        <f t="shared" si="16"/>
        <v>5849.666666666667</v>
      </c>
      <c r="AU106" s="35">
        <f t="shared" si="17"/>
        <v>4402.375</v>
      </c>
      <c r="AV106" s="35">
        <f t="shared" si="18"/>
        <v>3066.2307692307691</v>
      </c>
      <c r="AW106" s="35">
        <f t="shared" si="19"/>
        <v>7189.666666666667</v>
      </c>
      <c r="AX106" s="35">
        <f t="shared" si="20"/>
        <v>6672.375</v>
      </c>
      <c r="AY106" s="28">
        <f t="shared" si="21"/>
        <v>4646.3329254079254</v>
      </c>
      <c r="AZ106" s="35">
        <f t="shared" si="22"/>
        <v>3472.6670745920746</v>
      </c>
      <c r="BA106" s="35">
        <f t="shared" si="23"/>
        <v>3472.6670745920746</v>
      </c>
      <c r="BB106" s="35">
        <f t="shared" si="24"/>
        <v>12059416.610955877</v>
      </c>
      <c r="BC106" s="35">
        <f t="shared" si="25"/>
        <v>38920215.274234787</v>
      </c>
      <c r="BE106" s="37">
        <v>0</v>
      </c>
      <c r="BF106" s="37">
        <v>2</v>
      </c>
      <c r="BG106" s="37">
        <v>1</v>
      </c>
      <c r="BH106" s="37">
        <v>0</v>
      </c>
      <c r="BI106" s="37">
        <v>0</v>
      </c>
      <c r="BJ106" s="37">
        <v>2</v>
      </c>
      <c r="BK106" s="37">
        <v>0</v>
      </c>
      <c r="BL106" s="37">
        <v>2</v>
      </c>
      <c r="BM106" s="37">
        <v>2</v>
      </c>
      <c r="BN106" s="37">
        <v>1</v>
      </c>
      <c r="BO106" s="11">
        <f t="shared" si="26"/>
        <v>9</v>
      </c>
      <c r="BP106" s="11">
        <f t="shared" si="27"/>
        <v>14</v>
      </c>
      <c r="BQ106" s="11">
        <f t="shared" si="28"/>
        <v>12</v>
      </c>
      <c r="BR106" s="11">
        <f t="shared" si="29"/>
        <v>10</v>
      </c>
      <c r="BS106" s="11">
        <f t="shared" si="30"/>
        <v>9</v>
      </c>
      <c r="BT106" s="11">
        <f t="shared" si="31"/>
        <v>12</v>
      </c>
      <c r="BU106" s="11">
        <f t="shared" si="32"/>
        <v>14</v>
      </c>
      <c r="BV106" s="11">
        <f t="shared" si="33"/>
        <v>12</v>
      </c>
      <c r="BW106" s="11">
        <f t="shared" si="34"/>
        <v>10</v>
      </c>
      <c r="BX106" s="11">
        <f t="shared" si="35"/>
        <v>10</v>
      </c>
      <c r="BY106" s="35">
        <f t="shared" si="36"/>
        <v>5918.4444444444443</v>
      </c>
      <c r="BZ106" s="35">
        <f t="shared" si="37"/>
        <v>8401.5</v>
      </c>
      <c r="CA106" s="35">
        <f t="shared" si="38"/>
        <v>7604.25</v>
      </c>
      <c r="CB106" s="35">
        <f t="shared" si="39"/>
        <v>7110.625</v>
      </c>
      <c r="CC106" s="35">
        <f t="shared" si="40"/>
        <v>6128.875</v>
      </c>
      <c r="CD106" s="35">
        <f t="shared" si="41"/>
        <v>7763.833333333333</v>
      </c>
      <c r="CE106" s="35">
        <f t="shared" si="42"/>
        <v>8476.5</v>
      </c>
      <c r="CF106" s="35">
        <f t="shared" si="43"/>
        <v>7488.8888888888887</v>
      </c>
      <c r="CG106" s="35">
        <f t="shared" si="44"/>
        <v>8392</v>
      </c>
      <c r="CH106" s="35">
        <f t="shared" si="45"/>
        <v>8517.8333333333339</v>
      </c>
      <c r="CI106" s="28">
        <f t="shared" si="46"/>
        <v>7580.2749999999996</v>
      </c>
      <c r="CJ106" s="35">
        <f t="shared" si="47"/>
        <v>538.72500000000036</v>
      </c>
      <c r="CK106" s="35">
        <f t="shared" si="48"/>
        <v>538.72500000000036</v>
      </c>
      <c r="CL106" s="35">
        <f t="shared" si="49"/>
        <v>290224.62562500039</v>
      </c>
      <c r="CM106" s="35">
        <f t="shared" si="50"/>
        <v>38920215.274234787</v>
      </c>
    </row>
    <row r="107" spans="1:91" x14ac:dyDescent="0.3">
      <c r="A107" s="4" t="str">
        <f>DATASETS!A24</f>
        <v>C.P. GARCIA /KATIPUNAN AVE. / TANDANG SORA</v>
      </c>
      <c r="B107" s="4" t="str">
        <f>DATASETS!E24</f>
        <v>Training</v>
      </c>
      <c r="C107" s="9">
        <f>DATASETS!C24</f>
        <v>250762</v>
      </c>
      <c r="D107" s="4">
        <f>DATASETS!B24</f>
        <v>2024</v>
      </c>
      <c r="E107" s="6">
        <f>DATASETS!I24</f>
        <v>8119</v>
      </c>
      <c r="F107" s="9">
        <f>DATASETS!H24</f>
        <v>438.7</v>
      </c>
      <c r="G107" s="11">
        <f t="shared" si="51"/>
        <v>0</v>
      </c>
      <c r="H107" s="11">
        <f t="shared" si="51"/>
        <v>1</v>
      </c>
      <c r="I107" s="11">
        <f t="shared" si="51"/>
        <v>0</v>
      </c>
      <c r="J107" s="11">
        <f t="shared" si="51"/>
        <v>0</v>
      </c>
      <c r="K107" s="11">
        <f t="shared" si="51"/>
        <v>0</v>
      </c>
      <c r="L107" s="11">
        <f t="shared" si="51"/>
        <v>0</v>
      </c>
      <c r="M107" s="11">
        <f t="shared" si="51"/>
        <v>0</v>
      </c>
      <c r="N107" s="11">
        <f t="shared" si="51"/>
        <v>0</v>
      </c>
      <c r="O107" s="11">
        <f t="shared" si="51"/>
        <v>0</v>
      </c>
      <c r="P107" s="11">
        <f t="shared" si="51"/>
        <v>0</v>
      </c>
      <c r="Q107" s="11">
        <f t="shared" si="51"/>
        <v>0</v>
      </c>
      <c r="R107" s="11">
        <f t="shared" si="51"/>
        <v>0</v>
      </c>
      <c r="S107" s="11">
        <f t="shared" si="51"/>
        <v>0</v>
      </c>
      <c r="T107" s="6">
        <f>DATASETS!D24</f>
        <v>8633</v>
      </c>
      <c r="U107" s="37">
        <v>1</v>
      </c>
      <c r="V107" s="37">
        <v>1</v>
      </c>
      <c r="W107" s="37">
        <v>0</v>
      </c>
      <c r="X107" s="37">
        <v>1</v>
      </c>
      <c r="Y107" s="37">
        <v>0</v>
      </c>
      <c r="Z107" s="37">
        <v>1</v>
      </c>
      <c r="AA107" s="37">
        <v>1</v>
      </c>
      <c r="AB107" s="37">
        <v>0</v>
      </c>
      <c r="AC107" s="37">
        <v>0</v>
      </c>
      <c r="AD107" s="37">
        <v>2</v>
      </c>
      <c r="AE107" s="11">
        <f t="shared" si="1"/>
        <v>12</v>
      </c>
      <c r="AF107" s="11">
        <f t="shared" si="2"/>
        <v>13</v>
      </c>
      <c r="AG107" s="11">
        <f t="shared" si="3"/>
        <v>13</v>
      </c>
      <c r="AH107" s="11">
        <f t="shared" si="4"/>
        <v>13</v>
      </c>
      <c r="AI107" s="11">
        <f t="shared" si="5"/>
        <v>12</v>
      </c>
      <c r="AJ107" s="11">
        <f t="shared" si="6"/>
        <v>14</v>
      </c>
      <c r="AK107" s="11">
        <f t="shared" si="7"/>
        <v>12</v>
      </c>
      <c r="AL107" s="11">
        <f t="shared" si="8"/>
        <v>13</v>
      </c>
      <c r="AM107" s="11">
        <f t="shared" si="9"/>
        <v>11</v>
      </c>
      <c r="AN107" s="11">
        <f t="shared" si="10"/>
        <v>11</v>
      </c>
      <c r="AO107" s="35">
        <f t="shared" si="11"/>
        <v>3512.1428571428573</v>
      </c>
      <c r="AP107" s="35">
        <f t="shared" si="12"/>
        <v>4972.333333333333</v>
      </c>
      <c r="AQ107" s="35">
        <f t="shared" si="13"/>
        <v>6677.833333333333</v>
      </c>
      <c r="AR107" s="35">
        <f t="shared" si="14"/>
        <v>3359.2857142857142</v>
      </c>
      <c r="AS107" s="35">
        <f t="shared" si="15"/>
        <v>3307.5294117647059</v>
      </c>
      <c r="AT107" s="35">
        <f t="shared" si="16"/>
        <v>3280.125</v>
      </c>
      <c r="AU107" s="35">
        <f t="shared" si="17"/>
        <v>4402.375</v>
      </c>
      <c r="AV107" s="35">
        <f t="shared" si="18"/>
        <v>3066.2307692307691</v>
      </c>
      <c r="AW107" s="35">
        <f t="shared" si="19"/>
        <v>2801</v>
      </c>
      <c r="AX107" s="35">
        <f t="shared" si="20"/>
        <v>6672.375</v>
      </c>
      <c r="AY107" s="28">
        <f t="shared" si="21"/>
        <v>4205.1230419090716</v>
      </c>
      <c r="AZ107" s="35">
        <f t="shared" si="22"/>
        <v>4427.8769580909284</v>
      </c>
      <c r="BA107" s="35">
        <f t="shared" si="23"/>
        <v>4427.8769580909284</v>
      </c>
      <c r="BB107" s="35">
        <f t="shared" si="24"/>
        <v>19606094.355992574</v>
      </c>
      <c r="BC107" s="35">
        <f t="shared" si="25"/>
        <v>45597699.103294618</v>
      </c>
      <c r="BE107" s="37">
        <v>1</v>
      </c>
      <c r="BF107" s="37">
        <v>1</v>
      </c>
      <c r="BG107" s="37">
        <v>0</v>
      </c>
      <c r="BH107" s="37">
        <v>1</v>
      </c>
      <c r="BI107" s="37">
        <v>0</v>
      </c>
      <c r="BJ107" s="37">
        <v>1</v>
      </c>
      <c r="BK107" s="37">
        <v>1</v>
      </c>
      <c r="BL107" s="37">
        <v>0</v>
      </c>
      <c r="BM107" s="37">
        <v>0</v>
      </c>
      <c r="BN107" s="37">
        <v>2</v>
      </c>
      <c r="BO107" s="11">
        <f t="shared" si="26"/>
        <v>9</v>
      </c>
      <c r="BP107" s="11">
        <f t="shared" si="27"/>
        <v>14</v>
      </c>
      <c r="BQ107" s="11">
        <f t="shared" si="28"/>
        <v>12</v>
      </c>
      <c r="BR107" s="11">
        <f t="shared" si="29"/>
        <v>10</v>
      </c>
      <c r="BS107" s="11">
        <f t="shared" si="30"/>
        <v>9</v>
      </c>
      <c r="BT107" s="11">
        <f t="shared" si="31"/>
        <v>12</v>
      </c>
      <c r="BU107" s="11">
        <f t="shared" si="32"/>
        <v>14</v>
      </c>
      <c r="BV107" s="11">
        <f t="shared" si="33"/>
        <v>12</v>
      </c>
      <c r="BW107" s="11">
        <f t="shared" si="34"/>
        <v>10</v>
      </c>
      <c r="BX107" s="11">
        <f t="shared" si="35"/>
        <v>10</v>
      </c>
      <c r="BY107" s="35">
        <f t="shared" si="36"/>
        <v>5918.4444444444443</v>
      </c>
      <c r="BZ107" s="35">
        <f t="shared" si="37"/>
        <v>8401.5</v>
      </c>
      <c r="CA107" s="35">
        <f t="shared" si="38"/>
        <v>7604.25</v>
      </c>
      <c r="CB107" s="35">
        <f t="shared" si="39"/>
        <v>7110.625</v>
      </c>
      <c r="CC107" s="35">
        <f t="shared" si="40"/>
        <v>6128.875</v>
      </c>
      <c r="CD107" s="35">
        <f t="shared" si="41"/>
        <v>7763.833333333333</v>
      </c>
      <c r="CE107" s="35">
        <f t="shared" si="42"/>
        <v>8476.5</v>
      </c>
      <c r="CF107" s="35">
        <f t="shared" si="43"/>
        <v>7488.8888888888887</v>
      </c>
      <c r="CG107" s="35">
        <f t="shared" si="44"/>
        <v>8392</v>
      </c>
      <c r="CH107" s="35">
        <f t="shared" si="45"/>
        <v>8517.8333333333339</v>
      </c>
      <c r="CI107" s="28">
        <f t="shared" si="46"/>
        <v>7580.2749999999996</v>
      </c>
      <c r="CJ107" s="35">
        <f t="shared" si="47"/>
        <v>1052.7250000000004</v>
      </c>
      <c r="CK107" s="35">
        <f t="shared" si="48"/>
        <v>1052.7250000000004</v>
      </c>
      <c r="CL107" s="35">
        <f t="shared" si="49"/>
        <v>1108229.9256250008</v>
      </c>
      <c r="CM107" s="35">
        <f t="shared" si="50"/>
        <v>45597699.103294618</v>
      </c>
    </row>
    <row r="108" spans="1:91" x14ac:dyDescent="0.3">
      <c r="A108" s="4" t="str">
        <f>DATASETS!A26</f>
        <v>ROXAS BLVD.</v>
      </c>
      <c r="B108" s="4" t="str">
        <f>DATASETS!E26</f>
        <v>Training</v>
      </c>
      <c r="C108" s="9">
        <f>DATASETS!C26</f>
        <v>175185</v>
      </c>
      <c r="D108" s="4">
        <f>DATASETS!B26</f>
        <v>2016</v>
      </c>
      <c r="E108" s="6">
        <f>DATASETS!I26</f>
        <v>1528</v>
      </c>
      <c r="F108" s="9">
        <f>DATASETS!H26</f>
        <v>60.8</v>
      </c>
      <c r="G108" s="11">
        <f t="shared" si="51"/>
        <v>0</v>
      </c>
      <c r="H108" s="11">
        <f t="shared" si="51"/>
        <v>0</v>
      </c>
      <c r="I108" s="11">
        <f t="shared" si="51"/>
        <v>1</v>
      </c>
      <c r="J108" s="11">
        <f t="shared" si="51"/>
        <v>0</v>
      </c>
      <c r="K108" s="11">
        <f t="shared" si="51"/>
        <v>0</v>
      </c>
      <c r="L108" s="11">
        <f t="shared" si="51"/>
        <v>0</v>
      </c>
      <c r="M108" s="11">
        <f t="shared" si="51"/>
        <v>0</v>
      </c>
      <c r="N108" s="11">
        <f t="shared" si="51"/>
        <v>0</v>
      </c>
      <c r="O108" s="11">
        <f t="shared" si="51"/>
        <v>0</v>
      </c>
      <c r="P108" s="11">
        <f t="shared" si="51"/>
        <v>0</v>
      </c>
      <c r="Q108" s="11">
        <f t="shared" si="51"/>
        <v>0</v>
      </c>
      <c r="R108" s="11">
        <f t="shared" si="51"/>
        <v>0</v>
      </c>
      <c r="S108" s="11">
        <f t="shared" si="51"/>
        <v>0</v>
      </c>
      <c r="T108" s="6">
        <f>DATASETS!D26</f>
        <v>1877</v>
      </c>
      <c r="U108" s="37">
        <v>0</v>
      </c>
      <c r="V108" s="37">
        <v>2</v>
      </c>
      <c r="W108" s="37">
        <v>5</v>
      </c>
      <c r="X108" s="37">
        <v>1</v>
      </c>
      <c r="Y108" s="37">
        <v>1</v>
      </c>
      <c r="Z108" s="37">
        <v>0</v>
      </c>
      <c r="AA108" s="37">
        <v>1</v>
      </c>
      <c r="AB108" s="37">
        <v>0</v>
      </c>
      <c r="AC108" s="37">
        <v>1</v>
      </c>
      <c r="AD108" s="37">
        <v>0</v>
      </c>
      <c r="AE108" s="11">
        <f t="shared" si="1"/>
        <v>6</v>
      </c>
      <c r="AF108" s="11">
        <f t="shared" si="2"/>
        <v>6</v>
      </c>
      <c r="AG108" s="11">
        <f t="shared" si="3"/>
        <v>6</v>
      </c>
      <c r="AH108" s="11">
        <f t="shared" si="4"/>
        <v>6</v>
      </c>
      <c r="AI108" s="11">
        <f t="shared" si="5"/>
        <v>7</v>
      </c>
      <c r="AJ108" s="11">
        <f t="shared" si="6"/>
        <v>6</v>
      </c>
      <c r="AK108" s="11">
        <f t="shared" si="7"/>
        <v>6</v>
      </c>
      <c r="AL108" s="11">
        <f t="shared" si="8"/>
        <v>6</v>
      </c>
      <c r="AM108" s="11">
        <f t="shared" si="9"/>
        <v>7</v>
      </c>
      <c r="AN108" s="11">
        <f t="shared" si="10"/>
        <v>6</v>
      </c>
      <c r="AO108" s="35">
        <f t="shared" si="11"/>
        <v>1533.2941176470588</v>
      </c>
      <c r="AP108" s="35">
        <f t="shared" si="12"/>
        <v>1722.05</v>
      </c>
      <c r="AQ108" s="35">
        <f t="shared" si="13"/>
        <v>2078.2666666666669</v>
      </c>
      <c r="AR108" s="35">
        <f t="shared" si="14"/>
        <v>1627.9428571428571</v>
      </c>
      <c r="AS108" s="35">
        <f t="shared" si="15"/>
        <v>1820.9230769230769</v>
      </c>
      <c r="AT108" s="35">
        <f t="shared" si="16"/>
        <v>1681.7307692307693</v>
      </c>
      <c r="AU108" s="35">
        <f t="shared" si="17"/>
        <v>1434.4848484848485</v>
      </c>
      <c r="AV108" s="35">
        <f t="shared" si="18"/>
        <v>1642.45</v>
      </c>
      <c r="AW108" s="35">
        <f t="shared" si="19"/>
        <v>1715.36</v>
      </c>
      <c r="AX108" s="35">
        <f t="shared" si="20"/>
        <v>1526.8421052631579</v>
      </c>
      <c r="AY108" s="28">
        <f t="shared" si="21"/>
        <v>1678.3344441358436</v>
      </c>
      <c r="AZ108" s="35">
        <f t="shared" si="22"/>
        <v>198.66555586415643</v>
      </c>
      <c r="BA108" s="35">
        <f t="shared" si="23"/>
        <v>198.66555586415643</v>
      </c>
      <c r="BB108" s="35">
        <f t="shared" si="24"/>
        <v>39468.003086814257</v>
      </c>
      <c r="BC108" s="35">
        <f t="shared" si="25"/>
        <v>11.513551026371289</v>
      </c>
      <c r="BE108" s="37">
        <v>0</v>
      </c>
      <c r="BF108" s="37">
        <v>2</v>
      </c>
      <c r="BG108" s="37">
        <v>5</v>
      </c>
      <c r="BH108" s="37">
        <v>1</v>
      </c>
      <c r="BI108" s="37">
        <v>1</v>
      </c>
      <c r="BJ108" s="37">
        <v>0</v>
      </c>
      <c r="BK108" s="37">
        <v>1</v>
      </c>
      <c r="BL108" s="37">
        <v>0</v>
      </c>
      <c r="BM108" s="37">
        <v>1</v>
      </c>
      <c r="BN108" s="37">
        <v>0</v>
      </c>
      <c r="BO108" s="11">
        <f t="shared" si="26"/>
        <v>6</v>
      </c>
      <c r="BP108" s="11">
        <f t="shared" si="27"/>
        <v>6</v>
      </c>
      <c r="BQ108" s="11">
        <f t="shared" si="28"/>
        <v>7</v>
      </c>
      <c r="BR108" s="11">
        <f t="shared" si="29"/>
        <v>7</v>
      </c>
      <c r="BS108" s="11">
        <f t="shared" si="30"/>
        <v>6</v>
      </c>
      <c r="BT108" s="11">
        <f t="shared" si="31"/>
        <v>7</v>
      </c>
      <c r="BU108" s="11">
        <f t="shared" si="32"/>
        <v>7</v>
      </c>
      <c r="BV108" s="11">
        <f t="shared" si="33"/>
        <v>6</v>
      </c>
      <c r="BW108" s="11">
        <f t="shared" si="34"/>
        <v>6</v>
      </c>
      <c r="BX108" s="11">
        <f t="shared" si="35"/>
        <v>6</v>
      </c>
      <c r="BY108" s="35">
        <f t="shared" si="36"/>
        <v>1883.8695652173913</v>
      </c>
      <c r="BZ108" s="35">
        <f t="shared" si="37"/>
        <v>2135.1666666666665</v>
      </c>
      <c r="CA108" s="35">
        <f t="shared" si="38"/>
        <v>2109.6060606060605</v>
      </c>
      <c r="CB108" s="35">
        <f t="shared" si="39"/>
        <v>2239.9655172413795</v>
      </c>
      <c r="CC108" s="35">
        <f t="shared" si="40"/>
        <v>2206.8636363636365</v>
      </c>
      <c r="CD108" s="35">
        <f t="shared" si="41"/>
        <v>1904.0526315789473</v>
      </c>
      <c r="CE108" s="35">
        <f t="shared" si="42"/>
        <v>2134.6666666666665</v>
      </c>
      <c r="CF108" s="35">
        <f t="shared" si="43"/>
        <v>2294.5789473684213</v>
      </c>
      <c r="CG108" s="35">
        <f t="shared" si="44"/>
        <v>1803.9583333333333</v>
      </c>
      <c r="CH108" s="35">
        <f t="shared" si="45"/>
        <v>1952.125</v>
      </c>
      <c r="CI108" s="28">
        <f t="shared" si="46"/>
        <v>2066.4853025042498</v>
      </c>
      <c r="CJ108" s="35">
        <f t="shared" si="47"/>
        <v>-189.48530250424983</v>
      </c>
      <c r="CK108" s="35">
        <f t="shared" si="48"/>
        <v>189.48530250424983</v>
      </c>
      <c r="CL108" s="35">
        <f t="shared" si="49"/>
        <v>35904.679865127066</v>
      </c>
      <c r="CM108" s="35">
        <f t="shared" si="50"/>
        <v>11.513551026371289</v>
      </c>
    </row>
    <row r="109" spans="1:91" x14ac:dyDescent="0.3">
      <c r="A109" s="4" t="str">
        <f>DATASETS!A27</f>
        <v>ROXAS BLVD.</v>
      </c>
      <c r="B109" s="4" t="str">
        <f>DATASETS!E27</f>
        <v>Training</v>
      </c>
      <c r="C109" s="9">
        <f>DATASETS!C27</f>
        <v>191120</v>
      </c>
      <c r="D109" s="4">
        <f>DATASETS!B27</f>
        <v>2017</v>
      </c>
      <c r="E109" s="6">
        <f>DATASETS!I27</f>
        <v>1877</v>
      </c>
      <c r="F109" s="9">
        <f>DATASETS!H27</f>
        <v>60.8</v>
      </c>
      <c r="G109" s="11">
        <f t="shared" si="51"/>
        <v>0</v>
      </c>
      <c r="H109" s="11">
        <f t="shared" si="51"/>
        <v>0</v>
      </c>
      <c r="I109" s="11">
        <f t="shared" si="51"/>
        <v>1</v>
      </c>
      <c r="J109" s="11">
        <f t="shared" si="51"/>
        <v>0</v>
      </c>
      <c r="K109" s="11">
        <f t="shared" si="51"/>
        <v>0</v>
      </c>
      <c r="L109" s="11">
        <f t="shared" si="51"/>
        <v>0</v>
      </c>
      <c r="M109" s="11">
        <f t="shared" si="51"/>
        <v>0</v>
      </c>
      <c r="N109" s="11">
        <f t="shared" si="51"/>
        <v>0</v>
      </c>
      <c r="O109" s="11">
        <f t="shared" si="51"/>
        <v>0</v>
      </c>
      <c r="P109" s="11">
        <f t="shared" si="51"/>
        <v>0</v>
      </c>
      <c r="Q109" s="11">
        <f t="shared" si="51"/>
        <v>0</v>
      </c>
      <c r="R109" s="11">
        <f t="shared" si="51"/>
        <v>0</v>
      </c>
      <c r="S109" s="11">
        <f t="shared" si="51"/>
        <v>0</v>
      </c>
      <c r="T109" s="6">
        <f>DATASETS!D27</f>
        <v>2365</v>
      </c>
      <c r="U109" s="37">
        <v>1</v>
      </c>
      <c r="V109" s="37">
        <v>0</v>
      </c>
      <c r="W109" s="37">
        <v>1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1</v>
      </c>
      <c r="AE109" s="11">
        <f t="shared" si="1"/>
        <v>7</v>
      </c>
      <c r="AF109" s="11">
        <f t="shared" si="2"/>
        <v>7</v>
      </c>
      <c r="AG109" s="11">
        <f t="shared" si="3"/>
        <v>6</v>
      </c>
      <c r="AH109" s="11">
        <f t="shared" si="4"/>
        <v>6</v>
      </c>
      <c r="AI109" s="11">
        <f t="shared" si="5"/>
        <v>7</v>
      </c>
      <c r="AJ109" s="11">
        <f t="shared" si="6"/>
        <v>6</v>
      </c>
      <c r="AK109" s="11">
        <f t="shared" si="7"/>
        <v>6</v>
      </c>
      <c r="AL109" s="11">
        <f t="shared" si="8"/>
        <v>6</v>
      </c>
      <c r="AM109" s="11">
        <f t="shared" si="9"/>
        <v>7</v>
      </c>
      <c r="AN109" s="11">
        <f t="shared" si="10"/>
        <v>7</v>
      </c>
      <c r="AO109" s="35">
        <f t="shared" si="11"/>
        <v>1949.090909090909</v>
      </c>
      <c r="AP109" s="35">
        <f t="shared" si="12"/>
        <v>1396.0454545454545</v>
      </c>
      <c r="AQ109" s="35">
        <f t="shared" si="13"/>
        <v>2078.2666666666669</v>
      </c>
      <c r="AR109" s="35">
        <f t="shared" si="14"/>
        <v>1627.9428571428571</v>
      </c>
      <c r="AS109" s="35">
        <f t="shared" si="15"/>
        <v>1820.9230769230769</v>
      </c>
      <c r="AT109" s="35">
        <f t="shared" si="16"/>
        <v>1681.7307692307693</v>
      </c>
      <c r="AU109" s="35">
        <f t="shared" si="17"/>
        <v>1434.4848484848485</v>
      </c>
      <c r="AV109" s="35">
        <f t="shared" si="18"/>
        <v>1642.45</v>
      </c>
      <c r="AW109" s="35">
        <f t="shared" si="19"/>
        <v>1715.36</v>
      </c>
      <c r="AX109" s="35">
        <f t="shared" si="20"/>
        <v>1973.8571428571429</v>
      </c>
      <c r="AY109" s="28">
        <f t="shared" si="21"/>
        <v>1732.0151724941727</v>
      </c>
      <c r="AZ109" s="35">
        <f t="shared" si="22"/>
        <v>632.9848275058273</v>
      </c>
      <c r="BA109" s="35">
        <f t="shared" si="23"/>
        <v>632.9848275058273</v>
      </c>
      <c r="BB109" s="35">
        <f t="shared" si="24"/>
        <v>400669.79185258196</v>
      </c>
      <c r="BC109" s="35">
        <f t="shared" si="25"/>
        <v>234843.78705529991</v>
      </c>
      <c r="BE109" s="37">
        <v>1</v>
      </c>
      <c r="BF109" s="37">
        <v>0</v>
      </c>
      <c r="BG109" s="37">
        <v>1</v>
      </c>
      <c r="BH109" s="37">
        <v>0</v>
      </c>
      <c r="BI109" s="37">
        <v>0</v>
      </c>
      <c r="BJ109" s="37">
        <v>0</v>
      </c>
      <c r="BK109" s="37">
        <v>0</v>
      </c>
      <c r="BL109" s="37">
        <v>0</v>
      </c>
      <c r="BM109" s="37">
        <v>0</v>
      </c>
      <c r="BN109" s="37">
        <v>1</v>
      </c>
      <c r="BO109" s="11">
        <f t="shared" si="26"/>
        <v>6</v>
      </c>
      <c r="BP109" s="11">
        <f t="shared" si="27"/>
        <v>6</v>
      </c>
      <c r="BQ109" s="11">
        <f t="shared" si="28"/>
        <v>7</v>
      </c>
      <c r="BR109" s="11">
        <f t="shared" si="29"/>
        <v>7</v>
      </c>
      <c r="BS109" s="11">
        <f t="shared" si="30"/>
        <v>6</v>
      </c>
      <c r="BT109" s="11">
        <f t="shared" si="31"/>
        <v>7</v>
      </c>
      <c r="BU109" s="11">
        <f t="shared" si="32"/>
        <v>7</v>
      </c>
      <c r="BV109" s="11">
        <f t="shared" si="33"/>
        <v>6</v>
      </c>
      <c r="BW109" s="11">
        <f t="shared" si="34"/>
        <v>6</v>
      </c>
      <c r="BX109" s="11">
        <f t="shared" si="35"/>
        <v>6</v>
      </c>
      <c r="BY109" s="35">
        <f t="shared" si="36"/>
        <v>1883.8695652173913</v>
      </c>
      <c r="BZ109" s="35">
        <f t="shared" si="37"/>
        <v>2135.1666666666665</v>
      </c>
      <c r="CA109" s="35">
        <f t="shared" si="38"/>
        <v>2109.6060606060605</v>
      </c>
      <c r="CB109" s="35">
        <f t="shared" si="39"/>
        <v>2239.9655172413795</v>
      </c>
      <c r="CC109" s="35">
        <f t="shared" si="40"/>
        <v>2206.8636363636365</v>
      </c>
      <c r="CD109" s="35">
        <f t="shared" si="41"/>
        <v>1904.0526315789473</v>
      </c>
      <c r="CE109" s="35">
        <f t="shared" si="42"/>
        <v>2134.6666666666665</v>
      </c>
      <c r="CF109" s="35">
        <f t="shared" si="43"/>
        <v>2294.5789473684213</v>
      </c>
      <c r="CG109" s="35">
        <f t="shared" si="44"/>
        <v>1803.9583333333333</v>
      </c>
      <c r="CH109" s="35">
        <f t="shared" si="45"/>
        <v>1952.125</v>
      </c>
      <c r="CI109" s="28">
        <f t="shared" si="46"/>
        <v>2066.4853025042498</v>
      </c>
      <c r="CJ109" s="35">
        <f t="shared" si="47"/>
        <v>298.51469749575017</v>
      </c>
      <c r="CK109" s="35">
        <f t="shared" si="48"/>
        <v>298.51469749575017</v>
      </c>
      <c r="CL109" s="35">
        <f t="shared" si="49"/>
        <v>89111.024620979239</v>
      </c>
      <c r="CM109" s="35">
        <f t="shared" si="50"/>
        <v>234843.78705529991</v>
      </c>
    </row>
    <row r="110" spans="1:91" x14ac:dyDescent="0.3">
      <c r="A110" s="4" t="str">
        <f>DATASETS!A28</f>
        <v>ROXAS BLVD.</v>
      </c>
      <c r="B110" s="4" t="str">
        <f>DATASETS!E28</f>
        <v>Training</v>
      </c>
      <c r="C110" s="9">
        <f>DATASETS!C28</f>
        <v>203487</v>
      </c>
      <c r="D110" s="4">
        <f>DATASETS!B28</f>
        <v>2018</v>
      </c>
      <c r="E110" s="6">
        <f>DATASETS!I28</f>
        <v>2365</v>
      </c>
      <c r="F110" s="9">
        <f>DATASETS!H28</f>
        <v>60.8</v>
      </c>
      <c r="G110" s="11">
        <f t="shared" ref="G110:S119" si="52">IF($A110=G$88,1,0)</f>
        <v>0</v>
      </c>
      <c r="H110" s="11">
        <f t="shared" si="52"/>
        <v>0</v>
      </c>
      <c r="I110" s="11">
        <f t="shared" si="52"/>
        <v>1</v>
      </c>
      <c r="J110" s="11">
        <f t="shared" si="52"/>
        <v>0</v>
      </c>
      <c r="K110" s="11">
        <f t="shared" si="52"/>
        <v>0</v>
      </c>
      <c r="L110" s="11">
        <f t="shared" si="52"/>
        <v>0</v>
      </c>
      <c r="M110" s="11">
        <f t="shared" si="52"/>
        <v>0</v>
      </c>
      <c r="N110" s="11">
        <f t="shared" si="52"/>
        <v>0</v>
      </c>
      <c r="O110" s="11">
        <f t="shared" si="52"/>
        <v>0</v>
      </c>
      <c r="P110" s="11">
        <f t="shared" si="52"/>
        <v>0</v>
      </c>
      <c r="Q110" s="11">
        <f t="shared" si="52"/>
        <v>0</v>
      </c>
      <c r="R110" s="11">
        <f t="shared" si="52"/>
        <v>0</v>
      </c>
      <c r="S110" s="11">
        <f t="shared" si="52"/>
        <v>0</v>
      </c>
      <c r="T110" s="6">
        <f>DATASETS!D28</f>
        <v>2540</v>
      </c>
      <c r="U110" s="37">
        <v>0</v>
      </c>
      <c r="V110" s="37">
        <v>0</v>
      </c>
      <c r="W110" s="37">
        <v>1</v>
      </c>
      <c r="X110" s="37">
        <v>2</v>
      </c>
      <c r="Y110" s="37">
        <v>0</v>
      </c>
      <c r="Z110" s="37">
        <v>0</v>
      </c>
      <c r="AA110" s="37">
        <v>1</v>
      </c>
      <c r="AB110" s="37">
        <v>3</v>
      </c>
      <c r="AC110" s="37">
        <v>0</v>
      </c>
      <c r="AD110" s="37">
        <v>0</v>
      </c>
      <c r="AE110" s="11">
        <f t="shared" si="1"/>
        <v>7</v>
      </c>
      <c r="AF110" s="11">
        <f t="shared" si="2"/>
        <v>7</v>
      </c>
      <c r="AG110" s="11">
        <f t="shared" si="3"/>
        <v>10</v>
      </c>
      <c r="AH110" s="11">
        <f t="shared" si="4"/>
        <v>7</v>
      </c>
      <c r="AI110" s="11">
        <f t="shared" si="5"/>
        <v>9</v>
      </c>
      <c r="AJ110" s="11">
        <f t="shared" si="6"/>
        <v>10</v>
      </c>
      <c r="AK110" s="11">
        <f t="shared" si="7"/>
        <v>7</v>
      </c>
      <c r="AL110" s="11">
        <f t="shared" si="8"/>
        <v>7</v>
      </c>
      <c r="AM110" s="11">
        <f t="shared" si="9"/>
        <v>7</v>
      </c>
      <c r="AN110" s="11">
        <f t="shared" si="10"/>
        <v>7</v>
      </c>
      <c r="AO110" s="35">
        <f t="shared" si="11"/>
        <v>1949.090909090909</v>
      </c>
      <c r="AP110" s="35">
        <f t="shared" si="12"/>
        <v>1396.0454545454545</v>
      </c>
      <c r="AQ110" s="35">
        <f t="shared" si="13"/>
        <v>5339.5</v>
      </c>
      <c r="AR110" s="35">
        <f t="shared" si="14"/>
        <v>2223.8000000000002</v>
      </c>
      <c r="AS110" s="35">
        <f t="shared" si="15"/>
        <v>5477.5714285714284</v>
      </c>
      <c r="AT110" s="35">
        <f t="shared" si="16"/>
        <v>3806.2</v>
      </c>
      <c r="AU110" s="35">
        <f t="shared" si="17"/>
        <v>2250.25</v>
      </c>
      <c r="AV110" s="35">
        <f t="shared" si="18"/>
        <v>2257.4375</v>
      </c>
      <c r="AW110" s="35">
        <f t="shared" si="19"/>
        <v>1715.36</v>
      </c>
      <c r="AX110" s="35">
        <f t="shared" si="20"/>
        <v>1973.8571428571429</v>
      </c>
      <c r="AY110" s="28">
        <f t="shared" si="21"/>
        <v>2838.9112435064935</v>
      </c>
      <c r="AZ110" s="35">
        <f t="shared" si="22"/>
        <v>-298.91124350649352</v>
      </c>
      <c r="BA110" s="35">
        <f t="shared" si="23"/>
        <v>298.91124350649352</v>
      </c>
      <c r="BB110" s="35">
        <f t="shared" si="24"/>
        <v>89347.931494598262</v>
      </c>
      <c r="BC110" s="35">
        <f t="shared" si="25"/>
        <v>435081.18021769309</v>
      </c>
      <c r="BE110" s="37">
        <v>0</v>
      </c>
      <c r="BF110" s="37">
        <v>0</v>
      </c>
      <c r="BG110" s="37">
        <v>1</v>
      </c>
      <c r="BH110" s="37">
        <v>2</v>
      </c>
      <c r="BI110" s="37">
        <v>0</v>
      </c>
      <c r="BJ110" s="37">
        <v>0</v>
      </c>
      <c r="BK110" s="37">
        <v>1</v>
      </c>
      <c r="BL110" s="37">
        <v>3</v>
      </c>
      <c r="BM110" s="37">
        <v>0</v>
      </c>
      <c r="BN110" s="37">
        <v>0</v>
      </c>
      <c r="BO110" s="11">
        <f t="shared" si="26"/>
        <v>6</v>
      </c>
      <c r="BP110" s="11">
        <f t="shared" si="27"/>
        <v>6</v>
      </c>
      <c r="BQ110" s="11">
        <f t="shared" si="28"/>
        <v>7</v>
      </c>
      <c r="BR110" s="11">
        <f t="shared" si="29"/>
        <v>7</v>
      </c>
      <c r="BS110" s="11">
        <f t="shared" si="30"/>
        <v>7</v>
      </c>
      <c r="BT110" s="11">
        <f t="shared" si="31"/>
        <v>7</v>
      </c>
      <c r="BU110" s="11">
        <f t="shared" si="32"/>
        <v>7</v>
      </c>
      <c r="BV110" s="11">
        <f t="shared" si="33"/>
        <v>6</v>
      </c>
      <c r="BW110" s="11">
        <f t="shared" si="34"/>
        <v>6</v>
      </c>
      <c r="BX110" s="11">
        <f t="shared" si="35"/>
        <v>6</v>
      </c>
      <c r="BY110" s="35">
        <f t="shared" si="36"/>
        <v>1883.8695652173913</v>
      </c>
      <c r="BZ110" s="35">
        <f t="shared" si="37"/>
        <v>2135.1666666666665</v>
      </c>
      <c r="CA110" s="35">
        <f t="shared" si="38"/>
        <v>2109.6060606060605</v>
      </c>
      <c r="CB110" s="35">
        <f t="shared" si="39"/>
        <v>2239.9655172413795</v>
      </c>
      <c r="CC110" s="35">
        <f t="shared" si="40"/>
        <v>1353.2222222222222</v>
      </c>
      <c r="CD110" s="35">
        <f t="shared" si="41"/>
        <v>1904.0526315789473</v>
      </c>
      <c r="CE110" s="35">
        <f t="shared" si="42"/>
        <v>2134.6666666666665</v>
      </c>
      <c r="CF110" s="35">
        <f t="shared" si="43"/>
        <v>2294.5789473684213</v>
      </c>
      <c r="CG110" s="35">
        <f t="shared" si="44"/>
        <v>1803.9583333333333</v>
      </c>
      <c r="CH110" s="35">
        <f t="shared" si="45"/>
        <v>1952.125</v>
      </c>
      <c r="CI110" s="28">
        <f t="shared" si="46"/>
        <v>1981.1211610901087</v>
      </c>
      <c r="CJ110" s="35">
        <f t="shared" si="47"/>
        <v>558.87883890989133</v>
      </c>
      <c r="CK110" s="35">
        <f t="shared" si="48"/>
        <v>558.87883890989133</v>
      </c>
      <c r="CL110" s="35">
        <f t="shared" si="49"/>
        <v>312345.55658126826</v>
      </c>
      <c r="CM110" s="35">
        <f t="shared" si="50"/>
        <v>435081.18021769309</v>
      </c>
    </row>
    <row r="111" spans="1:91" x14ac:dyDescent="0.3">
      <c r="A111" s="4" t="str">
        <f>DATASETS!A29</f>
        <v>ROXAS BLVD.</v>
      </c>
      <c r="B111" s="4" t="str">
        <f>DATASETS!E29</f>
        <v>Training</v>
      </c>
      <c r="C111" s="9">
        <f>DATASETS!C29</f>
        <v>203582</v>
      </c>
      <c r="D111" s="4">
        <f>DATASETS!B29</f>
        <v>2019</v>
      </c>
      <c r="E111" s="6">
        <f>DATASETS!I29</f>
        <v>2540</v>
      </c>
      <c r="F111" s="9">
        <f>DATASETS!H29</f>
        <v>60.8</v>
      </c>
      <c r="G111" s="11">
        <f t="shared" si="52"/>
        <v>0</v>
      </c>
      <c r="H111" s="11">
        <f t="shared" si="52"/>
        <v>0</v>
      </c>
      <c r="I111" s="11">
        <f t="shared" si="52"/>
        <v>1</v>
      </c>
      <c r="J111" s="11">
        <f t="shared" si="52"/>
        <v>0</v>
      </c>
      <c r="K111" s="11">
        <f t="shared" si="52"/>
        <v>0</v>
      </c>
      <c r="L111" s="11">
        <f t="shared" si="52"/>
        <v>0</v>
      </c>
      <c r="M111" s="11">
        <f t="shared" si="52"/>
        <v>0</v>
      </c>
      <c r="N111" s="11">
        <f t="shared" si="52"/>
        <v>0</v>
      </c>
      <c r="O111" s="11">
        <f t="shared" si="52"/>
        <v>0</v>
      </c>
      <c r="P111" s="11">
        <f t="shared" si="52"/>
        <v>0</v>
      </c>
      <c r="Q111" s="11">
        <f t="shared" si="52"/>
        <v>0</v>
      </c>
      <c r="R111" s="11">
        <f t="shared" si="52"/>
        <v>0</v>
      </c>
      <c r="S111" s="11">
        <f t="shared" si="52"/>
        <v>0</v>
      </c>
      <c r="T111" s="6">
        <f>DATASETS!D29</f>
        <v>2737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1</v>
      </c>
      <c r="AA111" s="37">
        <v>1</v>
      </c>
      <c r="AB111" s="37">
        <v>0</v>
      </c>
      <c r="AC111" s="37">
        <v>0</v>
      </c>
      <c r="AD111" s="37">
        <v>0</v>
      </c>
      <c r="AE111" s="11">
        <f t="shared" si="1"/>
        <v>7</v>
      </c>
      <c r="AF111" s="11">
        <f t="shared" si="2"/>
        <v>7</v>
      </c>
      <c r="AG111" s="11">
        <f t="shared" si="3"/>
        <v>10</v>
      </c>
      <c r="AH111" s="11">
        <f t="shared" si="4"/>
        <v>7</v>
      </c>
      <c r="AI111" s="11">
        <f t="shared" si="5"/>
        <v>9</v>
      </c>
      <c r="AJ111" s="11">
        <f t="shared" si="6"/>
        <v>10</v>
      </c>
      <c r="AK111" s="11">
        <f t="shared" si="7"/>
        <v>7</v>
      </c>
      <c r="AL111" s="11">
        <f t="shared" si="8"/>
        <v>7</v>
      </c>
      <c r="AM111" s="11">
        <f t="shared" si="9"/>
        <v>7</v>
      </c>
      <c r="AN111" s="11">
        <f t="shared" si="10"/>
        <v>7</v>
      </c>
      <c r="AO111" s="35">
        <f t="shared" si="11"/>
        <v>1949.090909090909</v>
      </c>
      <c r="AP111" s="35">
        <f t="shared" si="12"/>
        <v>1396.0454545454545</v>
      </c>
      <c r="AQ111" s="35">
        <f t="shared" si="13"/>
        <v>5339.5</v>
      </c>
      <c r="AR111" s="35">
        <f t="shared" si="14"/>
        <v>2223.8000000000002</v>
      </c>
      <c r="AS111" s="35">
        <f t="shared" si="15"/>
        <v>5477.5714285714284</v>
      </c>
      <c r="AT111" s="35">
        <f t="shared" si="16"/>
        <v>3806.2</v>
      </c>
      <c r="AU111" s="35">
        <f t="shared" si="17"/>
        <v>2250.25</v>
      </c>
      <c r="AV111" s="35">
        <f t="shared" si="18"/>
        <v>2257.4375</v>
      </c>
      <c r="AW111" s="35">
        <f t="shared" si="19"/>
        <v>1715.36</v>
      </c>
      <c r="AX111" s="35">
        <f t="shared" si="20"/>
        <v>1973.8571428571429</v>
      </c>
      <c r="AY111" s="28">
        <f t="shared" si="21"/>
        <v>2838.9112435064935</v>
      </c>
      <c r="AZ111" s="35">
        <f t="shared" si="22"/>
        <v>-101.91124350649352</v>
      </c>
      <c r="BA111" s="35">
        <f t="shared" si="23"/>
        <v>101.91124350649352</v>
      </c>
      <c r="BB111" s="35">
        <f t="shared" si="24"/>
        <v>10385.901553039817</v>
      </c>
      <c r="BC111" s="35">
        <f t="shared" si="25"/>
        <v>733775.2742347871</v>
      </c>
      <c r="BE111" s="37">
        <v>0</v>
      </c>
      <c r="BF111" s="37">
        <v>0</v>
      </c>
      <c r="BG111" s="37">
        <v>0</v>
      </c>
      <c r="BH111" s="37">
        <v>0</v>
      </c>
      <c r="BI111" s="37">
        <v>0</v>
      </c>
      <c r="BJ111" s="37">
        <v>1</v>
      </c>
      <c r="BK111" s="37">
        <v>1</v>
      </c>
      <c r="BL111" s="37">
        <v>0</v>
      </c>
      <c r="BM111" s="37">
        <v>0</v>
      </c>
      <c r="BN111" s="37">
        <v>0</v>
      </c>
      <c r="BO111" s="11">
        <f t="shared" si="26"/>
        <v>6</v>
      </c>
      <c r="BP111" s="11">
        <f t="shared" si="27"/>
        <v>6</v>
      </c>
      <c r="BQ111" s="11">
        <f t="shared" si="28"/>
        <v>7</v>
      </c>
      <c r="BR111" s="11">
        <f t="shared" si="29"/>
        <v>7</v>
      </c>
      <c r="BS111" s="11">
        <f t="shared" si="30"/>
        <v>7</v>
      </c>
      <c r="BT111" s="11">
        <f t="shared" si="31"/>
        <v>7</v>
      </c>
      <c r="BU111" s="11">
        <f t="shared" si="32"/>
        <v>7</v>
      </c>
      <c r="BV111" s="11">
        <f t="shared" si="33"/>
        <v>6</v>
      </c>
      <c r="BW111" s="11">
        <f t="shared" si="34"/>
        <v>6</v>
      </c>
      <c r="BX111" s="11">
        <f t="shared" si="35"/>
        <v>6</v>
      </c>
      <c r="BY111" s="35">
        <f t="shared" si="36"/>
        <v>1883.8695652173913</v>
      </c>
      <c r="BZ111" s="35">
        <f t="shared" si="37"/>
        <v>2135.1666666666665</v>
      </c>
      <c r="CA111" s="35">
        <f t="shared" si="38"/>
        <v>2109.6060606060605</v>
      </c>
      <c r="CB111" s="35">
        <f t="shared" si="39"/>
        <v>2239.9655172413795</v>
      </c>
      <c r="CC111" s="35">
        <f t="shared" si="40"/>
        <v>1353.2222222222222</v>
      </c>
      <c r="CD111" s="35">
        <f t="shared" si="41"/>
        <v>1904.0526315789473</v>
      </c>
      <c r="CE111" s="35">
        <f t="shared" si="42"/>
        <v>2134.6666666666665</v>
      </c>
      <c r="CF111" s="35">
        <f t="shared" si="43"/>
        <v>2294.5789473684213</v>
      </c>
      <c r="CG111" s="35">
        <f t="shared" si="44"/>
        <v>1803.9583333333333</v>
      </c>
      <c r="CH111" s="35">
        <f t="shared" si="45"/>
        <v>1952.125</v>
      </c>
      <c r="CI111" s="28">
        <f t="shared" si="46"/>
        <v>1981.1211610901087</v>
      </c>
      <c r="CJ111" s="35">
        <f t="shared" si="47"/>
        <v>755.87883890989133</v>
      </c>
      <c r="CK111" s="35">
        <f t="shared" si="48"/>
        <v>755.87883890989133</v>
      </c>
      <c r="CL111" s="35">
        <f t="shared" si="49"/>
        <v>571352.81911176548</v>
      </c>
      <c r="CM111" s="35">
        <f t="shared" si="50"/>
        <v>733775.2742347871</v>
      </c>
    </row>
    <row r="112" spans="1:91" x14ac:dyDescent="0.3">
      <c r="A112" s="4" t="str">
        <f>DATASETS!A30</f>
        <v>ROXAS BLVD.</v>
      </c>
      <c r="B112" s="4" t="str">
        <f>DATASETS!E30</f>
        <v>Training</v>
      </c>
      <c r="C112" s="9">
        <f>DATASETS!C30</f>
        <v>190626</v>
      </c>
      <c r="D112" s="4">
        <f>DATASETS!B30</f>
        <v>2020</v>
      </c>
      <c r="E112" s="6">
        <f>DATASETS!I30</f>
        <v>2737</v>
      </c>
      <c r="F112" s="9">
        <f>DATASETS!H30</f>
        <v>60.8</v>
      </c>
      <c r="G112" s="11">
        <f t="shared" si="52"/>
        <v>0</v>
      </c>
      <c r="H112" s="11">
        <f t="shared" si="52"/>
        <v>0</v>
      </c>
      <c r="I112" s="11">
        <f t="shared" si="52"/>
        <v>1</v>
      </c>
      <c r="J112" s="11">
        <f t="shared" si="52"/>
        <v>0</v>
      </c>
      <c r="K112" s="11">
        <f t="shared" si="52"/>
        <v>0</v>
      </c>
      <c r="L112" s="11">
        <f t="shared" si="52"/>
        <v>0</v>
      </c>
      <c r="M112" s="11">
        <f t="shared" si="52"/>
        <v>0</v>
      </c>
      <c r="N112" s="11">
        <f t="shared" si="52"/>
        <v>0</v>
      </c>
      <c r="O112" s="11">
        <f t="shared" si="52"/>
        <v>0</v>
      </c>
      <c r="P112" s="11">
        <f t="shared" si="52"/>
        <v>0</v>
      </c>
      <c r="Q112" s="11">
        <f t="shared" si="52"/>
        <v>0</v>
      </c>
      <c r="R112" s="11">
        <f t="shared" si="52"/>
        <v>0</v>
      </c>
      <c r="S112" s="11">
        <f t="shared" si="52"/>
        <v>0</v>
      </c>
      <c r="T112" s="6">
        <f>DATASETS!D30</f>
        <v>1401</v>
      </c>
      <c r="U112" s="37">
        <v>1</v>
      </c>
      <c r="V112" s="37">
        <v>0</v>
      </c>
      <c r="W112" s="37">
        <v>2</v>
      </c>
      <c r="X112" s="37">
        <v>2</v>
      </c>
      <c r="Y112" s="37">
        <v>0</v>
      </c>
      <c r="Z112" s="37">
        <v>0</v>
      </c>
      <c r="AA112" s="37">
        <v>2</v>
      </c>
      <c r="AB112" s="37">
        <v>0</v>
      </c>
      <c r="AC112" s="37">
        <v>2</v>
      </c>
      <c r="AD112" s="37">
        <v>0</v>
      </c>
      <c r="AE112" s="11">
        <f t="shared" si="1"/>
        <v>7</v>
      </c>
      <c r="AF112" s="11">
        <f t="shared" si="2"/>
        <v>7</v>
      </c>
      <c r="AG112" s="11">
        <f t="shared" si="3"/>
        <v>6</v>
      </c>
      <c r="AH112" s="11">
        <f t="shared" si="4"/>
        <v>6</v>
      </c>
      <c r="AI112" s="11">
        <f t="shared" si="5"/>
        <v>7</v>
      </c>
      <c r="AJ112" s="11">
        <f t="shared" si="6"/>
        <v>6</v>
      </c>
      <c r="AK112" s="11">
        <f t="shared" si="7"/>
        <v>6</v>
      </c>
      <c r="AL112" s="11">
        <f t="shared" si="8"/>
        <v>6</v>
      </c>
      <c r="AM112" s="11">
        <f t="shared" si="9"/>
        <v>7</v>
      </c>
      <c r="AN112" s="11">
        <f t="shared" si="10"/>
        <v>7</v>
      </c>
      <c r="AO112" s="35">
        <f t="shared" si="11"/>
        <v>1949.090909090909</v>
      </c>
      <c r="AP112" s="35">
        <f t="shared" si="12"/>
        <v>1396.0454545454545</v>
      </c>
      <c r="AQ112" s="35">
        <f t="shared" si="13"/>
        <v>2078.2666666666669</v>
      </c>
      <c r="AR112" s="35">
        <f t="shared" si="14"/>
        <v>1627.9428571428571</v>
      </c>
      <c r="AS112" s="35">
        <f t="shared" si="15"/>
        <v>1820.9230769230769</v>
      </c>
      <c r="AT112" s="35">
        <f t="shared" si="16"/>
        <v>1681.7307692307693</v>
      </c>
      <c r="AU112" s="35">
        <f t="shared" si="17"/>
        <v>1434.4848484848485</v>
      </c>
      <c r="AV112" s="35">
        <f t="shared" si="18"/>
        <v>1642.45</v>
      </c>
      <c r="AW112" s="35">
        <f t="shared" si="19"/>
        <v>1715.36</v>
      </c>
      <c r="AX112" s="35">
        <f t="shared" si="20"/>
        <v>1973.8571428571429</v>
      </c>
      <c r="AY112" s="28">
        <f t="shared" si="21"/>
        <v>1732.0151724941727</v>
      </c>
      <c r="AZ112" s="35">
        <f t="shared" si="22"/>
        <v>-331.0151724941727</v>
      </c>
      <c r="BA112" s="35">
        <f t="shared" si="23"/>
        <v>331.0151724941727</v>
      </c>
      <c r="BB112" s="35">
        <f t="shared" si="24"/>
        <v>109571.0444213469</v>
      </c>
      <c r="BC112" s="35">
        <f t="shared" si="25"/>
        <v>229817.80414931694</v>
      </c>
      <c r="BE112" s="37">
        <v>1</v>
      </c>
      <c r="BF112" s="37">
        <v>0</v>
      </c>
      <c r="BG112" s="37">
        <v>2</v>
      </c>
      <c r="BH112" s="37">
        <v>2</v>
      </c>
      <c r="BI112" s="37">
        <v>0</v>
      </c>
      <c r="BJ112" s="37">
        <v>0</v>
      </c>
      <c r="BK112" s="37">
        <v>2</v>
      </c>
      <c r="BL112" s="37">
        <v>0</v>
      </c>
      <c r="BM112" s="37">
        <v>2</v>
      </c>
      <c r="BN112" s="37">
        <v>0</v>
      </c>
      <c r="BO112" s="11">
        <f t="shared" si="26"/>
        <v>6</v>
      </c>
      <c r="BP112" s="11">
        <f t="shared" si="27"/>
        <v>7</v>
      </c>
      <c r="BQ112" s="11">
        <f t="shared" si="28"/>
        <v>7</v>
      </c>
      <c r="BR112" s="11">
        <f t="shared" si="29"/>
        <v>7</v>
      </c>
      <c r="BS112" s="11">
        <f t="shared" si="30"/>
        <v>7</v>
      </c>
      <c r="BT112" s="11">
        <f t="shared" si="31"/>
        <v>7</v>
      </c>
      <c r="BU112" s="11">
        <f t="shared" si="32"/>
        <v>7</v>
      </c>
      <c r="BV112" s="11">
        <f t="shared" si="33"/>
        <v>7</v>
      </c>
      <c r="BW112" s="11">
        <f t="shared" si="34"/>
        <v>6</v>
      </c>
      <c r="BX112" s="11">
        <f t="shared" si="35"/>
        <v>6</v>
      </c>
      <c r="BY112" s="35">
        <f t="shared" si="36"/>
        <v>1883.8695652173913</v>
      </c>
      <c r="BZ112" s="35">
        <f t="shared" si="37"/>
        <v>1290.3333333333333</v>
      </c>
      <c r="CA112" s="35">
        <f t="shared" si="38"/>
        <v>2109.6060606060605</v>
      </c>
      <c r="CB112" s="35">
        <f t="shared" si="39"/>
        <v>2239.9655172413795</v>
      </c>
      <c r="CC112" s="35">
        <f t="shared" si="40"/>
        <v>1353.2222222222222</v>
      </c>
      <c r="CD112" s="35">
        <f t="shared" si="41"/>
        <v>1904.0526315789473</v>
      </c>
      <c r="CE112" s="35">
        <f t="shared" si="42"/>
        <v>2134.6666666666665</v>
      </c>
      <c r="CF112" s="35">
        <f t="shared" si="43"/>
        <v>1805.125</v>
      </c>
      <c r="CG112" s="35">
        <f t="shared" si="44"/>
        <v>1803.9583333333333</v>
      </c>
      <c r="CH112" s="35">
        <f t="shared" si="45"/>
        <v>1952.125</v>
      </c>
      <c r="CI112" s="28">
        <f t="shared" si="46"/>
        <v>1847.6924330199333</v>
      </c>
      <c r="CJ112" s="35">
        <f t="shared" si="47"/>
        <v>-446.69243301993333</v>
      </c>
      <c r="CK112" s="35">
        <f t="shared" si="48"/>
        <v>446.69243301993333</v>
      </c>
      <c r="CL112" s="35">
        <f t="shared" si="49"/>
        <v>199534.12971726761</v>
      </c>
      <c r="CM112" s="35">
        <f t="shared" si="50"/>
        <v>229817.80414931694</v>
      </c>
    </row>
    <row r="113" spans="1:91" x14ac:dyDescent="0.3">
      <c r="A113" s="4" t="str">
        <f>DATASETS!A31</f>
        <v>ROXAS BLVD.</v>
      </c>
      <c r="B113" s="4" t="str">
        <f>DATASETS!E31</f>
        <v>Training</v>
      </c>
      <c r="C113" s="9">
        <f>DATASETS!C31</f>
        <v>209339</v>
      </c>
      <c r="D113" s="4">
        <f>DATASETS!B31</f>
        <v>2021</v>
      </c>
      <c r="E113" s="6">
        <f>DATASETS!I31</f>
        <v>1401</v>
      </c>
      <c r="F113" s="9">
        <f>DATASETS!H31</f>
        <v>60.8</v>
      </c>
      <c r="G113" s="11">
        <f t="shared" si="52"/>
        <v>0</v>
      </c>
      <c r="H113" s="11">
        <f t="shared" si="52"/>
        <v>0</v>
      </c>
      <c r="I113" s="11">
        <f t="shared" si="52"/>
        <v>1</v>
      </c>
      <c r="J113" s="11">
        <f t="shared" si="52"/>
        <v>0</v>
      </c>
      <c r="K113" s="11">
        <f t="shared" si="52"/>
        <v>0</v>
      </c>
      <c r="L113" s="11">
        <f t="shared" si="52"/>
        <v>0</v>
      </c>
      <c r="M113" s="11">
        <f t="shared" si="52"/>
        <v>0</v>
      </c>
      <c r="N113" s="11">
        <f t="shared" si="52"/>
        <v>0</v>
      </c>
      <c r="O113" s="11">
        <f t="shared" si="52"/>
        <v>0</v>
      </c>
      <c r="P113" s="11">
        <f t="shared" si="52"/>
        <v>0</v>
      </c>
      <c r="Q113" s="11">
        <f t="shared" si="52"/>
        <v>0</v>
      </c>
      <c r="R113" s="11">
        <f t="shared" si="52"/>
        <v>0</v>
      </c>
      <c r="S113" s="11">
        <f t="shared" si="52"/>
        <v>0</v>
      </c>
      <c r="T113" s="6">
        <f>DATASETS!D31</f>
        <v>1283</v>
      </c>
      <c r="U113" s="37">
        <v>2</v>
      </c>
      <c r="V113" s="37">
        <v>2</v>
      </c>
      <c r="W113" s="37">
        <v>0</v>
      </c>
      <c r="X113" s="37">
        <v>1</v>
      </c>
      <c r="Y113" s="37">
        <v>0</v>
      </c>
      <c r="Z113" s="37">
        <v>0</v>
      </c>
      <c r="AA113" s="37">
        <v>1</v>
      </c>
      <c r="AB113" s="37">
        <v>3</v>
      </c>
      <c r="AC113" s="37">
        <v>1</v>
      </c>
      <c r="AD113" s="37">
        <v>1</v>
      </c>
      <c r="AE113" s="11">
        <f t="shared" si="1"/>
        <v>7</v>
      </c>
      <c r="AF113" s="11">
        <f t="shared" si="2"/>
        <v>7</v>
      </c>
      <c r="AG113" s="11">
        <f t="shared" si="3"/>
        <v>10</v>
      </c>
      <c r="AH113" s="11">
        <f t="shared" si="4"/>
        <v>7</v>
      </c>
      <c r="AI113" s="11">
        <f t="shared" si="5"/>
        <v>9</v>
      </c>
      <c r="AJ113" s="11">
        <f t="shared" si="6"/>
        <v>10</v>
      </c>
      <c r="AK113" s="11">
        <f t="shared" si="7"/>
        <v>7</v>
      </c>
      <c r="AL113" s="11">
        <f t="shared" si="8"/>
        <v>7</v>
      </c>
      <c r="AM113" s="11">
        <f t="shared" si="9"/>
        <v>7</v>
      </c>
      <c r="AN113" s="11">
        <f t="shared" si="10"/>
        <v>7</v>
      </c>
      <c r="AO113" s="35">
        <f t="shared" si="11"/>
        <v>1949.090909090909</v>
      </c>
      <c r="AP113" s="35">
        <f t="shared" si="12"/>
        <v>1396.0454545454545</v>
      </c>
      <c r="AQ113" s="35">
        <f t="shared" si="13"/>
        <v>5339.5</v>
      </c>
      <c r="AR113" s="35">
        <f t="shared" si="14"/>
        <v>2223.8000000000002</v>
      </c>
      <c r="AS113" s="35">
        <f t="shared" si="15"/>
        <v>5477.5714285714284</v>
      </c>
      <c r="AT113" s="35">
        <f t="shared" si="16"/>
        <v>3806.2</v>
      </c>
      <c r="AU113" s="35">
        <f t="shared" si="17"/>
        <v>2250.25</v>
      </c>
      <c r="AV113" s="35">
        <f t="shared" si="18"/>
        <v>2257.4375</v>
      </c>
      <c r="AW113" s="35">
        <f t="shared" si="19"/>
        <v>1715.36</v>
      </c>
      <c r="AX113" s="35">
        <f t="shared" si="20"/>
        <v>1973.8571428571429</v>
      </c>
      <c r="AY113" s="28">
        <f t="shared" si="21"/>
        <v>2838.9112435064935</v>
      </c>
      <c r="AZ113" s="35">
        <f t="shared" si="22"/>
        <v>-1555.9112435064935</v>
      </c>
      <c r="BA113" s="35">
        <f t="shared" si="23"/>
        <v>1555.9112435064935</v>
      </c>
      <c r="BB113" s="35">
        <f t="shared" si="24"/>
        <v>2420859.7976699229</v>
      </c>
      <c r="BC113" s="35">
        <f t="shared" si="25"/>
        <v>356878.59047410323</v>
      </c>
      <c r="BE113" s="37">
        <v>2</v>
      </c>
      <c r="BF113" s="37">
        <v>2</v>
      </c>
      <c r="BG113" s="37">
        <v>0</v>
      </c>
      <c r="BH113" s="37">
        <v>1</v>
      </c>
      <c r="BI113" s="37">
        <v>0</v>
      </c>
      <c r="BJ113" s="37">
        <v>0</v>
      </c>
      <c r="BK113" s="37">
        <v>1</v>
      </c>
      <c r="BL113" s="37">
        <v>3</v>
      </c>
      <c r="BM113" s="37">
        <v>1</v>
      </c>
      <c r="BN113" s="37">
        <v>1</v>
      </c>
      <c r="BO113" s="11">
        <f t="shared" si="26"/>
        <v>6</v>
      </c>
      <c r="BP113" s="11">
        <f t="shared" si="27"/>
        <v>7</v>
      </c>
      <c r="BQ113" s="11">
        <f t="shared" si="28"/>
        <v>7</v>
      </c>
      <c r="BR113" s="11">
        <f t="shared" si="29"/>
        <v>4</v>
      </c>
      <c r="BS113" s="11">
        <f t="shared" si="30"/>
        <v>4</v>
      </c>
      <c r="BT113" s="11">
        <f t="shared" si="31"/>
        <v>6</v>
      </c>
      <c r="BU113" s="11">
        <f t="shared" si="32"/>
        <v>3</v>
      </c>
      <c r="BV113" s="11">
        <f t="shared" si="33"/>
        <v>4</v>
      </c>
      <c r="BW113" s="11">
        <f t="shared" si="34"/>
        <v>6</v>
      </c>
      <c r="BX113" s="11">
        <f t="shared" si="35"/>
        <v>4</v>
      </c>
      <c r="BY113" s="35">
        <f t="shared" si="36"/>
        <v>1883.8695652173913</v>
      </c>
      <c r="BZ113" s="35">
        <f t="shared" si="37"/>
        <v>1290.3333333333333</v>
      </c>
      <c r="CA113" s="35">
        <f t="shared" si="38"/>
        <v>2109.6060606060605</v>
      </c>
      <c r="CB113" s="35">
        <f t="shared" si="39"/>
        <v>1067.3953488372092</v>
      </c>
      <c r="CC113" s="35">
        <f t="shared" si="40"/>
        <v>1186.5882352941176</v>
      </c>
      <c r="CD113" s="35">
        <f t="shared" si="41"/>
        <v>1283.8095238095239</v>
      </c>
      <c r="CE113" s="35">
        <f t="shared" si="42"/>
        <v>737.21875</v>
      </c>
      <c r="CF113" s="35">
        <f t="shared" si="43"/>
        <v>1130.5</v>
      </c>
      <c r="CG113" s="35">
        <f t="shared" si="44"/>
        <v>1803.9583333333333</v>
      </c>
      <c r="CH113" s="35">
        <f t="shared" si="45"/>
        <v>1071.409090909091</v>
      </c>
      <c r="CI113" s="28">
        <f t="shared" si="46"/>
        <v>1356.4688241340059</v>
      </c>
      <c r="CJ113" s="35">
        <f t="shared" si="47"/>
        <v>-73.468824134005899</v>
      </c>
      <c r="CK113" s="35">
        <f t="shared" si="48"/>
        <v>73.468824134005899</v>
      </c>
      <c r="CL113" s="35">
        <f t="shared" si="49"/>
        <v>5397.6681196334875</v>
      </c>
      <c r="CM113" s="35">
        <f t="shared" si="50"/>
        <v>356878.59047410323</v>
      </c>
    </row>
    <row r="114" spans="1:91" x14ac:dyDescent="0.3">
      <c r="A114" s="4" t="str">
        <f>DATASETS!A32</f>
        <v>ROXAS BLVD.</v>
      </c>
      <c r="B114" s="4" t="str">
        <f>DATASETS!E32</f>
        <v>Training</v>
      </c>
      <c r="C114" s="9">
        <f>DATASETS!C32</f>
        <v>186079</v>
      </c>
      <c r="D114" s="4">
        <f>DATASETS!B32</f>
        <v>2022</v>
      </c>
      <c r="E114" s="6">
        <f>DATASETS!I32</f>
        <v>1283</v>
      </c>
      <c r="F114" s="9">
        <f>DATASETS!H32</f>
        <v>60.8</v>
      </c>
      <c r="G114" s="11">
        <f t="shared" si="52"/>
        <v>0</v>
      </c>
      <c r="H114" s="11">
        <f t="shared" si="52"/>
        <v>0</v>
      </c>
      <c r="I114" s="11">
        <f t="shared" si="52"/>
        <v>1</v>
      </c>
      <c r="J114" s="11">
        <f t="shared" si="52"/>
        <v>0</v>
      </c>
      <c r="K114" s="11">
        <f t="shared" si="52"/>
        <v>0</v>
      </c>
      <c r="L114" s="11">
        <f t="shared" si="52"/>
        <v>0</v>
      </c>
      <c r="M114" s="11">
        <f t="shared" si="52"/>
        <v>0</v>
      </c>
      <c r="N114" s="11">
        <f t="shared" si="52"/>
        <v>0</v>
      </c>
      <c r="O114" s="11">
        <f t="shared" si="52"/>
        <v>0</v>
      </c>
      <c r="P114" s="11">
        <f t="shared" si="52"/>
        <v>0</v>
      </c>
      <c r="Q114" s="11">
        <f t="shared" si="52"/>
        <v>0</v>
      </c>
      <c r="R114" s="11">
        <f t="shared" si="52"/>
        <v>0</v>
      </c>
      <c r="S114" s="11">
        <f t="shared" si="52"/>
        <v>0</v>
      </c>
      <c r="T114" s="6">
        <f>DATASETS!D32</f>
        <v>1786</v>
      </c>
      <c r="U114" s="37">
        <v>0</v>
      </c>
      <c r="V114" s="37">
        <v>2</v>
      </c>
      <c r="W114" s="37">
        <v>0</v>
      </c>
      <c r="X114" s="37">
        <v>0</v>
      </c>
      <c r="Y114" s="37">
        <v>2</v>
      </c>
      <c r="Z114" s="37">
        <v>1</v>
      </c>
      <c r="AA114" s="37">
        <v>0</v>
      </c>
      <c r="AB114" s="37">
        <v>1</v>
      </c>
      <c r="AC114" s="37">
        <v>1</v>
      </c>
      <c r="AD114" s="37">
        <v>1</v>
      </c>
      <c r="AE114" s="11">
        <f t="shared" si="1"/>
        <v>6</v>
      </c>
      <c r="AF114" s="11">
        <f t="shared" si="2"/>
        <v>7</v>
      </c>
      <c r="AG114" s="11">
        <f t="shared" si="3"/>
        <v>6</v>
      </c>
      <c r="AH114" s="11">
        <f t="shared" si="4"/>
        <v>6</v>
      </c>
      <c r="AI114" s="11">
        <f t="shared" si="5"/>
        <v>7</v>
      </c>
      <c r="AJ114" s="11">
        <f t="shared" si="6"/>
        <v>6</v>
      </c>
      <c r="AK114" s="11">
        <f t="shared" si="7"/>
        <v>6</v>
      </c>
      <c r="AL114" s="11">
        <f t="shared" si="8"/>
        <v>6</v>
      </c>
      <c r="AM114" s="11">
        <f t="shared" si="9"/>
        <v>7</v>
      </c>
      <c r="AN114" s="11">
        <f t="shared" si="10"/>
        <v>7</v>
      </c>
      <c r="AO114" s="35">
        <f t="shared" si="11"/>
        <v>1533.2941176470588</v>
      </c>
      <c r="AP114" s="35">
        <f t="shared" si="12"/>
        <v>1396.0454545454545</v>
      </c>
      <c r="AQ114" s="35">
        <f t="shared" si="13"/>
        <v>2078.2666666666669</v>
      </c>
      <c r="AR114" s="35">
        <f t="shared" si="14"/>
        <v>1627.9428571428571</v>
      </c>
      <c r="AS114" s="35">
        <f t="shared" si="15"/>
        <v>1820.9230769230769</v>
      </c>
      <c r="AT114" s="35">
        <f t="shared" si="16"/>
        <v>1681.7307692307693</v>
      </c>
      <c r="AU114" s="35">
        <f t="shared" si="17"/>
        <v>1434.4848484848485</v>
      </c>
      <c r="AV114" s="35">
        <f t="shared" si="18"/>
        <v>1642.45</v>
      </c>
      <c r="AW114" s="35">
        <f t="shared" si="19"/>
        <v>1715.36</v>
      </c>
      <c r="AX114" s="35">
        <f t="shared" si="20"/>
        <v>1973.8571428571429</v>
      </c>
      <c r="AY114" s="28">
        <f t="shared" si="21"/>
        <v>1690.4354933497875</v>
      </c>
      <c r="AZ114" s="35">
        <f t="shared" si="22"/>
        <v>95.564506650212479</v>
      </c>
      <c r="BA114" s="35">
        <f t="shared" si="23"/>
        <v>95.564506650212479</v>
      </c>
      <c r="BB114" s="35">
        <f t="shared" si="24"/>
        <v>9132.5749312985045</v>
      </c>
      <c r="BC114" s="35">
        <f t="shared" si="25"/>
        <v>8910.069106581921</v>
      </c>
      <c r="BE114" s="37">
        <v>0</v>
      </c>
      <c r="BF114" s="37">
        <v>2</v>
      </c>
      <c r="BG114" s="37">
        <v>0</v>
      </c>
      <c r="BH114" s="37">
        <v>0</v>
      </c>
      <c r="BI114" s="37">
        <v>2</v>
      </c>
      <c r="BJ114" s="37">
        <v>1</v>
      </c>
      <c r="BK114" s="37">
        <v>0</v>
      </c>
      <c r="BL114" s="37">
        <v>1</v>
      </c>
      <c r="BM114" s="37">
        <v>1</v>
      </c>
      <c r="BN114" s="37">
        <v>1</v>
      </c>
      <c r="BO114" s="11">
        <f t="shared" si="26"/>
        <v>4</v>
      </c>
      <c r="BP114" s="11">
        <f t="shared" si="27"/>
        <v>7</v>
      </c>
      <c r="BQ114" s="11">
        <f t="shared" si="28"/>
        <v>4</v>
      </c>
      <c r="BR114" s="11">
        <f t="shared" si="29"/>
        <v>4</v>
      </c>
      <c r="BS114" s="11">
        <f t="shared" si="30"/>
        <v>4</v>
      </c>
      <c r="BT114" s="11">
        <f t="shared" si="31"/>
        <v>6</v>
      </c>
      <c r="BU114" s="11">
        <f t="shared" si="32"/>
        <v>3</v>
      </c>
      <c r="BV114" s="11">
        <f t="shared" si="33"/>
        <v>4</v>
      </c>
      <c r="BW114" s="11">
        <f t="shared" si="34"/>
        <v>4</v>
      </c>
      <c r="BX114" s="11">
        <f t="shared" si="35"/>
        <v>4</v>
      </c>
      <c r="BY114" s="35">
        <f t="shared" si="36"/>
        <v>1064.1818181818182</v>
      </c>
      <c r="BZ114" s="35">
        <f t="shared" si="37"/>
        <v>1290.3333333333333</v>
      </c>
      <c r="CA114" s="35">
        <f t="shared" si="38"/>
        <v>1010.6551724137931</v>
      </c>
      <c r="CB114" s="35">
        <f t="shared" si="39"/>
        <v>1067.3953488372092</v>
      </c>
      <c r="CC114" s="35">
        <f t="shared" si="40"/>
        <v>1186.5882352941176</v>
      </c>
      <c r="CD114" s="35">
        <f t="shared" si="41"/>
        <v>1283.8095238095239</v>
      </c>
      <c r="CE114" s="35">
        <f t="shared" si="42"/>
        <v>737.21875</v>
      </c>
      <c r="CF114" s="35">
        <f t="shared" si="43"/>
        <v>1130.5</v>
      </c>
      <c r="CG114" s="35">
        <f t="shared" si="44"/>
        <v>1060.5135135135135</v>
      </c>
      <c r="CH114" s="35">
        <f t="shared" si="45"/>
        <v>1071.409090909091</v>
      </c>
      <c r="CI114" s="28">
        <f t="shared" si="46"/>
        <v>1090.26047862924</v>
      </c>
      <c r="CJ114" s="35">
        <f t="shared" si="47"/>
        <v>695.73952137076003</v>
      </c>
      <c r="CK114" s="35">
        <f t="shared" si="48"/>
        <v>695.73952137076003</v>
      </c>
      <c r="CL114" s="35">
        <f t="shared" si="49"/>
        <v>484053.48159721424</v>
      </c>
      <c r="CM114" s="35">
        <f t="shared" si="50"/>
        <v>8910.069106581921</v>
      </c>
    </row>
    <row r="115" spans="1:91" x14ac:dyDescent="0.3">
      <c r="A115" s="4" t="str">
        <f>DATASETS!A33</f>
        <v>ROXAS BLVD.</v>
      </c>
      <c r="B115" s="4" t="str">
        <f>DATASETS!E33</f>
        <v>Training</v>
      </c>
      <c r="C115" s="9">
        <f>DATASETS!C33</f>
        <v>190184</v>
      </c>
      <c r="D115" s="4">
        <f>DATASETS!B33</f>
        <v>2023</v>
      </c>
      <c r="E115" s="6">
        <f>DATASETS!I33</f>
        <v>1786</v>
      </c>
      <c r="F115" s="9">
        <f>DATASETS!H33</f>
        <v>60.8</v>
      </c>
      <c r="G115" s="11">
        <f t="shared" si="52"/>
        <v>0</v>
      </c>
      <c r="H115" s="11">
        <f t="shared" si="52"/>
        <v>0</v>
      </c>
      <c r="I115" s="11">
        <f t="shared" si="52"/>
        <v>1</v>
      </c>
      <c r="J115" s="11">
        <f t="shared" si="52"/>
        <v>0</v>
      </c>
      <c r="K115" s="11">
        <f t="shared" si="52"/>
        <v>0</v>
      </c>
      <c r="L115" s="11">
        <f t="shared" si="52"/>
        <v>0</v>
      </c>
      <c r="M115" s="11">
        <f t="shared" si="52"/>
        <v>0</v>
      </c>
      <c r="N115" s="11">
        <f t="shared" si="52"/>
        <v>0</v>
      </c>
      <c r="O115" s="11">
        <f t="shared" si="52"/>
        <v>0</v>
      </c>
      <c r="P115" s="11">
        <f t="shared" si="52"/>
        <v>0</v>
      </c>
      <c r="Q115" s="11">
        <f t="shared" si="52"/>
        <v>0</v>
      </c>
      <c r="R115" s="11">
        <f t="shared" si="52"/>
        <v>0</v>
      </c>
      <c r="S115" s="11">
        <f t="shared" si="52"/>
        <v>0</v>
      </c>
      <c r="T115" s="6">
        <f>DATASETS!D33</f>
        <v>1817</v>
      </c>
      <c r="U115" s="37">
        <v>0</v>
      </c>
      <c r="V115" s="37">
        <v>0</v>
      </c>
      <c r="W115" s="37">
        <v>1</v>
      </c>
      <c r="X115" s="37">
        <v>0</v>
      </c>
      <c r="Y115" s="37">
        <v>2</v>
      </c>
      <c r="Z115" s="37">
        <v>0</v>
      </c>
      <c r="AA115" s="37">
        <v>1</v>
      </c>
      <c r="AB115" s="37">
        <v>1</v>
      </c>
      <c r="AC115" s="37">
        <v>2</v>
      </c>
      <c r="AD115" s="37">
        <v>0</v>
      </c>
      <c r="AE115" s="11">
        <f t="shared" si="1"/>
        <v>7</v>
      </c>
      <c r="AF115" s="11">
        <f t="shared" si="2"/>
        <v>7</v>
      </c>
      <c r="AG115" s="11">
        <f t="shared" si="3"/>
        <v>6</v>
      </c>
      <c r="AH115" s="11">
        <f t="shared" si="4"/>
        <v>6</v>
      </c>
      <c r="AI115" s="11">
        <f t="shared" si="5"/>
        <v>7</v>
      </c>
      <c r="AJ115" s="11">
        <f t="shared" si="6"/>
        <v>6</v>
      </c>
      <c r="AK115" s="11">
        <f t="shared" si="7"/>
        <v>6</v>
      </c>
      <c r="AL115" s="11">
        <f t="shared" si="8"/>
        <v>6</v>
      </c>
      <c r="AM115" s="11">
        <f t="shared" si="9"/>
        <v>7</v>
      </c>
      <c r="AN115" s="11">
        <f t="shared" si="10"/>
        <v>7</v>
      </c>
      <c r="AO115" s="35">
        <f t="shared" si="11"/>
        <v>1949.090909090909</v>
      </c>
      <c r="AP115" s="35">
        <f t="shared" si="12"/>
        <v>1396.0454545454545</v>
      </c>
      <c r="AQ115" s="35">
        <f t="shared" si="13"/>
        <v>2078.2666666666669</v>
      </c>
      <c r="AR115" s="35">
        <f t="shared" si="14"/>
        <v>1627.9428571428571</v>
      </c>
      <c r="AS115" s="35">
        <f t="shared" si="15"/>
        <v>1820.9230769230769</v>
      </c>
      <c r="AT115" s="35">
        <f t="shared" si="16"/>
        <v>1681.7307692307693</v>
      </c>
      <c r="AU115" s="35">
        <f t="shared" si="17"/>
        <v>1434.4848484848485</v>
      </c>
      <c r="AV115" s="35">
        <f t="shared" si="18"/>
        <v>1642.45</v>
      </c>
      <c r="AW115" s="35">
        <f t="shared" si="19"/>
        <v>1715.36</v>
      </c>
      <c r="AX115" s="35">
        <f t="shared" si="20"/>
        <v>1973.8571428571429</v>
      </c>
      <c r="AY115" s="28">
        <f t="shared" si="21"/>
        <v>1732.0151724941727</v>
      </c>
      <c r="AZ115" s="35">
        <f t="shared" si="22"/>
        <v>84.984827505827298</v>
      </c>
      <c r="BA115" s="35">
        <f t="shared" si="23"/>
        <v>84.984827505827298</v>
      </c>
      <c r="BB115" s="35">
        <f t="shared" si="24"/>
        <v>7222.4209061952197</v>
      </c>
      <c r="BC115" s="35">
        <f t="shared" si="25"/>
        <v>4018.693038205854</v>
      </c>
      <c r="BE115" s="37">
        <v>0</v>
      </c>
      <c r="BF115" s="37">
        <v>0</v>
      </c>
      <c r="BG115" s="37">
        <v>1</v>
      </c>
      <c r="BH115" s="37">
        <v>0</v>
      </c>
      <c r="BI115" s="37">
        <v>2</v>
      </c>
      <c r="BJ115" s="37">
        <v>0</v>
      </c>
      <c r="BK115" s="37">
        <v>1</v>
      </c>
      <c r="BL115" s="37">
        <v>1</v>
      </c>
      <c r="BM115" s="37">
        <v>2</v>
      </c>
      <c r="BN115" s="37">
        <v>0</v>
      </c>
      <c r="BO115" s="11">
        <f t="shared" si="26"/>
        <v>6</v>
      </c>
      <c r="BP115" s="11">
        <f t="shared" si="27"/>
        <v>7</v>
      </c>
      <c r="BQ115" s="11">
        <f t="shared" si="28"/>
        <v>7</v>
      </c>
      <c r="BR115" s="11">
        <f t="shared" si="29"/>
        <v>7</v>
      </c>
      <c r="BS115" s="11">
        <f t="shared" si="30"/>
        <v>6</v>
      </c>
      <c r="BT115" s="11">
        <f t="shared" si="31"/>
        <v>7</v>
      </c>
      <c r="BU115" s="11">
        <f t="shared" si="32"/>
        <v>7</v>
      </c>
      <c r="BV115" s="11">
        <f t="shared" si="33"/>
        <v>7</v>
      </c>
      <c r="BW115" s="11">
        <f t="shared" si="34"/>
        <v>6</v>
      </c>
      <c r="BX115" s="11">
        <f t="shared" si="35"/>
        <v>6</v>
      </c>
      <c r="BY115" s="35">
        <f t="shared" si="36"/>
        <v>1883.8695652173913</v>
      </c>
      <c r="BZ115" s="35">
        <f t="shared" si="37"/>
        <v>1290.3333333333333</v>
      </c>
      <c r="CA115" s="35">
        <f t="shared" si="38"/>
        <v>2109.6060606060605</v>
      </c>
      <c r="CB115" s="35">
        <f t="shared" si="39"/>
        <v>2239.9655172413795</v>
      </c>
      <c r="CC115" s="35">
        <f t="shared" si="40"/>
        <v>2206.8636363636365</v>
      </c>
      <c r="CD115" s="35">
        <f t="shared" si="41"/>
        <v>1904.0526315789473</v>
      </c>
      <c r="CE115" s="35">
        <f t="shared" si="42"/>
        <v>2134.6666666666665</v>
      </c>
      <c r="CF115" s="35">
        <f t="shared" si="43"/>
        <v>1805.125</v>
      </c>
      <c r="CG115" s="35">
        <f t="shared" si="44"/>
        <v>1803.9583333333333</v>
      </c>
      <c r="CH115" s="35">
        <f t="shared" si="45"/>
        <v>1952.125</v>
      </c>
      <c r="CI115" s="28">
        <f t="shared" si="46"/>
        <v>1933.0565744340747</v>
      </c>
      <c r="CJ115" s="35">
        <f t="shared" si="47"/>
        <v>-116.05657443407472</v>
      </c>
      <c r="CK115" s="35">
        <f t="shared" si="48"/>
        <v>116.05657443407472</v>
      </c>
      <c r="CL115" s="35">
        <f t="shared" si="49"/>
        <v>13469.128469371926</v>
      </c>
      <c r="CM115" s="35">
        <f t="shared" si="50"/>
        <v>4018.693038205854</v>
      </c>
    </row>
    <row r="116" spans="1:91" x14ac:dyDescent="0.3">
      <c r="A116" s="4" t="str">
        <f>DATASETS!A34</f>
        <v>ROXAS BLVD.</v>
      </c>
      <c r="B116" s="4" t="str">
        <f>DATASETS!E34</f>
        <v>Training</v>
      </c>
      <c r="C116" s="9">
        <f>DATASETS!C34</f>
        <v>202820</v>
      </c>
      <c r="D116" s="4">
        <f>DATASETS!B34</f>
        <v>2024</v>
      </c>
      <c r="E116" s="6">
        <f>DATASETS!I34</f>
        <v>1817</v>
      </c>
      <c r="F116" s="9">
        <f>DATASETS!H34</f>
        <v>60.8</v>
      </c>
      <c r="G116" s="11">
        <f t="shared" si="52"/>
        <v>0</v>
      </c>
      <c r="H116" s="11">
        <f t="shared" si="52"/>
        <v>0</v>
      </c>
      <c r="I116" s="11">
        <f t="shared" si="52"/>
        <v>1</v>
      </c>
      <c r="J116" s="11">
        <f t="shared" si="52"/>
        <v>0</v>
      </c>
      <c r="K116" s="11">
        <f t="shared" si="52"/>
        <v>0</v>
      </c>
      <c r="L116" s="11">
        <f t="shared" si="52"/>
        <v>0</v>
      </c>
      <c r="M116" s="11">
        <f t="shared" si="52"/>
        <v>0</v>
      </c>
      <c r="N116" s="11">
        <f t="shared" si="52"/>
        <v>0</v>
      </c>
      <c r="O116" s="11">
        <f t="shared" si="52"/>
        <v>0</v>
      </c>
      <c r="P116" s="11">
        <f t="shared" si="52"/>
        <v>0</v>
      </c>
      <c r="Q116" s="11">
        <f t="shared" si="52"/>
        <v>0</v>
      </c>
      <c r="R116" s="11">
        <f t="shared" si="52"/>
        <v>0</v>
      </c>
      <c r="S116" s="11">
        <f t="shared" si="52"/>
        <v>0</v>
      </c>
      <c r="T116" s="6">
        <f>DATASETS!D34</f>
        <v>1659</v>
      </c>
      <c r="U116" s="37">
        <v>0</v>
      </c>
      <c r="V116" s="37">
        <v>0</v>
      </c>
      <c r="W116" s="37">
        <v>0</v>
      </c>
      <c r="X116" s="37">
        <v>1</v>
      </c>
      <c r="Y116" s="37">
        <v>0</v>
      </c>
      <c r="Z116" s="37">
        <v>2</v>
      </c>
      <c r="AA116" s="37">
        <v>2</v>
      </c>
      <c r="AB116" s="37">
        <v>1</v>
      </c>
      <c r="AC116" s="37">
        <v>1</v>
      </c>
      <c r="AD116" s="37">
        <v>3</v>
      </c>
      <c r="AE116" s="11">
        <f t="shared" si="1"/>
        <v>7</v>
      </c>
      <c r="AF116" s="11">
        <f t="shared" si="2"/>
        <v>7</v>
      </c>
      <c r="AG116" s="11">
        <f t="shared" si="3"/>
        <v>10</v>
      </c>
      <c r="AH116" s="11">
        <f t="shared" si="4"/>
        <v>6</v>
      </c>
      <c r="AI116" s="11">
        <f t="shared" si="5"/>
        <v>9</v>
      </c>
      <c r="AJ116" s="11">
        <f t="shared" si="6"/>
        <v>7</v>
      </c>
      <c r="AK116" s="11">
        <f t="shared" si="7"/>
        <v>7</v>
      </c>
      <c r="AL116" s="11">
        <f t="shared" si="8"/>
        <v>7</v>
      </c>
      <c r="AM116" s="11">
        <f t="shared" si="9"/>
        <v>7</v>
      </c>
      <c r="AN116" s="11">
        <f t="shared" si="10"/>
        <v>7</v>
      </c>
      <c r="AO116" s="35">
        <f t="shared" si="11"/>
        <v>1949.090909090909</v>
      </c>
      <c r="AP116" s="35">
        <f t="shared" si="12"/>
        <v>1396.0454545454545</v>
      </c>
      <c r="AQ116" s="35">
        <f t="shared" si="13"/>
        <v>5339.5</v>
      </c>
      <c r="AR116" s="35">
        <f t="shared" si="14"/>
        <v>1627.9428571428571</v>
      </c>
      <c r="AS116" s="35">
        <f t="shared" si="15"/>
        <v>5477.5714285714284</v>
      </c>
      <c r="AT116" s="35">
        <f t="shared" si="16"/>
        <v>1187.4000000000001</v>
      </c>
      <c r="AU116" s="35">
        <f t="shared" si="17"/>
        <v>2250.25</v>
      </c>
      <c r="AV116" s="35">
        <f t="shared" si="18"/>
        <v>2257.4375</v>
      </c>
      <c r="AW116" s="35">
        <f t="shared" si="19"/>
        <v>1715.36</v>
      </c>
      <c r="AX116" s="35">
        <f t="shared" si="20"/>
        <v>1973.8571428571429</v>
      </c>
      <c r="AY116" s="28">
        <f t="shared" si="21"/>
        <v>2517.4455292207795</v>
      </c>
      <c r="AZ116" s="35">
        <f t="shared" si="22"/>
        <v>-858.44552922077946</v>
      </c>
      <c r="BA116" s="35">
        <f t="shared" si="23"/>
        <v>858.44552922077946</v>
      </c>
      <c r="BB116" s="35">
        <f t="shared" si="24"/>
        <v>736928.72663914412</v>
      </c>
      <c r="BC116" s="35">
        <f t="shared" si="25"/>
        <v>49014.932354445162</v>
      </c>
      <c r="BE116" s="37">
        <v>0</v>
      </c>
      <c r="BF116" s="37">
        <v>0</v>
      </c>
      <c r="BG116" s="37">
        <v>0</v>
      </c>
      <c r="BH116" s="37">
        <v>1</v>
      </c>
      <c r="BI116" s="37">
        <v>0</v>
      </c>
      <c r="BJ116" s="37">
        <v>2</v>
      </c>
      <c r="BK116" s="37">
        <v>2</v>
      </c>
      <c r="BL116" s="37">
        <v>1</v>
      </c>
      <c r="BM116" s="37">
        <v>1</v>
      </c>
      <c r="BN116" s="37">
        <v>3</v>
      </c>
      <c r="BO116" s="11">
        <f t="shared" si="26"/>
        <v>6</v>
      </c>
      <c r="BP116" s="11">
        <f t="shared" si="27"/>
        <v>7</v>
      </c>
      <c r="BQ116" s="11">
        <f t="shared" si="28"/>
        <v>7</v>
      </c>
      <c r="BR116" s="11">
        <f t="shared" si="29"/>
        <v>7</v>
      </c>
      <c r="BS116" s="11">
        <f t="shared" si="30"/>
        <v>6</v>
      </c>
      <c r="BT116" s="11">
        <f t="shared" si="31"/>
        <v>7</v>
      </c>
      <c r="BU116" s="11">
        <f t="shared" si="32"/>
        <v>7</v>
      </c>
      <c r="BV116" s="11">
        <f t="shared" si="33"/>
        <v>7</v>
      </c>
      <c r="BW116" s="11">
        <f t="shared" si="34"/>
        <v>6</v>
      </c>
      <c r="BX116" s="11">
        <f t="shared" si="35"/>
        <v>6</v>
      </c>
      <c r="BY116" s="35">
        <f t="shared" si="36"/>
        <v>1883.8695652173913</v>
      </c>
      <c r="BZ116" s="35">
        <f t="shared" si="37"/>
        <v>1290.3333333333333</v>
      </c>
      <c r="CA116" s="35">
        <f t="shared" si="38"/>
        <v>2109.6060606060605</v>
      </c>
      <c r="CB116" s="35">
        <f t="shared" si="39"/>
        <v>2239.9655172413795</v>
      </c>
      <c r="CC116" s="35">
        <f t="shared" si="40"/>
        <v>2206.8636363636365</v>
      </c>
      <c r="CD116" s="35">
        <f t="shared" si="41"/>
        <v>1904.0526315789473</v>
      </c>
      <c r="CE116" s="35">
        <f t="shared" si="42"/>
        <v>2134.6666666666665</v>
      </c>
      <c r="CF116" s="35">
        <f t="shared" si="43"/>
        <v>1805.125</v>
      </c>
      <c r="CG116" s="35">
        <f t="shared" si="44"/>
        <v>1803.9583333333333</v>
      </c>
      <c r="CH116" s="35">
        <f t="shared" si="45"/>
        <v>1952.125</v>
      </c>
      <c r="CI116" s="28">
        <f t="shared" si="46"/>
        <v>1933.0565744340747</v>
      </c>
      <c r="CJ116" s="35">
        <f t="shared" si="47"/>
        <v>-274.05657443407472</v>
      </c>
      <c r="CK116" s="35">
        <f t="shared" si="48"/>
        <v>274.05657443407472</v>
      </c>
      <c r="CL116" s="35">
        <f t="shared" si="49"/>
        <v>75107.005990539532</v>
      </c>
      <c r="CM116" s="35">
        <f t="shared" si="50"/>
        <v>49014.932354445162</v>
      </c>
    </row>
    <row r="117" spans="1:91" x14ac:dyDescent="0.3">
      <c r="A117" s="4" t="str">
        <f>DATASETS!A36</f>
        <v>TAFT AVE.</v>
      </c>
      <c r="B117" s="4" t="str">
        <f>DATASETS!E36</f>
        <v>Training</v>
      </c>
      <c r="C117" s="9">
        <f>DATASETS!C36</f>
        <v>89848</v>
      </c>
      <c r="D117" s="4">
        <f>DATASETS!B36</f>
        <v>2016</v>
      </c>
      <c r="E117" s="6">
        <f>DATASETS!I36</f>
        <v>789</v>
      </c>
      <c r="F117" s="9">
        <f>DATASETS!H36</f>
        <v>42</v>
      </c>
      <c r="G117" s="11">
        <f t="shared" si="52"/>
        <v>0</v>
      </c>
      <c r="H117" s="11">
        <f t="shared" si="52"/>
        <v>0</v>
      </c>
      <c r="I117" s="11">
        <f t="shared" si="52"/>
        <v>0</v>
      </c>
      <c r="J117" s="11">
        <f t="shared" si="52"/>
        <v>1</v>
      </c>
      <c r="K117" s="11">
        <f t="shared" si="52"/>
        <v>0</v>
      </c>
      <c r="L117" s="11">
        <f t="shared" si="52"/>
        <v>0</v>
      </c>
      <c r="M117" s="11">
        <f t="shared" si="52"/>
        <v>0</v>
      </c>
      <c r="N117" s="11">
        <f t="shared" si="52"/>
        <v>0</v>
      </c>
      <c r="O117" s="11">
        <f t="shared" si="52"/>
        <v>0</v>
      </c>
      <c r="P117" s="11">
        <f t="shared" si="52"/>
        <v>0</v>
      </c>
      <c r="Q117" s="11">
        <f t="shared" si="52"/>
        <v>0</v>
      </c>
      <c r="R117" s="11">
        <f t="shared" si="52"/>
        <v>0</v>
      </c>
      <c r="S117" s="11">
        <f t="shared" si="52"/>
        <v>0</v>
      </c>
      <c r="T117" s="6">
        <f>DATASETS!D36</f>
        <v>979</v>
      </c>
      <c r="U117" s="37">
        <v>0</v>
      </c>
      <c r="V117" s="37">
        <v>0</v>
      </c>
      <c r="W117" s="37">
        <v>1</v>
      </c>
      <c r="X117" s="37">
        <v>1</v>
      </c>
      <c r="Y117" s="37">
        <v>0</v>
      </c>
      <c r="Z117" s="37">
        <v>1</v>
      </c>
      <c r="AA117" s="37">
        <v>0</v>
      </c>
      <c r="AB117" s="37">
        <v>2</v>
      </c>
      <c r="AC117" s="37">
        <v>1</v>
      </c>
      <c r="AD117" s="37">
        <v>1</v>
      </c>
      <c r="AE117" s="11">
        <f t="shared" si="1"/>
        <v>3</v>
      </c>
      <c r="AF117" s="11">
        <f t="shared" si="2"/>
        <v>3</v>
      </c>
      <c r="AG117" s="11">
        <f t="shared" si="3"/>
        <v>4</v>
      </c>
      <c r="AH117" s="11">
        <f t="shared" si="4"/>
        <v>3</v>
      </c>
      <c r="AI117" s="11">
        <f t="shared" si="5"/>
        <v>3</v>
      </c>
      <c r="AJ117" s="11">
        <f t="shared" si="6"/>
        <v>3</v>
      </c>
      <c r="AK117" s="11">
        <f t="shared" si="7"/>
        <v>4</v>
      </c>
      <c r="AL117" s="11">
        <f t="shared" si="8"/>
        <v>3</v>
      </c>
      <c r="AM117" s="11">
        <f t="shared" si="9"/>
        <v>4</v>
      </c>
      <c r="AN117" s="11">
        <f t="shared" si="10"/>
        <v>3</v>
      </c>
      <c r="AO117" s="35">
        <f t="shared" si="11"/>
        <v>600.81818181818187</v>
      </c>
      <c r="AP117" s="35">
        <f t="shared" si="12"/>
        <v>879.5</v>
      </c>
      <c r="AQ117" s="35">
        <f t="shared" si="13"/>
        <v>800.71794871794873</v>
      </c>
      <c r="AR117" s="35">
        <f t="shared" si="14"/>
        <v>668.6</v>
      </c>
      <c r="AS117" s="35">
        <f t="shared" si="15"/>
        <v>609.80952380952385</v>
      </c>
      <c r="AT117" s="35">
        <f t="shared" si="16"/>
        <v>730.06451612903231</v>
      </c>
      <c r="AU117" s="35">
        <f t="shared" si="17"/>
        <v>763.24242424242425</v>
      </c>
      <c r="AV117" s="35">
        <f t="shared" si="18"/>
        <v>703.24</v>
      </c>
      <c r="AW117" s="35">
        <f t="shared" si="19"/>
        <v>838.3125</v>
      </c>
      <c r="AX117" s="35">
        <f t="shared" si="20"/>
        <v>889.97222222222217</v>
      </c>
      <c r="AY117" s="28">
        <f t="shared" si="21"/>
        <v>748.42773169393331</v>
      </c>
      <c r="AZ117" s="35">
        <f t="shared" si="22"/>
        <v>230.57226830606669</v>
      </c>
      <c r="BA117" s="35">
        <f t="shared" si="23"/>
        <v>230.57226830606669</v>
      </c>
      <c r="BB117" s="35">
        <f t="shared" si="24"/>
        <v>53163.570911804803</v>
      </c>
      <c r="BC117" s="35">
        <f t="shared" si="25"/>
        <v>812509.63320914598</v>
      </c>
      <c r="BE117" s="37">
        <v>0</v>
      </c>
      <c r="BF117" s="37">
        <v>0</v>
      </c>
      <c r="BG117" s="37">
        <v>1</v>
      </c>
      <c r="BH117" s="37">
        <v>1</v>
      </c>
      <c r="BI117" s="37">
        <v>0</v>
      </c>
      <c r="BJ117" s="37">
        <v>1</v>
      </c>
      <c r="BK117" s="37">
        <v>0</v>
      </c>
      <c r="BL117" s="37">
        <v>2</v>
      </c>
      <c r="BM117" s="37">
        <v>1</v>
      </c>
      <c r="BN117" s="37">
        <v>1</v>
      </c>
      <c r="BO117" s="11">
        <f t="shared" si="26"/>
        <v>4</v>
      </c>
      <c r="BP117" s="11">
        <f t="shared" si="27"/>
        <v>4</v>
      </c>
      <c r="BQ117" s="11">
        <f t="shared" si="28"/>
        <v>4</v>
      </c>
      <c r="BR117" s="11">
        <f t="shared" si="29"/>
        <v>4</v>
      </c>
      <c r="BS117" s="11">
        <f t="shared" si="30"/>
        <v>4</v>
      </c>
      <c r="BT117" s="11">
        <f t="shared" si="31"/>
        <v>4</v>
      </c>
      <c r="BU117" s="11">
        <f t="shared" si="32"/>
        <v>3</v>
      </c>
      <c r="BV117" s="11">
        <f t="shared" si="33"/>
        <v>4</v>
      </c>
      <c r="BW117" s="11">
        <f t="shared" si="34"/>
        <v>4</v>
      </c>
      <c r="BX117" s="11">
        <f t="shared" si="35"/>
        <v>4</v>
      </c>
      <c r="BY117" s="35">
        <f t="shared" si="36"/>
        <v>1064.1818181818182</v>
      </c>
      <c r="BZ117" s="35">
        <f t="shared" si="37"/>
        <v>1019.8181818181819</v>
      </c>
      <c r="CA117" s="35">
        <f t="shared" si="38"/>
        <v>1010.6551724137931</v>
      </c>
      <c r="CB117" s="35">
        <f t="shared" si="39"/>
        <v>1067.3953488372092</v>
      </c>
      <c r="CC117" s="35">
        <f t="shared" si="40"/>
        <v>1186.5882352941176</v>
      </c>
      <c r="CD117" s="35">
        <f t="shared" si="41"/>
        <v>1025.608695652174</v>
      </c>
      <c r="CE117" s="35">
        <f t="shared" si="42"/>
        <v>737.21875</v>
      </c>
      <c r="CF117" s="35">
        <f t="shared" si="43"/>
        <v>1130.5</v>
      </c>
      <c r="CG117" s="35">
        <f t="shared" si="44"/>
        <v>1060.5135135135135</v>
      </c>
      <c r="CH117" s="35">
        <f t="shared" si="45"/>
        <v>1071.409090909091</v>
      </c>
      <c r="CI117" s="28">
        <f t="shared" si="46"/>
        <v>1037.38888066199</v>
      </c>
      <c r="CJ117" s="35">
        <f t="shared" si="47"/>
        <v>-58.388880661990015</v>
      </c>
      <c r="CK117" s="35">
        <f t="shared" si="48"/>
        <v>58.388880661990015</v>
      </c>
      <c r="CL117" s="35">
        <f t="shared" si="49"/>
        <v>3409.2613849601116</v>
      </c>
      <c r="CM117" s="35">
        <f t="shared" si="50"/>
        <v>812509.63320914598</v>
      </c>
    </row>
    <row r="118" spans="1:91" x14ac:dyDescent="0.3">
      <c r="A118" s="4" t="str">
        <f>DATASETS!A37</f>
        <v>TAFT AVE.</v>
      </c>
      <c r="B118" s="4" t="str">
        <f>DATASETS!E37</f>
        <v>Training</v>
      </c>
      <c r="C118" s="9">
        <f>DATASETS!C37</f>
        <v>90586</v>
      </c>
      <c r="D118" s="4">
        <f>DATASETS!B37</f>
        <v>2017</v>
      </c>
      <c r="E118" s="6">
        <f>DATASETS!I37</f>
        <v>979</v>
      </c>
      <c r="F118" s="9">
        <f>DATASETS!H37</f>
        <v>42</v>
      </c>
      <c r="G118" s="11">
        <f t="shared" si="52"/>
        <v>0</v>
      </c>
      <c r="H118" s="11">
        <f t="shared" si="52"/>
        <v>0</v>
      </c>
      <c r="I118" s="11">
        <f t="shared" si="52"/>
        <v>0</v>
      </c>
      <c r="J118" s="11">
        <f t="shared" si="52"/>
        <v>1</v>
      </c>
      <c r="K118" s="11">
        <f t="shared" si="52"/>
        <v>0</v>
      </c>
      <c r="L118" s="11">
        <f t="shared" si="52"/>
        <v>0</v>
      </c>
      <c r="M118" s="11">
        <f t="shared" si="52"/>
        <v>0</v>
      </c>
      <c r="N118" s="11">
        <f t="shared" si="52"/>
        <v>0</v>
      </c>
      <c r="O118" s="11">
        <f t="shared" si="52"/>
        <v>0</v>
      </c>
      <c r="P118" s="11">
        <f t="shared" si="52"/>
        <v>0</v>
      </c>
      <c r="Q118" s="11">
        <f t="shared" si="52"/>
        <v>0</v>
      </c>
      <c r="R118" s="11">
        <f t="shared" si="52"/>
        <v>0</v>
      </c>
      <c r="S118" s="11">
        <f t="shared" si="52"/>
        <v>0</v>
      </c>
      <c r="T118" s="6">
        <f>DATASETS!D37</f>
        <v>937</v>
      </c>
      <c r="U118" s="37">
        <v>2</v>
      </c>
      <c r="V118" s="37">
        <v>0</v>
      </c>
      <c r="W118" s="37">
        <v>1</v>
      </c>
      <c r="X118" s="37">
        <v>1</v>
      </c>
      <c r="Y118" s="37">
        <v>0</v>
      </c>
      <c r="Z118" s="37">
        <v>1</v>
      </c>
      <c r="AA118" s="37">
        <v>1</v>
      </c>
      <c r="AB118" s="37">
        <v>1</v>
      </c>
      <c r="AC118" s="37">
        <v>2</v>
      </c>
      <c r="AD118" s="37">
        <v>0</v>
      </c>
      <c r="AE118" s="11">
        <f t="shared" si="1"/>
        <v>3</v>
      </c>
      <c r="AF118" s="11">
        <f t="shared" si="2"/>
        <v>3</v>
      </c>
      <c r="AG118" s="11">
        <f t="shared" si="3"/>
        <v>4</v>
      </c>
      <c r="AH118" s="11">
        <f t="shared" si="4"/>
        <v>3</v>
      </c>
      <c r="AI118" s="11">
        <f t="shared" si="5"/>
        <v>3</v>
      </c>
      <c r="AJ118" s="11">
        <f t="shared" si="6"/>
        <v>3</v>
      </c>
      <c r="AK118" s="11">
        <f t="shared" si="7"/>
        <v>4</v>
      </c>
      <c r="AL118" s="11">
        <f t="shared" si="8"/>
        <v>3</v>
      </c>
      <c r="AM118" s="11">
        <f t="shared" si="9"/>
        <v>4</v>
      </c>
      <c r="AN118" s="11">
        <f t="shared" si="10"/>
        <v>3</v>
      </c>
      <c r="AO118" s="35">
        <f t="shared" si="11"/>
        <v>600.81818181818187</v>
      </c>
      <c r="AP118" s="35">
        <f t="shared" si="12"/>
        <v>879.5</v>
      </c>
      <c r="AQ118" s="35">
        <f t="shared" si="13"/>
        <v>800.71794871794873</v>
      </c>
      <c r="AR118" s="35">
        <f t="shared" si="14"/>
        <v>668.6</v>
      </c>
      <c r="AS118" s="35">
        <f t="shared" si="15"/>
        <v>609.80952380952385</v>
      </c>
      <c r="AT118" s="35">
        <f t="shared" si="16"/>
        <v>730.06451612903231</v>
      </c>
      <c r="AU118" s="35">
        <f t="shared" si="17"/>
        <v>763.24242424242425</v>
      </c>
      <c r="AV118" s="35">
        <f t="shared" si="18"/>
        <v>703.24</v>
      </c>
      <c r="AW118" s="35">
        <f t="shared" si="19"/>
        <v>838.3125</v>
      </c>
      <c r="AX118" s="35">
        <f t="shared" si="20"/>
        <v>889.97222222222217</v>
      </c>
      <c r="AY118" s="28">
        <f t="shared" si="21"/>
        <v>748.42773169393331</v>
      </c>
      <c r="AZ118" s="35">
        <f t="shared" si="22"/>
        <v>188.57226830606669</v>
      </c>
      <c r="BA118" s="35">
        <f t="shared" si="23"/>
        <v>188.57226830606669</v>
      </c>
      <c r="BB118" s="35">
        <f t="shared" si="24"/>
        <v>35559.500374095202</v>
      </c>
      <c r="BC118" s="35">
        <f t="shared" si="25"/>
        <v>889990.6588501716</v>
      </c>
      <c r="BE118" s="37">
        <v>2</v>
      </c>
      <c r="BF118" s="37">
        <v>0</v>
      </c>
      <c r="BG118" s="37">
        <v>1</v>
      </c>
      <c r="BH118" s="37">
        <v>1</v>
      </c>
      <c r="BI118" s="37">
        <v>0</v>
      </c>
      <c r="BJ118" s="37">
        <v>1</v>
      </c>
      <c r="BK118" s="37">
        <v>1</v>
      </c>
      <c r="BL118" s="37">
        <v>1</v>
      </c>
      <c r="BM118" s="37">
        <v>2</v>
      </c>
      <c r="BN118" s="37">
        <v>0</v>
      </c>
      <c r="BO118" s="11">
        <f t="shared" si="26"/>
        <v>4</v>
      </c>
      <c r="BP118" s="11">
        <f t="shared" si="27"/>
        <v>4</v>
      </c>
      <c r="BQ118" s="11">
        <f t="shared" si="28"/>
        <v>4</v>
      </c>
      <c r="BR118" s="11">
        <f t="shared" si="29"/>
        <v>4</v>
      </c>
      <c r="BS118" s="11">
        <f t="shared" si="30"/>
        <v>4</v>
      </c>
      <c r="BT118" s="11">
        <f t="shared" si="31"/>
        <v>4</v>
      </c>
      <c r="BU118" s="11">
        <f t="shared" si="32"/>
        <v>3</v>
      </c>
      <c r="BV118" s="11">
        <f t="shared" si="33"/>
        <v>4</v>
      </c>
      <c r="BW118" s="11">
        <f t="shared" si="34"/>
        <v>4</v>
      </c>
      <c r="BX118" s="11">
        <f t="shared" si="35"/>
        <v>4</v>
      </c>
      <c r="BY118" s="35">
        <f t="shared" si="36"/>
        <v>1064.1818181818182</v>
      </c>
      <c r="BZ118" s="35">
        <f t="shared" si="37"/>
        <v>1019.8181818181819</v>
      </c>
      <c r="CA118" s="35">
        <f t="shared" si="38"/>
        <v>1010.6551724137931</v>
      </c>
      <c r="CB118" s="35">
        <f t="shared" si="39"/>
        <v>1067.3953488372092</v>
      </c>
      <c r="CC118" s="35">
        <f t="shared" si="40"/>
        <v>1186.5882352941176</v>
      </c>
      <c r="CD118" s="35">
        <f t="shared" si="41"/>
        <v>1025.608695652174</v>
      </c>
      <c r="CE118" s="35">
        <f t="shared" si="42"/>
        <v>737.21875</v>
      </c>
      <c r="CF118" s="35">
        <f t="shared" si="43"/>
        <v>1130.5</v>
      </c>
      <c r="CG118" s="35">
        <f t="shared" si="44"/>
        <v>1060.5135135135135</v>
      </c>
      <c r="CH118" s="35">
        <f t="shared" si="45"/>
        <v>1071.409090909091</v>
      </c>
      <c r="CI118" s="28">
        <f t="shared" si="46"/>
        <v>1037.38888066199</v>
      </c>
      <c r="CJ118" s="35">
        <f t="shared" si="47"/>
        <v>-100.38888066199002</v>
      </c>
      <c r="CK118" s="35">
        <f t="shared" si="48"/>
        <v>100.38888066199002</v>
      </c>
      <c r="CL118" s="35">
        <f t="shared" si="49"/>
        <v>10077.927360567273</v>
      </c>
      <c r="CM118" s="35">
        <f t="shared" si="50"/>
        <v>889990.6588501716</v>
      </c>
    </row>
    <row r="119" spans="1:91" x14ac:dyDescent="0.3">
      <c r="A119" s="4" t="str">
        <f>DATASETS!A38</f>
        <v>TAFT AVE.</v>
      </c>
      <c r="B119" s="4" t="str">
        <f>DATASETS!E38</f>
        <v>Training</v>
      </c>
      <c r="C119" s="9">
        <f>DATASETS!C38</f>
        <v>91766</v>
      </c>
      <c r="D119" s="4">
        <f>DATASETS!B38</f>
        <v>2018</v>
      </c>
      <c r="E119" s="6">
        <f>DATASETS!I38</f>
        <v>937</v>
      </c>
      <c r="F119" s="9">
        <f>DATASETS!H38</f>
        <v>42</v>
      </c>
      <c r="G119" s="11">
        <f t="shared" si="52"/>
        <v>0</v>
      </c>
      <c r="H119" s="11">
        <f t="shared" si="52"/>
        <v>0</v>
      </c>
      <c r="I119" s="11">
        <f t="shared" si="52"/>
        <v>0</v>
      </c>
      <c r="J119" s="11">
        <f t="shared" si="52"/>
        <v>1</v>
      </c>
      <c r="K119" s="11">
        <f t="shared" si="52"/>
        <v>0</v>
      </c>
      <c r="L119" s="11">
        <f t="shared" si="52"/>
        <v>0</v>
      </c>
      <c r="M119" s="11">
        <f t="shared" si="52"/>
        <v>0</v>
      </c>
      <c r="N119" s="11">
        <f t="shared" si="52"/>
        <v>0</v>
      </c>
      <c r="O119" s="11">
        <f t="shared" si="52"/>
        <v>0</v>
      </c>
      <c r="P119" s="11">
        <f t="shared" si="52"/>
        <v>0</v>
      </c>
      <c r="Q119" s="11">
        <f t="shared" si="52"/>
        <v>0</v>
      </c>
      <c r="R119" s="11">
        <f t="shared" si="52"/>
        <v>0</v>
      </c>
      <c r="S119" s="11">
        <f t="shared" si="52"/>
        <v>0</v>
      </c>
      <c r="T119" s="6">
        <f>DATASETS!D38</f>
        <v>930</v>
      </c>
      <c r="U119" s="37">
        <v>0</v>
      </c>
      <c r="V119" s="37">
        <v>0</v>
      </c>
      <c r="W119" s="37">
        <v>2</v>
      </c>
      <c r="X119" s="37">
        <v>0</v>
      </c>
      <c r="Y119" s="37">
        <v>1</v>
      </c>
      <c r="Z119" s="37">
        <v>0</v>
      </c>
      <c r="AA119" s="37">
        <v>0</v>
      </c>
      <c r="AB119" s="37">
        <v>0</v>
      </c>
      <c r="AC119" s="37">
        <v>2</v>
      </c>
      <c r="AD119" s="37">
        <v>0</v>
      </c>
      <c r="AE119" s="11">
        <f t="shared" si="1"/>
        <v>3</v>
      </c>
      <c r="AF119" s="11">
        <f t="shared" si="2"/>
        <v>3</v>
      </c>
      <c r="AG119" s="11">
        <f t="shared" si="3"/>
        <v>4</v>
      </c>
      <c r="AH119" s="11">
        <f t="shared" si="4"/>
        <v>3</v>
      </c>
      <c r="AI119" s="11">
        <f t="shared" si="5"/>
        <v>3</v>
      </c>
      <c r="AJ119" s="11">
        <f t="shared" si="6"/>
        <v>3</v>
      </c>
      <c r="AK119" s="11">
        <f t="shared" si="7"/>
        <v>4</v>
      </c>
      <c r="AL119" s="11">
        <f t="shared" si="8"/>
        <v>3</v>
      </c>
      <c r="AM119" s="11">
        <f t="shared" si="9"/>
        <v>4</v>
      </c>
      <c r="AN119" s="11">
        <f t="shared" si="10"/>
        <v>3</v>
      </c>
      <c r="AO119" s="35">
        <f t="shared" si="11"/>
        <v>600.81818181818187</v>
      </c>
      <c r="AP119" s="35">
        <f t="shared" si="12"/>
        <v>879.5</v>
      </c>
      <c r="AQ119" s="35">
        <f t="shared" si="13"/>
        <v>800.71794871794873</v>
      </c>
      <c r="AR119" s="35">
        <f t="shared" si="14"/>
        <v>668.6</v>
      </c>
      <c r="AS119" s="35">
        <f t="shared" si="15"/>
        <v>609.80952380952385</v>
      </c>
      <c r="AT119" s="35">
        <f t="shared" si="16"/>
        <v>730.06451612903231</v>
      </c>
      <c r="AU119" s="35">
        <f t="shared" si="17"/>
        <v>763.24242424242425</v>
      </c>
      <c r="AV119" s="35">
        <f t="shared" si="18"/>
        <v>703.24</v>
      </c>
      <c r="AW119" s="35">
        <f t="shared" si="19"/>
        <v>838.3125</v>
      </c>
      <c r="AX119" s="35">
        <f t="shared" si="20"/>
        <v>889.97222222222217</v>
      </c>
      <c r="AY119" s="28">
        <f t="shared" si="21"/>
        <v>748.42773169393331</v>
      </c>
      <c r="AZ119" s="35">
        <f t="shared" si="22"/>
        <v>181.57226830606669</v>
      </c>
      <c r="BA119" s="35">
        <f t="shared" si="23"/>
        <v>181.57226830606669</v>
      </c>
      <c r="BB119" s="35">
        <f t="shared" si="24"/>
        <v>32968.488617810268</v>
      </c>
      <c r="BC119" s="35">
        <f t="shared" si="25"/>
        <v>903247.16312367585</v>
      </c>
      <c r="BE119" s="37">
        <v>0</v>
      </c>
      <c r="BF119" s="37">
        <v>0</v>
      </c>
      <c r="BG119" s="37">
        <v>2</v>
      </c>
      <c r="BH119" s="37">
        <v>0</v>
      </c>
      <c r="BI119" s="37">
        <v>1</v>
      </c>
      <c r="BJ119" s="37">
        <v>0</v>
      </c>
      <c r="BK119" s="37">
        <v>0</v>
      </c>
      <c r="BL119" s="37">
        <v>0</v>
      </c>
      <c r="BM119" s="37">
        <v>2</v>
      </c>
      <c r="BN119" s="37">
        <v>0</v>
      </c>
      <c r="BO119" s="11">
        <f t="shared" si="26"/>
        <v>4</v>
      </c>
      <c r="BP119" s="11">
        <f t="shared" si="27"/>
        <v>4</v>
      </c>
      <c r="BQ119" s="11">
        <f t="shared" si="28"/>
        <v>4</v>
      </c>
      <c r="BR119" s="11">
        <f t="shared" si="29"/>
        <v>4</v>
      </c>
      <c r="BS119" s="11">
        <f t="shared" si="30"/>
        <v>4</v>
      </c>
      <c r="BT119" s="11">
        <f t="shared" si="31"/>
        <v>4</v>
      </c>
      <c r="BU119" s="11">
        <f t="shared" si="32"/>
        <v>3</v>
      </c>
      <c r="BV119" s="11">
        <f t="shared" si="33"/>
        <v>4</v>
      </c>
      <c r="BW119" s="11">
        <f t="shared" si="34"/>
        <v>4</v>
      </c>
      <c r="BX119" s="11">
        <f t="shared" si="35"/>
        <v>4</v>
      </c>
      <c r="BY119" s="35">
        <f t="shared" si="36"/>
        <v>1064.1818181818182</v>
      </c>
      <c r="BZ119" s="35">
        <f t="shared" si="37"/>
        <v>1019.8181818181819</v>
      </c>
      <c r="CA119" s="35">
        <f t="shared" si="38"/>
        <v>1010.6551724137931</v>
      </c>
      <c r="CB119" s="35">
        <f t="shared" si="39"/>
        <v>1067.3953488372092</v>
      </c>
      <c r="CC119" s="35">
        <f t="shared" si="40"/>
        <v>1186.5882352941176</v>
      </c>
      <c r="CD119" s="35">
        <f t="shared" si="41"/>
        <v>1025.608695652174</v>
      </c>
      <c r="CE119" s="35">
        <f t="shared" si="42"/>
        <v>737.21875</v>
      </c>
      <c r="CF119" s="35">
        <f t="shared" si="43"/>
        <v>1130.5</v>
      </c>
      <c r="CG119" s="35">
        <f t="shared" si="44"/>
        <v>1060.5135135135135</v>
      </c>
      <c r="CH119" s="35">
        <f t="shared" si="45"/>
        <v>1071.409090909091</v>
      </c>
      <c r="CI119" s="28">
        <f t="shared" si="46"/>
        <v>1037.38888066199</v>
      </c>
      <c r="CJ119" s="35">
        <f t="shared" si="47"/>
        <v>-107.38888066199002</v>
      </c>
      <c r="CK119" s="35">
        <f t="shared" si="48"/>
        <v>107.38888066199002</v>
      </c>
      <c r="CL119" s="35">
        <f t="shared" si="49"/>
        <v>11532.371689835132</v>
      </c>
      <c r="CM119" s="35">
        <f t="shared" si="50"/>
        <v>903247.16312367585</v>
      </c>
    </row>
    <row r="120" spans="1:91" x14ac:dyDescent="0.3">
      <c r="A120" s="4" t="str">
        <f>DATASETS!A39</f>
        <v>TAFT AVE.</v>
      </c>
      <c r="B120" s="4" t="str">
        <f>DATASETS!E39</f>
        <v>Training</v>
      </c>
      <c r="C120" s="9">
        <f>DATASETS!C39</f>
        <v>100065</v>
      </c>
      <c r="D120" s="4">
        <f>DATASETS!B39</f>
        <v>2019</v>
      </c>
      <c r="E120" s="6">
        <f>DATASETS!I39</f>
        <v>930</v>
      </c>
      <c r="F120" s="9">
        <f>DATASETS!H39</f>
        <v>42</v>
      </c>
      <c r="G120" s="11">
        <f t="shared" ref="G120:S129" si="53">IF($A120=G$88,1,0)</f>
        <v>0</v>
      </c>
      <c r="H120" s="11">
        <f t="shared" si="53"/>
        <v>0</v>
      </c>
      <c r="I120" s="11">
        <f t="shared" si="53"/>
        <v>0</v>
      </c>
      <c r="J120" s="11">
        <f t="shared" si="53"/>
        <v>1</v>
      </c>
      <c r="K120" s="11">
        <f t="shared" si="53"/>
        <v>0</v>
      </c>
      <c r="L120" s="11">
        <f t="shared" si="53"/>
        <v>0</v>
      </c>
      <c r="M120" s="11">
        <f t="shared" si="53"/>
        <v>0</v>
      </c>
      <c r="N120" s="11">
        <f t="shared" si="53"/>
        <v>0</v>
      </c>
      <c r="O120" s="11">
        <f t="shared" si="53"/>
        <v>0</v>
      </c>
      <c r="P120" s="11">
        <f t="shared" si="53"/>
        <v>0</v>
      </c>
      <c r="Q120" s="11">
        <f t="shared" si="53"/>
        <v>0</v>
      </c>
      <c r="R120" s="11">
        <f t="shared" si="53"/>
        <v>0</v>
      </c>
      <c r="S120" s="11">
        <f t="shared" si="53"/>
        <v>0</v>
      </c>
      <c r="T120" s="6">
        <f>DATASETS!D39</f>
        <v>1101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1</v>
      </c>
      <c r="AC120" s="37">
        <v>1</v>
      </c>
      <c r="AD120" s="37">
        <v>1</v>
      </c>
      <c r="AE120" s="11">
        <f t="shared" si="1"/>
        <v>4</v>
      </c>
      <c r="AF120" s="11">
        <f t="shared" si="2"/>
        <v>3</v>
      </c>
      <c r="AG120" s="11">
        <f t="shared" si="3"/>
        <v>4</v>
      </c>
      <c r="AH120" s="11">
        <f t="shared" si="4"/>
        <v>3</v>
      </c>
      <c r="AI120" s="11">
        <f t="shared" si="5"/>
        <v>3</v>
      </c>
      <c r="AJ120" s="11">
        <f t="shared" si="6"/>
        <v>3</v>
      </c>
      <c r="AK120" s="11">
        <f t="shared" si="7"/>
        <v>4</v>
      </c>
      <c r="AL120" s="11">
        <f t="shared" si="8"/>
        <v>4</v>
      </c>
      <c r="AM120" s="11">
        <f t="shared" si="9"/>
        <v>4</v>
      </c>
      <c r="AN120" s="11">
        <f t="shared" si="10"/>
        <v>3</v>
      </c>
      <c r="AO120" s="35">
        <f t="shared" si="11"/>
        <v>920.9375</v>
      </c>
      <c r="AP120" s="35">
        <f t="shared" si="12"/>
        <v>879.5</v>
      </c>
      <c r="AQ120" s="35">
        <f t="shared" si="13"/>
        <v>800.71794871794873</v>
      </c>
      <c r="AR120" s="35">
        <f t="shared" si="14"/>
        <v>668.6</v>
      </c>
      <c r="AS120" s="35">
        <f t="shared" si="15"/>
        <v>609.80952380952385</v>
      </c>
      <c r="AT120" s="35">
        <f t="shared" si="16"/>
        <v>730.06451612903231</v>
      </c>
      <c r="AU120" s="35">
        <f t="shared" si="17"/>
        <v>763.24242424242425</v>
      </c>
      <c r="AV120" s="35">
        <f t="shared" si="18"/>
        <v>986.22580645161293</v>
      </c>
      <c r="AW120" s="35">
        <f t="shared" si="19"/>
        <v>838.3125</v>
      </c>
      <c r="AX120" s="35">
        <f t="shared" si="20"/>
        <v>889.97222222222217</v>
      </c>
      <c r="AY120" s="28">
        <f t="shared" si="21"/>
        <v>808.73824415727631</v>
      </c>
      <c r="AZ120" s="35">
        <f t="shared" si="22"/>
        <v>292.26175584272369</v>
      </c>
      <c r="BA120" s="35">
        <f t="shared" si="23"/>
        <v>292.26175584272369</v>
      </c>
      <c r="BB120" s="35">
        <f t="shared" si="24"/>
        <v>85416.933928271828</v>
      </c>
      <c r="BC120" s="35">
        <f t="shared" si="25"/>
        <v>607453.70158521435</v>
      </c>
      <c r="BE120" s="37">
        <v>0</v>
      </c>
      <c r="BF120" s="37">
        <v>0</v>
      </c>
      <c r="BG120" s="37">
        <v>0</v>
      </c>
      <c r="BH120" s="37">
        <v>0</v>
      </c>
      <c r="BI120" s="37">
        <v>0</v>
      </c>
      <c r="BJ120" s="37">
        <v>0</v>
      </c>
      <c r="BK120" s="37">
        <v>0</v>
      </c>
      <c r="BL120" s="37">
        <v>1</v>
      </c>
      <c r="BM120" s="37">
        <v>1</v>
      </c>
      <c r="BN120" s="37">
        <v>1</v>
      </c>
      <c r="BO120" s="11">
        <f t="shared" si="26"/>
        <v>4</v>
      </c>
      <c r="BP120" s="11">
        <f t="shared" si="27"/>
        <v>4</v>
      </c>
      <c r="BQ120" s="11">
        <f t="shared" si="28"/>
        <v>4</v>
      </c>
      <c r="BR120" s="11">
        <f t="shared" si="29"/>
        <v>4</v>
      </c>
      <c r="BS120" s="11">
        <f t="shared" si="30"/>
        <v>4</v>
      </c>
      <c r="BT120" s="11">
        <f t="shared" si="31"/>
        <v>4</v>
      </c>
      <c r="BU120" s="11">
        <f t="shared" si="32"/>
        <v>3</v>
      </c>
      <c r="BV120" s="11">
        <f t="shared" si="33"/>
        <v>4</v>
      </c>
      <c r="BW120" s="11">
        <f t="shared" si="34"/>
        <v>4</v>
      </c>
      <c r="BX120" s="11">
        <f t="shared" si="35"/>
        <v>4</v>
      </c>
      <c r="BY120" s="35">
        <f t="shared" si="36"/>
        <v>1064.1818181818182</v>
      </c>
      <c r="BZ120" s="35">
        <f t="shared" si="37"/>
        <v>1019.8181818181819</v>
      </c>
      <c r="CA120" s="35">
        <f t="shared" si="38"/>
        <v>1010.6551724137931</v>
      </c>
      <c r="CB120" s="35">
        <f t="shared" si="39"/>
        <v>1067.3953488372092</v>
      </c>
      <c r="CC120" s="35">
        <f t="shared" si="40"/>
        <v>1186.5882352941176</v>
      </c>
      <c r="CD120" s="35">
        <f t="shared" si="41"/>
        <v>1025.608695652174</v>
      </c>
      <c r="CE120" s="35">
        <f t="shared" si="42"/>
        <v>737.21875</v>
      </c>
      <c r="CF120" s="35">
        <f t="shared" si="43"/>
        <v>1130.5</v>
      </c>
      <c r="CG120" s="35">
        <f t="shared" si="44"/>
        <v>1060.5135135135135</v>
      </c>
      <c r="CH120" s="35">
        <f t="shared" si="45"/>
        <v>1071.409090909091</v>
      </c>
      <c r="CI120" s="28">
        <f t="shared" si="46"/>
        <v>1037.38888066199</v>
      </c>
      <c r="CJ120" s="35">
        <f t="shared" si="47"/>
        <v>63.611119338009985</v>
      </c>
      <c r="CK120" s="35">
        <f t="shared" si="48"/>
        <v>63.611119338009985</v>
      </c>
      <c r="CL120" s="35">
        <f t="shared" si="49"/>
        <v>4046.3745034345479</v>
      </c>
      <c r="CM120" s="35">
        <f t="shared" si="50"/>
        <v>607453.70158521435</v>
      </c>
    </row>
    <row r="121" spans="1:91" x14ac:dyDescent="0.3">
      <c r="A121" s="4" t="str">
        <f>DATASETS!A40</f>
        <v>TAFT AVE.</v>
      </c>
      <c r="B121" s="4" t="str">
        <f>DATASETS!E40</f>
        <v>Training</v>
      </c>
      <c r="C121" s="9">
        <f>DATASETS!C40</f>
        <v>110916</v>
      </c>
      <c r="D121" s="4">
        <f>DATASETS!B40</f>
        <v>2020</v>
      </c>
      <c r="E121" s="6">
        <f>DATASETS!I40</f>
        <v>1101</v>
      </c>
      <c r="F121" s="9">
        <f>DATASETS!H40</f>
        <v>42</v>
      </c>
      <c r="G121" s="11">
        <f t="shared" si="53"/>
        <v>0</v>
      </c>
      <c r="H121" s="11">
        <f t="shared" si="53"/>
        <v>0</v>
      </c>
      <c r="I121" s="11">
        <f t="shared" si="53"/>
        <v>0</v>
      </c>
      <c r="J121" s="11">
        <f t="shared" si="53"/>
        <v>1</v>
      </c>
      <c r="K121" s="11">
        <f t="shared" si="53"/>
        <v>0</v>
      </c>
      <c r="L121" s="11">
        <f t="shared" si="53"/>
        <v>0</v>
      </c>
      <c r="M121" s="11">
        <f t="shared" si="53"/>
        <v>0</v>
      </c>
      <c r="N121" s="11">
        <f t="shared" si="53"/>
        <v>0</v>
      </c>
      <c r="O121" s="11">
        <f t="shared" si="53"/>
        <v>0</v>
      </c>
      <c r="P121" s="11">
        <f t="shared" si="53"/>
        <v>0</v>
      </c>
      <c r="Q121" s="11">
        <f t="shared" si="53"/>
        <v>0</v>
      </c>
      <c r="R121" s="11">
        <f t="shared" si="53"/>
        <v>0</v>
      </c>
      <c r="S121" s="11">
        <f t="shared" si="53"/>
        <v>0</v>
      </c>
      <c r="T121" s="6">
        <f>DATASETS!D40</f>
        <v>502</v>
      </c>
      <c r="U121" s="37">
        <v>0</v>
      </c>
      <c r="V121" s="37">
        <v>2</v>
      </c>
      <c r="W121" s="37">
        <v>0</v>
      </c>
      <c r="X121" s="37">
        <v>2</v>
      </c>
      <c r="Y121" s="37">
        <v>0</v>
      </c>
      <c r="Z121" s="37">
        <v>0</v>
      </c>
      <c r="AA121" s="37">
        <v>0</v>
      </c>
      <c r="AB121" s="37">
        <v>1</v>
      </c>
      <c r="AC121" s="37">
        <v>1</v>
      </c>
      <c r="AD121" s="37">
        <v>2</v>
      </c>
      <c r="AE121" s="11">
        <f t="shared" si="1"/>
        <v>4</v>
      </c>
      <c r="AF121" s="11">
        <f t="shared" si="2"/>
        <v>3</v>
      </c>
      <c r="AG121" s="11">
        <f t="shared" si="3"/>
        <v>4</v>
      </c>
      <c r="AH121" s="11">
        <f t="shared" si="4"/>
        <v>3</v>
      </c>
      <c r="AI121" s="11">
        <f t="shared" si="5"/>
        <v>4</v>
      </c>
      <c r="AJ121" s="11">
        <f t="shared" si="6"/>
        <v>4</v>
      </c>
      <c r="AK121" s="11">
        <f t="shared" si="7"/>
        <v>4</v>
      </c>
      <c r="AL121" s="11">
        <f t="shared" si="8"/>
        <v>4</v>
      </c>
      <c r="AM121" s="11">
        <f t="shared" si="9"/>
        <v>4</v>
      </c>
      <c r="AN121" s="11">
        <f t="shared" si="10"/>
        <v>4</v>
      </c>
      <c r="AO121" s="35">
        <f t="shared" si="11"/>
        <v>920.9375</v>
      </c>
      <c r="AP121" s="35">
        <f t="shared" si="12"/>
        <v>879.5</v>
      </c>
      <c r="AQ121" s="35">
        <f t="shared" si="13"/>
        <v>800.71794871794873</v>
      </c>
      <c r="AR121" s="35">
        <f t="shared" si="14"/>
        <v>668.6</v>
      </c>
      <c r="AS121" s="35">
        <f t="shared" si="15"/>
        <v>938.71428571428567</v>
      </c>
      <c r="AT121" s="35">
        <f t="shared" si="16"/>
        <v>516.90476190476193</v>
      </c>
      <c r="AU121" s="35">
        <f t="shared" si="17"/>
        <v>763.24242424242425</v>
      </c>
      <c r="AV121" s="35">
        <f t="shared" si="18"/>
        <v>986.22580645161293</v>
      </c>
      <c r="AW121" s="35">
        <f t="shared" si="19"/>
        <v>838.3125</v>
      </c>
      <c r="AX121" s="35">
        <f t="shared" si="20"/>
        <v>556.0625</v>
      </c>
      <c r="AY121" s="28">
        <f t="shared" si="21"/>
        <v>786.92177270310322</v>
      </c>
      <c r="AZ121" s="35">
        <f t="shared" si="22"/>
        <v>-284.92177270310322</v>
      </c>
      <c r="BA121" s="35">
        <f t="shared" si="23"/>
        <v>284.92177270310322</v>
      </c>
      <c r="BB121" s="35">
        <f t="shared" si="24"/>
        <v>81180.416560278813</v>
      </c>
      <c r="BC121" s="35">
        <f t="shared" si="25"/>
        <v>1899967.7101322229</v>
      </c>
      <c r="BE121" s="37">
        <v>0</v>
      </c>
      <c r="BF121" s="37">
        <v>2</v>
      </c>
      <c r="BG121" s="37">
        <v>0</v>
      </c>
      <c r="BH121" s="37">
        <v>2</v>
      </c>
      <c r="BI121" s="37">
        <v>0</v>
      </c>
      <c r="BJ121" s="37">
        <v>0</v>
      </c>
      <c r="BK121" s="37">
        <v>0</v>
      </c>
      <c r="BL121" s="37">
        <v>1</v>
      </c>
      <c r="BM121" s="37">
        <v>1</v>
      </c>
      <c r="BN121" s="37">
        <v>2</v>
      </c>
      <c r="BO121" s="11">
        <f t="shared" si="26"/>
        <v>4</v>
      </c>
      <c r="BP121" s="11">
        <f t="shared" si="27"/>
        <v>7</v>
      </c>
      <c r="BQ121" s="11">
        <f t="shared" si="28"/>
        <v>4</v>
      </c>
      <c r="BR121" s="11">
        <f t="shared" si="29"/>
        <v>4</v>
      </c>
      <c r="BS121" s="11">
        <f t="shared" si="30"/>
        <v>4</v>
      </c>
      <c r="BT121" s="11">
        <f t="shared" si="31"/>
        <v>6</v>
      </c>
      <c r="BU121" s="11">
        <f t="shared" si="32"/>
        <v>3</v>
      </c>
      <c r="BV121" s="11">
        <f t="shared" si="33"/>
        <v>4</v>
      </c>
      <c r="BW121" s="11">
        <f t="shared" si="34"/>
        <v>4</v>
      </c>
      <c r="BX121" s="11">
        <f t="shared" si="35"/>
        <v>4</v>
      </c>
      <c r="BY121" s="35">
        <f t="shared" si="36"/>
        <v>1064.1818181818182</v>
      </c>
      <c r="BZ121" s="35">
        <f t="shared" si="37"/>
        <v>1290.3333333333333</v>
      </c>
      <c r="CA121" s="35">
        <f t="shared" si="38"/>
        <v>1010.6551724137931</v>
      </c>
      <c r="CB121" s="35">
        <f t="shared" si="39"/>
        <v>1067.3953488372092</v>
      </c>
      <c r="CC121" s="35">
        <f t="shared" si="40"/>
        <v>1186.5882352941176</v>
      </c>
      <c r="CD121" s="35">
        <f t="shared" si="41"/>
        <v>1283.8095238095239</v>
      </c>
      <c r="CE121" s="35">
        <f t="shared" si="42"/>
        <v>737.21875</v>
      </c>
      <c r="CF121" s="35">
        <f t="shared" si="43"/>
        <v>1130.5</v>
      </c>
      <c r="CG121" s="35">
        <f t="shared" si="44"/>
        <v>1060.5135135135135</v>
      </c>
      <c r="CH121" s="35">
        <f t="shared" si="45"/>
        <v>1071.409090909091</v>
      </c>
      <c r="CI121" s="28">
        <f t="shared" si="46"/>
        <v>1090.26047862924</v>
      </c>
      <c r="CJ121" s="35">
        <f t="shared" si="47"/>
        <v>-588.26047862923997</v>
      </c>
      <c r="CK121" s="35">
        <f t="shared" si="48"/>
        <v>588.26047862923997</v>
      </c>
      <c r="CL121" s="35">
        <f t="shared" si="49"/>
        <v>346050.39071710251</v>
      </c>
      <c r="CM121" s="35">
        <f t="shared" si="50"/>
        <v>1899967.7101322229</v>
      </c>
    </row>
    <row r="122" spans="1:91" x14ac:dyDescent="0.3">
      <c r="A122" s="4" t="str">
        <f>DATASETS!A41</f>
        <v>TAFT AVE.</v>
      </c>
      <c r="B122" s="4" t="str">
        <f>DATASETS!E41</f>
        <v>Training</v>
      </c>
      <c r="C122" s="9">
        <f>DATASETS!C41</f>
        <v>114715</v>
      </c>
      <c r="D122" s="4">
        <f>DATASETS!B41</f>
        <v>2021</v>
      </c>
      <c r="E122" s="6">
        <f>DATASETS!I41</f>
        <v>502</v>
      </c>
      <c r="F122" s="9">
        <f>DATASETS!H41</f>
        <v>42</v>
      </c>
      <c r="G122" s="11">
        <f t="shared" si="53"/>
        <v>0</v>
      </c>
      <c r="H122" s="11">
        <f t="shared" si="53"/>
        <v>0</v>
      </c>
      <c r="I122" s="11">
        <f t="shared" si="53"/>
        <v>0</v>
      </c>
      <c r="J122" s="11">
        <f t="shared" si="53"/>
        <v>1</v>
      </c>
      <c r="K122" s="11">
        <f t="shared" si="53"/>
        <v>0</v>
      </c>
      <c r="L122" s="11">
        <f t="shared" si="53"/>
        <v>0</v>
      </c>
      <c r="M122" s="11">
        <f t="shared" si="53"/>
        <v>0</v>
      </c>
      <c r="N122" s="11">
        <f t="shared" si="53"/>
        <v>0</v>
      </c>
      <c r="O122" s="11">
        <f t="shared" si="53"/>
        <v>0</v>
      </c>
      <c r="P122" s="11">
        <f t="shared" si="53"/>
        <v>0</v>
      </c>
      <c r="Q122" s="11">
        <f t="shared" si="53"/>
        <v>0</v>
      </c>
      <c r="R122" s="11">
        <f t="shared" si="53"/>
        <v>0</v>
      </c>
      <c r="S122" s="11">
        <f t="shared" si="53"/>
        <v>0</v>
      </c>
      <c r="T122" s="6">
        <f>DATASETS!D41</f>
        <v>395</v>
      </c>
      <c r="U122" s="37">
        <v>2</v>
      </c>
      <c r="V122" s="37">
        <v>0</v>
      </c>
      <c r="W122" s="37">
        <v>1</v>
      </c>
      <c r="X122" s="37">
        <v>2</v>
      </c>
      <c r="Y122" s="37">
        <v>0</v>
      </c>
      <c r="Z122" s="37">
        <v>2</v>
      </c>
      <c r="AA122" s="37">
        <v>2</v>
      </c>
      <c r="AB122" s="37">
        <v>2</v>
      </c>
      <c r="AC122" s="37">
        <v>2</v>
      </c>
      <c r="AD122" s="37">
        <v>1</v>
      </c>
      <c r="AE122" s="11">
        <f t="shared" ref="AE122:AE153" si="54">IF($C122&lt;=$C$222,IF($C122&lt;=$E$222,IF($C122&lt;=$G$222,3,4),IF($C122&lt;=$M$222,6,7)),IF($C122&lt;=$S$222,9,IF($C122&lt;=$W$222,11,12)))</f>
        <v>4</v>
      </c>
      <c r="AF122" s="11">
        <f t="shared" ref="AF122:AF153" si="55">IF($C122&lt;=$C$223,IF($C122&lt;=$E$223,IF($C122&lt;=$G$223,3,4),IF($C122&lt;=$M$223,6,7)),IF($C122&lt;=$S$223,IF($C122&lt;=$U$223,10,11),IF($C122&lt;=$AA$223,13,14)))</f>
        <v>3</v>
      </c>
      <c r="AG122" s="11">
        <f t="shared" ref="AG122:AG153" si="56">IF($C122&lt;=$C$224,IF($C122&lt;=$E$224,IF($C122&lt;=$G$224,3,4),IF($C122&lt;=$M$224,6,7)),IF($C122&lt;=$S$224,IF($C122&lt;=$U$224,10,11),IF($C122&lt;=$AA$224,13,14)))</f>
        <v>4</v>
      </c>
      <c r="AH122" s="11">
        <f t="shared" ref="AH122:AH153" si="57">IF($C122&lt;=$C$225,IF($C122&lt;=$E$225,IF($C122&lt;=$G$225,3,4),IF($C122&lt;=$M$225,6,7)),IF($C122&lt;=$S$225,IF($C122&lt;=$U$225,10,11),IF($C122&lt;=$AA$225,13,14)))</f>
        <v>3</v>
      </c>
      <c r="AI122" s="11">
        <f t="shared" ref="AI122:AI153" si="58">IF($C122&lt;=$C$226,IF($C122&lt;=$E$226,IF($C122&lt;=$G$226,3,4),IF($C122&lt;=$M$226,6,7)),IF($C122&lt;=$S$226,9,IF($C122&lt;=$W$226,11,12)))</f>
        <v>4</v>
      </c>
      <c r="AJ122" s="11">
        <f t="shared" ref="AJ122:AJ153" si="59">IF($C122&lt;=$C$227,IF($C122&lt;=$E$227,IF($C122&lt;=$G$227,3,4),IF($C122&lt;=$M$227,6,7)),IF($C122&lt;=$S$227,IF($C122&lt;=$U$227,10,11),IF($C122&lt;=$AA$227,13,14)))</f>
        <v>4</v>
      </c>
      <c r="AK122" s="11">
        <f t="shared" ref="AK122:AK153" si="60">IF($C122&lt;=$C$228,IF($C122&lt;=$E$228,IF($C122&lt;=$G$228,3,4),IF($C122&lt;=$M$228,6,7)),IF($C122&lt;=$S$228,9,IF($C122&lt;=$W$228,11,12)))</f>
        <v>4</v>
      </c>
      <c r="AL122" s="11">
        <f t="shared" ref="AL122:AL153" si="61">IF($C122&lt;=$C$229,IF($C122&lt;=$E$229,IF($C122&lt;=$G$229,3,4),IF($C122&lt;=$M$229,6,7)),IF($C122&lt;=$S$229,IF($C122&lt;=$U$229,10,11),IF($C122&lt;=$AA$229,13,14)))</f>
        <v>4</v>
      </c>
      <c r="AM122" s="11">
        <f t="shared" ref="AM122:AM153" si="62">IF($C122&lt;=$C$230,IF($C122&lt;=$E$230,IF($C122&lt;=$G$230,3,4),IF($C122&lt;=$M$230,6,7)),IF($C122&lt;=$S$230,9,IF($C122&lt;=$W$230,11,12)))</f>
        <v>4</v>
      </c>
      <c r="AN122" s="11">
        <f t="shared" ref="AN122:AN153" si="63">IF($C122&lt;=$C$231,IF($C122&lt;=$E$231,IF($C122&lt;=$G$231,3,4),IF($C122&lt;=$M$231,6,7)),IF($C122&lt;=$S$231,IF($C122&lt;=$U$231,10,11),IF($C122&lt;=$AA$231,13,14)))</f>
        <v>4</v>
      </c>
      <c r="AO122" s="35">
        <f t="shared" ref="AO122:AO153" si="64">INDEX($B$235:$P$235,1,AE122+1)</f>
        <v>920.9375</v>
      </c>
      <c r="AP122" s="35">
        <f t="shared" ref="AP122:AP153" si="65">INDEX($B$236:$P$236,1,AF122+1)</f>
        <v>879.5</v>
      </c>
      <c r="AQ122" s="35">
        <f t="shared" ref="AQ122:AQ153" si="66">INDEX($B$237:$P$237,1,AG122+1)</f>
        <v>800.71794871794873</v>
      </c>
      <c r="AR122" s="35">
        <f t="shared" ref="AR122:AR153" si="67">INDEX($B$238:$P$238,1,AH122+1)</f>
        <v>668.6</v>
      </c>
      <c r="AS122" s="35">
        <f t="shared" ref="AS122:AS153" si="68">INDEX($B$239:$P$239,1,AI122+1)</f>
        <v>938.71428571428567</v>
      </c>
      <c r="AT122" s="35">
        <f t="shared" ref="AT122:AT153" si="69">INDEX($B$240:$P$240,1,AJ122+1)</f>
        <v>516.90476190476193</v>
      </c>
      <c r="AU122" s="35">
        <f t="shared" ref="AU122:AU153" si="70">INDEX($B$241:$P$241,1,AK122+1)</f>
        <v>763.24242424242425</v>
      </c>
      <c r="AV122" s="35">
        <f t="shared" ref="AV122:AV153" si="71">INDEX($B$242:$P$242,1,AL122+1)</f>
        <v>986.22580645161293</v>
      </c>
      <c r="AW122" s="35">
        <f t="shared" ref="AW122:AW153" si="72">INDEX($B$243:$P$243,1,AM122+1)</f>
        <v>838.3125</v>
      </c>
      <c r="AX122" s="35">
        <f t="shared" ref="AX122:AX153" si="73">INDEX($B$244:$P$244,1,AN122+1)</f>
        <v>556.0625</v>
      </c>
      <c r="AY122" s="28">
        <f t="shared" ref="AY122:AY153" si="74">AVERAGE(AO122:AX122)</f>
        <v>786.92177270310322</v>
      </c>
      <c r="AZ122" s="35">
        <f t="shared" ref="AZ122:AZ153" si="75">$T122-AY122</f>
        <v>-391.92177270310322</v>
      </c>
      <c r="BA122" s="35">
        <f t="shared" ref="BA122:BA153" si="76">ABS(AZ122)</f>
        <v>391.92177270310322</v>
      </c>
      <c r="BB122" s="35">
        <f t="shared" ref="BB122:BB153" si="77">AZ122^2</f>
        <v>153602.6759187429</v>
      </c>
      <c r="BC122" s="35">
        <f t="shared" ref="BC122:BC153" si="78">($T122-AVERAGE($T$90:$T$206))^2</f>
        <v>2206392.8468843596</v>
      </c>
      <c r="BE122" s="37">
        <v>2</v>
      </c>
      <c r="BF122" s="37">
        <v>0</v>
      </c>
      <c r="BG122" s="37">
        <v>1</v>
      </c>
      <c r="BH122" s="37">
        <v>2</v>
      </c>
      <c r="BI122" s="37">
        <v>0</v>
      </c>
      <c r="BJ122" s="37">
        <v>2</v>
      </c>
      <c r="BK122" s="37">
        <v>2</v>
      </c>
      <c r="BL122" s="37">
        <v>2</v>
      </c>
      <c r="BM122" s="37">
        <v>2</v>
      </c>
      <c r="BN122" s="37">
        <v>1</v>
      </c>
      <c r="BO122" s="11">
        <f t="shared" ref="BO122:BO153" si="79">IF($E122&lt;=$C$250,IF($E122&lt;=$E$250,IF($E122&lt;=$G$250,3,4),IF($C122&lt;=$M$250,6,7)),IF($C122&lt;=$S$250,9,IF($D122&lt;=$W$250,11,12)))</f>
        <v>3</v>
      </c>
      <c r="BP122" s="11">
        <f t="shared" ref="BP122:BP153" si="80">IF($E122&lt;=$C$251,IF($E122&lt;=$E$251,IF($E122&lt;=$G$251,3,4),IF($D122&lt;=$M$251,6,7)),IF($E122&lt;=$S$251,IF($E122&lt;=$U$251,10,11),IF($C122&lt;=$AA$251,13,14)))</f>
        <v>3</v>
      </c>
      <c r="BQ122" s="11">
        <f t="shared" ref="BQ122:BQ153" si="81">IF($E122&lt;=$C$252,IF($E122&lt;=$E$252,IF($E122&lt;=$G$252,3,4),IF($C122&lt;=$M$252,6,7)),IF($E122&lt;=$S$252,9,IF($C122&lt;=$W$252,11,12)))</f>
        <v>3</v>
      </c>
      <c r="BR122" s="11">
        <f t="shared" ref="BR122:BR153" si="82">IF($E122&lt;=$C$253,IF($E122&lt;=$E$253,IF($E122&lt;=$G$253,3,4),IF($C122&lt;=$M$253,6,7)),IF($H122&lt;=$S$253,9,10))</f>
        <v>3</v>
      </c>
      <c r="BS122" s="11">
        <f t="shared" ref="BS122:BS153" si="83">IF($E122&lt;=$C$254,IF($E122&lt;=$E$254,IF($E122&lt;=$G$254,3,4),IF($E122&lt;=$M$254,6,7)),IF($C122&lt;=$S$254,9,10))</f>
        <v>3</v>
      </c>
      <c r="BT122" s="11">
        <f t="shared" ref="BT122:BT153" si="84">IF($E122&lt;=$C$255,IF($E122&lt;=$E$255,IF($E122&lt;=$G$255,3,4),IF($E122&lt;=$M$255,6,7)),IF($E122&lt;=$S$255,IF($E122&lt;=$U$255,10,11),12))</f>
        <v>3</v>
      </c>
      <c r="BU122" s="11">
        <f t="shared" ref="BU122:BU153" si="85">IF($E122&lt;=$C$256,IF($E122&lt;=$E$256,IF($M122&lt;=$G$256,3,4),IF($C122&lt;=$M$256,6,7)),IF($E122&lt;=$S$256,IF($E122&lt;=$U$256,10,11),IF($C122&lt;=$AA$256,13,14)))</f>
        <v>3</v>
      </c>
      <c r="BV122" s="11">
        <f t="shared" ref="BV122:BV153" si="86">IF($E122&lt;=$C$257,IF($E122&lt;=$E$257,IF($E122&lt;=$G$257,3,4),IF($D122&lt;=$M$257,6,7)),IF($E122&lt;=$S$257,IF($E122&lt;=$U$257,10,11),12))</f>
        <v>3</v>
      </c>
      <c r="BW122" s="11">
        <f t="shared" ref="BW122:BW153" si="87">IF($E122&lt;=$C$258,IF($E122&lt;=$E$258,IF($E122&lt;=$G$258,3,4),IF($C122&lt;=$M$258,6,7)),IF($E122&lt;=$S$258,9,10))</f>
        <v>3</v>
      </c>
      <c r="BX122" s="11">
        <f t="shared" ref="BX122:BX153" si="88">IF($E122&lt;=$C$259,IF($E122&lt;=$E$259,IF($E122&lt;=$G$259,3,4),IF($E122&lt;=$M$259,6,7)),IF($C122&lt;=$S$259,9,10))</f>
        <v>3</v>
      </c>
      <c r="BY122" s="35">
        <f t="shared" ref="BY122:BY153" si="89">INDEX($B$263:$P$263,1,BO122+1)</f>
        <v>526.31578947368416</v>
      </c>
      <c r="BZ122" s="35">
        <f t="shared" ref="BZ122:BZ153" si="90">INDEX($B$264:$P$264,1,BP122+1)</f>
        <v>549.21428571428567</v>
      </c>
      <c r="CA122" s="35">
        <f t="shared" ref="CA122:CA153" si="91">INDEX($B$265:$P$265,1,BQ122+1)</f>
        <v>431.78571428571428</v>
      </c>
      <c r="CB122" s="35">
        <f t="shared" ref="CB122:CB153" si="92">INDEX($B$266:$P$266,1,BR122+1)</f>
        <v>468.77777777777777</v>
      </c>
      <c r="CC122" s="35">
        <f t="shared" ref="CC122:CC153" si="93">INDEX($B$267:$P$267,1,BS122+1)</f>
        <v>493.23809523809524</v>
      </c>
      <c r="CD122" s="35">
        <f t="shared" ref="CD122:CD153" si="94">INDEX($B$268:$P$268,1,BT122+1)</f>
        <v>501.72972972972974</v>
      </c>
      <c r="CE122" s="35">
        <f t="shared" ref="CE122:CE153" si="95">INDEX($B$269:$P$269,1,BU122+1)</f>
        <v>737.21875</v>
      </c>
      <c r="CF122" s="35">
        <f t="shared" ref="CF122:CF153" si="96">INDEX($B$270:$P$270,1,BV122+1)</f>
        <v>454.56</v>
      </c>
      <c r="CG122" s="35">
        <f t="shared" ref="CG122:CG153" si="97">INDEX($B$271:$P$271,1,BW122+1)</f>
        <v>490.4848484848485</v>
      </c>
      <c r="CH122" s="35">
        <f t="shared" ref="CH122:CH153" si="98">INDEX($B$272:$P$272,1,BX122+1)</f>
        <v>453.52</v>
      </c>
      <c r="CI122" s="28">
        <f t="shared" ref="CI122:CI153" si="99">AVERAGE(BY122:CH122)</f>
        <v>510.68449907041361</v>
      </c>
      <c r="CJ122" s="35">
        <f t="shared" ref="CJ122:CJ153" si="100">$T122-CI122</f>
        <v>-115.68449907041361</v>
      </c>
      <c r="CK122" s="35">
        <f t="shared" ref="CK122:CK153" si="101">ABS(CJ122)</f>
        <v>115.68449907041361</v>
      </c>
      <c r="CL122" s="35">
        <f t="shared" ref="CL122:CL153" si="102">CJ122^2</f>
        <v>13382.903325172527</v>
      </c>
      <c r="CM122" s="35">
        <f t="shared" ref="CM122:CM153" si="103">($T122-AVERAGE($T$90:$T$206))^2</f>
        <v>2206392.8468843596</v>
      </c>
    </row>
    <row r="123" spans="1:91" x14ac:dyDescent="0.3">
      <c r="A123" s="4" t="str">
        <f>DATASETS!A42</f>
        <v>TAFT AVE.</v>
      </c>
      <c r="B123" s="4" t="str">
        <f>DATASETS!E42</f>
        <v>Training</v>
      </c>
      <c r="C123" s="9">
        <f>DATASETS!C42</f>
        <v>194464</v>
      </c>
      <c r="D123" s="4">
        <f>DATASETS!B42</f>
        <v>2022</v>
      </c>
      <c r="E123" s="6">
        <f>DATASETS!I42</f>
        <v>395</v>
      </c>
      <c r="F123" s="9">
        <f>DATASETS!H42</f>
        <v>42</v>
      </c>
      <c r="G123" s="11">
        <f t="shared" si="53"/>
        <v>0</v>
      </c>
      <c r="H123" s="11">
        <f t="shared" si="53"/>
        <v>0</v>
      </c>
      <c r="I123" s="11">
        <f t="shared" si="53"/>
        <v>0</v>
      </c>
      <c r="J123" s="11">
        <f t="shared" si="53"/>
        <v>1</v>
      </c>
      <c r="K123" s="11">
        <f t="shared" si="53"/>
        <v>0</v>
      </c>
      <c r="L123" s="11">
        <f t="shared" si="53"/>
        <v>0</v>
      </c>
      <c r="M123" s="11">
        <f t="shared" si="53"/>
        <v>0</v>
      </c>
      <c r="N123" s="11">
        <f t="shared" si="53"/>
        <v>0</v>
      </c>
      <c r="O123" s="11">
        <f t="shared" si="53"/>
        <v>0</v>
      </c>
      <c r="P123" s="11">
        <f t="shared" si="53"/>
        <v>0</v>
      </c>
      <c r="Q123" s="11">
        <f t="shared" si="53"/>
        <v>0</v>
      </c>
      <c r="R123" s="11">
        <f t="shared" si="53"/>
        <v>0</v>
      </c>
      <c r="S123" s="11">
        <f t="shared" si="53"/>
        <v>0</v>
      </c>
      <c r="T123" s="6">
        <f>DATASETS!D42</f>
        <v>538</v>
      </c>
      <c r="U123" s="37">
        <v>0</v>
      </c>
      <c r="V123" s="37">
        <v>2</v>
      </c>
      <c r="W123" s="37">
        <v>1</v>
      </c>
      <c r="X123" s="37">
        <v>1</v>
      </c>
      <c r="Y123" s="37">
        <v>0</v>
      </c>
      <c r="Z123" s="37">
        <v>1</v>
      </c>
      <c r="AA123" s="37">
        <v>1</v>
      </c>
      <c r="AB123" s="37">
        <v>0</v>
      </c>
      <c r="AC123" s="37">
        <v>0</v>
      </c>
      <c r="AD123" s="37">
        <v>0</v>
      </c>
      <c r="AE123" s="11">
        <f t="shared" si="54"/>
        <v>7</v>
      </c>
      <c r="AF123" s="11">
        <f t="shared" si="55"/>
        <v>7</v>
      </c>
      <c r="AG123" s="11">
        <f t="shared" si="56"/>
        <v>7</v>
      </c>
      <c r="AH123" s="11">
        <f t="shared" si="57"/>
        <v>6</v>
      </c>
      <c r="AI123" s="11">
        <f t="shared" si="58"/>
        <v>7</v>
      </c>
      <c r="AJ123" s="11">
        <f t="shared" si="59"/>
        <v>7</v>
      </c>
      <c r="AK123" s="11">
        <f t="shared" si="60"/>
        <v>7</v>
      </c>
      <c r="AL123" s="11">
        <f t="shared" si="61"/>
        <v>7</v>
      </c>
      <c r="AM123" s="11">
        <f t="shared" si="62"/>
        <v>7</v>
      </c>
      <c r="AN123" s="11">
        <f t="shared" si="63"/>
        <v>7</v>
      </c>
      <c r="AO123" s="35">
        <f t="shared" si="64"/>
        <v>1949.090909090909</v>
      </c>
      <c r="AP123" s="35">
        <f t="shared" si="65"/>
        <v>1396.0454545454545</v>
      </c>
      <c r="AQ123" s="35">
        <f t="shared" si="66"/>
        <v>1137.5999999999999</v>
      </c>
      <c r="AR123" s="35">
        <f t="shared" si="67"/>
        <v>1627.9428571428571</v>
      </c>
      <c r="AS123" s="35">
        <f t="shared" si="68"/>
        <v>1820.9230769230769</v>
      </c>
      <c r="AT123" s="35">
        <f t="shared" si="69"/>
        <v>1187.4000000000001</v>
      </c>
      <c r="AU123" s="35">
        <f t="shared" si="70"/>
        <v>2250.25</v>
      </c>
      <c r="AV123" s="35">
        <f t="shared" si="71"/>
        <v>2257.4375</v>
      </c>
      <c r="AW123" s="35">
        <f t="shared" si="72"/>
        <v>1715.36</v>
      </c>
      <c r="AX123" s="35">
        <f t="shared" si="73"/>
        <v>1973.8571428571429</v>
      </c>
      <c r="AY123" s="28">
        <f t="shared" si="74"/>
        <v>1731.5906940559441</v>
      </c>
      <c r="AZ123" s="35">
        <f t="shared" si="75"/>
        <v>-1193.5906940559441</v>
      </c>
      <c r="BA123" s="35">
        <f t="shared" si="76"/>
        <v>1193.5906940559441</v>
      </c>
      <c r="BB123" s="35">
        <f t="shared" si="77"/>
        <v>1424658.7449369505</v>
      </c>
      <c r="BC123" s="35">
        <f t="shared" si="78"/>
        <v>1802019.4024399151</v>
      </c>
      <c r="BE123" s="37">
        <v>0</v>
      </c>
      <c r="BF123" s="37">
        <v>2</v>
      </c>
      <c r="BG123" s="37">
        <v>1</v>
      </c>
      <c r="BH123" s="37">
        <v>1</v>
      </c>
      <c r="BI123" s="37">
        <v>0</v>
      </c>
      <c r="BJ123" s="37">
        <v>1</v>
      </c>
      <c r="BK123" s="37">
        <v>1</v>
      </c>
      <c r="BL123" s="37">
        <v>0</v>
      </c>
      <c r="BM123" s="37">
        <v>0</v>
      </c>
      <c r="BN123" s="37">
        <v>0</v>
      </c>
      <c r="BO123" s="11">
        <f t="shared" si="79"/>
        <v>3</v>
      </c>
      <c r="BP123" s="11">
        <f t="shared" si="80"/>
        <v>3</v>
      </c>
      <c r="BQ123" s="11">
        <f t="shared" si="81"/>
        <v>3</v>
      </c>
      <c r="BR123" s="11">
        <f t="shared" si="82"/>
        <v>3</v>
      </c>
      <c r="BS123" s="11">
        <f t="shared" si="83"/>
        <v>3</v>
      </c>
      <c r="BT123" s="11">
        <f t="shared" si="84"/>
        <v>3</v>
      </c>
      <c r="BU123" s="11">
        <f t="shared" si="85"/>
        <v>3</v>
      </c>
      <c r="BV123" s="11">
        <f t="shared" si="86"/>
        <v>3</v>
      </c>
      <c r="BW123" s="11">
        <f t="shared" si="87"/>
        <v>3</v>
      </c>
      <c r="BX123" s="11">
        <f t="shared" si="88"/>
        <v>3</v>
      </c>
      <c r="BY123" s="35">
        <f t="shared" si="89"/>
        <v>526.31578947368416</v>
      </c>
      <c r="BZ123" s="35">
        <f t="shared" si="90"/>
        <v>549.21428571428567</v>
      </c>
      <c r="CA123" s="35">
        <f t="shared" si="91"/>
        <v>431.78571428571428</v>
      </c>
      <c r="CB123" s="35">
        <f t="shared" si="92"/>
        <v>468.77777777777777</v>
      </c>
      <c r="CC123" s="35">
        <f t="shared" si="93"/>
        <v>493.23809523809524</v>
      </c>
      <c r="CD123" s="35">
        <f t="shared" si="94"/>
        <v>501.72972972972974</v>
      </c>
      <c r="CE123" s="35">
        <f t="shared" si="95"/>
        <v>737.21875</v>
      </c>
      <c r="CF123" s="35">
        <f t="shared" si="96"/>
        <v>454.56</v>
      </c>
      <c r="CG123" s="35">
        <f t="shared" si="97"/>
        <v>490.4848484848485</v>
      </c>
      <c r="CH123" s="35">
        <f t="shared" si="98"/>
        <v>453.52</v>
      </c>
      <c r="CI123" s="28">
        <f t="shared" si="99"/>
        <v>510.68449907041361</v>
      </c>
      <c r="CJ123" s="35">
        <f t="shared" si="100"/>
        <v>27.315500929586392</v>
      </c>
      <c r="CK123" s="35">
        <f t="shared" si="101"/>
        <v>27.315500929586392</v>
      </c>
      <c r="CL123" s="35">
        <f t="shared" si="102"/>
        <v>746.13659103423504</v>
      </c>
      <c r="CM123" s="35">
        <f t="shared" si="103"/>
        <v>1802019.4024399151</v>
      </c>
    </row>
    <row r="124" spans="1:91" x14ac:dyDescent="0.3">
      <c r="A124" s="4" t="str">
        <f>DATASETS!A43</f>
        <v>TAFT AVE.</v>
      </c>
      <c r="B124" s="4" t="str">
        <f>DATASETS!E43</f>
        <v>Training</v>
      </c>
      <c r="C124" s="9">
        <f>DATASETS!C43</f>
        <v>134321</v>
      </c>
      <c r="D124" s="4">
        <f>DATASETS!B43</f>
        <v>2023</v>
      </c>
      <c r="E124" s="6">
        <f>DATASETS!I43</f>
        <v>538</v>
      </c>
      <c r="F124" s="9">
        <f>DATASETS!H43</f>
        <v>42</v>
      </c>
      <c r="G124" s="11">
        <f t="shared" si="53"/>
        <v>0</v>
      </c>
      <c r="H124" s="11">
        <f t="shared" si="53"/>
        <v>0</v>
      </c>
      <c r="I124" s="11">
        <f t="shared" si="53"/>
        <v>0</v>
      </c>
      <c r="J124" s="11">
        <f t="shared" si="53"/>
        <v>1</v>
      </c>
      <c r="K124" s="11">
        <f t="shared" si="53"/>
        <v>0</v>
      </c>
      <c r="L124" s="11">
        <f t="shared" si="53"/>
        <v>0</v>
      </c>
      <c r="M124" s="11">
        <f t="shared" si="53"/>
        <v>0</v>
      </c>
      <c r="N124" s="11">
        <f t="shared" si="53"/>
        <v>0</v>
      </c>
      <c r="O124" s="11">
        <f t="shared" si="53"/>
        <v>0</v>
      </c>
      <c r="P124" s="11">
        <f t="shared" si="53"/>
        <v>0</v>
      </c>
      <c r="Q124" s="11">
        <f t="shared" si="53"/>
        <v>0</v>
      </c>
      <c r="R124" s="11">
        <f t="shared" si="53"/>
        <v>0</v>
      </c>
      <c r="S124" s="11">
        <f t="shared" si="53"/>
        <v>0</v>
      </c>
      <c r="T124" s="6">
        <f>DATASETS!D43</f>
        <v>587</v>
      </c>
      <c r="U124" s="37">
        <v>2</v>
      </c>
      <c r="V124" s="37">
        <v>0</v>
      </c>
      <c r="W124" s="37">
        <v>0</v>
      </c>
      <c r="X124" s="37">
        <v>2</v>
      </c>
      <c r="Y124" s="37">
        <v>1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11">
        <f t="shared" si="54"/>
        <v>4</v>
      </c>
      <c r="AF124" s="11">
        <f t="shared" si="55"/>
        <v>6</v>
      </c>
      <c r="AG124" s="11">
        <f t="shared" si="56"/>
        <v>4</v>
      </c>
      <c r="AH124" s="11">
        <f t="shared" si="57"/>
        <v>6</v>
      </c>
      <c r="AI124" s="11">
        <f t="shared" si="58"/>
        <v>6</v>
      </c>
      <c r="AJ124" s="11">
        <f t="shared" si="59"/>
        <v>6</v>
      </c>
      <c r="AK124" s="11">
        <f t="shared" si="60"/>
        <v>6</v>
      </c>
      <c r="AL124" s="11">
        <f t="shared" si="61"/>
        <v>6</v>
      </c>
      <c r="AM124" s="11">
        <f t="shared" si="62"/>
        <v>6</v>
      </c>
      <c r="AN124" s="11">
        <f t="shared" si="63"/>
        <v>6</v>
      </c>
      <c r="AO124" s="35">
        <f t="shared" si="64"/>
        <v>920.9375</v>
      </c>
      <c r="AP124" s="35">
        <f t="shared" si="65"/>
        <v>1722.05</v>
      </c>
      <c r="AQ124" s="35">
        <f t="shared" si="66"/>
        <v>800.71794871794873</v>
      </c>
      <c r="AR124" s="35">
        <f t="shared" si="67"/>
        <v>1627.9428571428571</v>
      </c>
      <c r="AS124" s="35">
        <f t="shared" si="68"/>
        <v>1491.3571428571429</v>
      </c>
      <c r="AT124" s="35">
        <f t="shared" si="69"/>
        <v>1681.7307692307693</v>
      </c>
      <c r="AU124" s="35">
        <f t="shared" si="70"/>
        <v>1434.4848484848485</v>
      </c>
      <c r="AV124" s="35">
        <f t="shared" si="71"/>
        <v>1642.45</v>
      </c>
      <c r="AW124" s="35">
        <f t="shared" si="72"/>
        <v>1284.25</v>
      </c>
      <c r="AX124" s="35">
        <f t="shared" si="73"/>
        <v>1526.8421052631579</v>
      </c>
      <c r="AY124" s="28">
        <f t="shared" si="74"/>
        <v>1413.2763171696727</v>
      </c>
      <c r="AZ124" s="35">
        <f t="shared" si="75"/>
        <v>-826.27631716967267</v>
      </c>
      <c r="BA124" s="35">
        <f t="shared" si="76"/>
        <v>826.27631716967267</v>
      </c>
      <c r="BB124" s="35">
        <f t="shared" si="77"/>
        <v>682732.55231547751</v>
      </c>
      <c r="BC124" s="35">
        <f t="shared" si="78"/>
        <v>1672865.8725253853</v>
      </c>
      <c r="BE124" s="37">
        <v>2</v>
      </c>
      <c r="BF124" s="37">
        <v>0</v>
      </c>
      <c r="BG124" s="37">
        <v>0</v>
      </c>
      <c r="BH124" s="37">
        <v>2</v>
      </c>
      <c r="BI124" s="37">
        <v>1</v>
      </c>
      <c r="BJ124" s="37">
        <v>0</v>
      </c>
      <c r="BK124" s="37">
        <v>0</v>
      </c>
      <c r="BL124" s="37">
        <v>0</v>
      </c>
      <c r="BM124" s="37">
        <v>0</v>
      </c>
      <c r="BN124" s="37">
        <v>0</v>
      </c>
      <c r="BO124" s="11">
        <f t="shared" si="79"/>
        <v>3</v>
      </c>
      <c r="BP124" s="11">
        <f t="shared" si="80"/>
        <v>3</v>
      </c>
      <c r="BQ124" s="11">
        <f t="shared" si="81"/>
        <v>3</v>
      </c>
      <c r="BR124" s="11">
        <f t="shared" si="82"/>
        <v>3</v>
      </c>
      <c r="BS124" s="11">
        <f t="shared" si="83"/>
        <v>3</v>
      </c>
      <c r="BT124" s="11">
        <f t="shared" si="84"/>
        <v>3</v>
      </c>
      <c r="BU124" s="11">
        <f t="shared" si="85"/>
        <v>3</v>
      </c>
      <c r="BV124" s="11">
        <f t="shared" si="86"/>
        <v>3</v>
      </c>
      <c r="BW124" s="11">
        <f t="shared" si="87"/>
        <v>3</v>
      </c>
      <c r="BX124" s="11">
        <f t="shared" si="88"/>
        <v>3</v>
      </c>
      <c r="BY124" s="35">
        <f t="shared" si="89"/>
        <v>526.31578947368416</v>
      </c>
      <c r="BZ124" s="35">
        <f t="shared" si="90"/>
        <v>549.21428571428567</v>
      </c>
      <c r="CA124" s="35">
        <f t="shared" si="91"/>
        <v>431.78571428571428</v>
      </c>
      <c r="CB124" s="35">
        <f t="shared" si="92"/>
        <v>468.77777777777777</v>
      </c>
      <c r="CC124" s="35">
        <f t="shared" si="93"/>
        <v>493.23809523809524</v>
      </c>
      <c r="CD124" s="35">
        <f t="shared" si="94"/>
        <v>501.72972972972974</v>
      </c>
      <c r="CE124" s="35">
        <f t="shared" si="95"/>
        <v>737.21875</v>
      </c>
      <c r="CF124" s="35">
        <f t="shared" si="96"/>
        <v>454.56</v>
      </c>
      <c r="CG124" s="35">
        <f t="shared" si="97"/>
        <v>490.4848484848485</v>
      </c>
      <c r="CH124" s="35">
        <f t="shared" si="98"/>
        <v>453.52</v>
      </c>
      <c r="CI124" s="28">
        <f t="shared" si="99"/>
        <v>510.68449907041361</v>
      </c>
      <c r="CJ124" s="35">
        <f t="shared" si="100"/>
        <v>76.315500929586392</v>
      </c>
      <c r="CK124" s="35">
        <f t="shared" si="101"/>
        <v>76.315500929586392</v>
      </c>
      <c r="CL124" s="35">
        <f t="shared" si="102"/>
        <v>5824.0556821337013</v>
      </c>
      <c r="CM124" s="35">
        <f t="shared" si="103"/>
        <v>1672865.8725253853</v>
      </c>
    </row>
    <row r="125" spans="1:91" x14ac:dyDescent="0.3">
      <c r="A125" s="4" t="str">
        <f>DATASETS!A44</f>
        <v>TAFT AVE.</v>
      </c>
      <c r="B125" s="4" t="str">
        <f>DATASETS!E44</f>
        <v>Training</v>
      </c>
      <c r="C125" s="9">
        <f>DATASETS!C44</f>
        <v>119119</v>
      </c>
      <c r="D125" s="4">
        <f>DATASETS!B44</f>
        <v>2024</v>
      </c>
      <c r="E125" s="6">
        <f>DATASETS!I44</f>
        <v>587</v>
      </c>
      <c r="F125" s="9">
        <f>DATASETS!H44</f>
        <v>42</v>
      </c>
      <c r="G125" s="11">
        <f t="shared" si="53"/>
        <v>0</v>
      </c>
      <c r="H125" s="11">
        <f t="shared" si="53"/>
        <v>0</v>
      </c>
      <c r="I125" s="11">
        <f t="shared" si="53"/>
        <v>0</v>
      </c>
      <c r="J125" s="11">
        <f t="shared" si="53"/>
        <v>1</v>
      </c>
      <c r="K125" s="11">
        <f t="shared" si="53"/>
        <v>0</v>
      </c>
      <c r="L125" s="11">
        <f t="shared" si="53"/>
        <v>0</v>
      </c>
      <c r="M125" s="11">
        <f t="shared" si="53"/>
        <v>0</v>
      </c>
      <c r="N125" s="11">
        <f t="shared" si="53"/>
        <v>0</v>
      </c>
      <c r="O125" s="11">
        <f t="shared" si="53"/>
        <v>0</v>
      </c>
      <c r="P125" s="11">
        <f t="shared" si="53"/>
        <v>0</v>
      </c>
      <c r="Q125" s="11">
        <f t="shared" si="53"/>
        <v>0</v>
      </c>
      <c r="R125" s="11">
        <f t="shared" si="53"/>
        <v>0</v>
      </c>
      <c r="S125" s="11">
        <f t="shared" si="53"/>
        <v>0</v>
      </c>
      <c r="T125" s="6">
        <f>DATASETS!D44</f>
        <v>481</v>
      </c>
      <c r="U125" s="37">
        <v>0</v>
      </c>
      <c r="V125" s="37">
        <v>1</v>
      </c>
      <c r="W125" s="37">
        <v>0</v>
      </c>
      <c r="X125" s="37">
        <v>0</v>
      </c>
      <c r="Y125" s="37">
        <v>1</v>
      </c>
      <c r="Z125" s="37">
        <v>3</v>
      </c>
      <c r="AA125" s="37">
        <v>0</v>
      </c>
      <c r="AB125" s="37">
        <v>0</v>
      </c>
      <c r="AC125" s="37">
        <v>1</v>
      </c>
      <c r="AD125" s="37">
        <v>0</v>
      </c>
      <c r="AE125" s="11">
        <f t="shared" si="54"/>
        <v>4</v>
      </c>
      <c r="AF125" s="11">
        <f t="shared" si="55"/>
        <v>3</v>
      </c>
      <c r="AG125" s="11">
        <f t="shared" si="56"/>
        <v>4</v>
      </c>
      <c r="AH125" s="11">
        <f t="shared" si="57"/>
        <v>4</v>
      </c>
      <c r="AI125" s="11">
        <f t="shared" si="58"/>
        <v>4</v>
      </c>
      <c r="AJ125" s="11">
        <f t="shared" si="59"/>
        <v>4</v>
      </c>
      <c r="AK125" s="11">
        <f t="shared" si="60"/>
        <v>6</v>
      </c>
      <c r="AL125" s="11">
        <f t="shared" si="61"/>
        <v>4</v>
      </c>
      <c r="AM125" s="11">
        <f t="shared" si="62"/>
        <v>4</v>
      </c>
      <c r="AN125" s="11">
        <f t="shared" si="63"/>
        <v>4</v>
      </c>
      <c r="AO125" s="35">
        <f t="shared" si="64"/>
        <v>920.9375</v>
      </c>
      <c r="AP125" s="35">
        <f t="shared" si="65"/>
        <v>879.5</v>
      </c>
      <c r="AQ125" s="35">
        <f t="shared" si="66"/>
        <v>800.71794871794873</v>
      </c>
      <c r="AR125" s="35">
        <f t="shared" si="67"/>
        <v>1087.8888888888889</v>
      </c>
      <c r="AS125" s="35">
        <f t="shared" si="68"/>
        <v>938.71428571428567</v>
      </c>
      <c r="AT125" s="35">
        <f t="shared" si="69"/>
        <v>516.90476190476193</v>
      </c>
      <c r="AU125" s="35">
        <f t="shared" si="70"/>
        <v>1434.4848484848485</v>
      </c>
      <c r="AV125" s="35">
        <f t="shared" si="71"/>
        <v>986.22580645161293</v>
      </c>
      <c r="AW125" s="35">
        <f t="shared" si="72"/>
        <v>838.3125</v>
      </c>
      <c r="AX125" s="35">
        <f t="shared" si="73"/>
        <v>556.0625</v>
      </c>
      <c r="AY125" s="28">
        <f t="shared" si="74"/>
        <v>895.97490401623475</v>
      </c>
      <c r="AZ125" s="35">
        <f t="shared" si="75"/>
        <v>-414.97490401623475</v>
      </c>
      <c r="BA125" s="35">
        <f t="shared" si="76"/>
        <v>414.97490401623475</v>
      </c>
      <c r="BB125" s="35">
        <f t="shared" si="77"/>
        <v>172204.17096328325</v>
      </c>
      <c r="BC125" s="35">
        <f t="shared" si="78"/>
        <v>1958301.2229527356</v>
      </c>
      <c r="BE125" s="37">
        <v>0</v>
      </c>
      <c r="BF125" s="37">
        <v>1</v>
      </c>
      <c r="BG125" s="37">
        <v>0</v>
      </c>
      <c r="BH125" s="37">
        <v>0</v>
      </c>
      <c r="BI125" s="37">
        <v>1</v>
      </c>
      <c r="BJ125" s="37">
        <v>3</v>
      </c>
      <c r="BK125" s="37">
        <v>0</v>
      </c>
      <c r="BL125" s="37">
        <v>0</v>
      </c>
      <c r="BM125" s="37">
        <v>1</v>
      </c>
      <c r="BN125" s="37">
        <v>0</v>
      </c>
      <c r="BO125" s="11">
        <f t="shared" si="79"/>
        <v>3</v>
      </c>
      <c r="BP125" s="11">
        <f t="shared" si="80"/>
        <v>3</v>
      </c>
      <c r="BQ125" s="11">
        <f t="shared" si="81"/>
        <v>3</v>
      </c>
      <c r="BR125" s="11">
        <f t="shared" si="82"/>
        <v>3</v>
      </c>
      <c r="BS125" s="11">
        <f t="shared" si="83"/>
        <v>3</v>
      </c>
      <c r="BT125" s="11">
        <f t="shared" si="84"/>
        <v>3</v>
      </c>
      <c r="BU125" s="11">
        <f t="shared" si="85"/>
        <v>3</v>
      </c>
      <c r="BV125" s="11">
        <f t="shared" si="86"/>
        <v>3</v>
      </c>
      <c r="BW125" s="11">
        <f t="shared" si="87"/>
        <v>3</v>
      </c>
      <c r="BX125" s="11">
        <f t="shared" si="88"/>
        <v>3</v>
      </c>
      <c r="BY125" s="35">
        <f t="shared" si="89"/>
        <v>526.31578947368416</v>
      </c>
      <c r="BZ125" s="35">
        <f t="shared" si="90"/>
        <v>549.21428571428567</v>
      </c>
      <c r="CA125" s="35">
        <f t="shared" si="91"/>
        <v>431.78571428571428</v>
      </c>
      <c r="CB125" s="35">
        <f t="shared" si="92"/>
        <v>468.77777777777777</v>
      </c>
      <c r="CC125" s="35">
        <f t="shared" si="93"/>
        <v>493.23809523809524</v>
      </c>
      <c r="CD125" s="35">
        <f t="shared" si="94"/>
        <v>501.72972972972974</v>
      </c>
      <c r="CE125" s="35">
        <f t="shared" si="95"/>
        <v>737.21875</v>
      </c>
      <c r="CF125" s="35">
        <f t="shared" si="96"/>
        <v>454.56</v>
      </c>
      <c r="CG125" s="35">
        <f t="shared" si="97"/>
        <v>490.4848484848485</v>
      </c>
      <c r="CH125" s="35">
        <f t="shared" si="98"/>
        <v>453.52</v>
      </c>
      <c r="CI125" s="28">
        <f t="shared" si="99"/>
        <v>510.68449907041361</v>
      </c>
      <c r="CJ125" s="35">
        <f t="shared" si="100"/>
        <v>-29.684499070413608</v>
      </c>
      <c r="CK125" s="35">
        <f t="shared" si="101"/>
        <v>29.684499070413608</v>
      </c>
      <c r="CL125" s="35">
        <f t="shared" si="102"/>
        <v>881.16948506138635</v>
      </c>
      <c r="CM125" s="35">
        <f t="shared" si="103"/>
        <v>1958301.2229527356</v>
      </c>
    </row>
    <row r="126" spans="1:91" x14ac:dyDescent="0.3">
      <c r="A126" s="4" t="str">
        <f>DATASETS!A46</f>
        <v>SSH</v>
      </c>
      <c r="B126" s="4" t="str">
        <f>DATASETS!E46</f>
        <v>Training</v>
      </c>
      <c r="C126" s="9">
        <f>DATASETS!C46</f>
        <v>99923</v>
      </c>
      <c r="D126" s="4">
        <f>DATASETS!B46</f>
        <v>2016</v>
      </c>
      <c r="E126" s="6">
        <f>DATASETS!I46</f>
        <v>1481</v>
      </c>
      <c r="F126" s="9">
        <f>DATASETS!H46</f>
        <v>396.48</v>
      </c>
      <c r="G126" s="11">
        <f t="shared" si="53"/>
        <v>0</v>
      </c>
      <c r="H126" s="11">
        <f t="shared" si="53"/>
        <v>0</v>
      </c>
      <c r="I126" s="11">
        <f t="shared" si="53"/>
        <v>0</v>
      </c>
      <c r="J126" s="11">
        <f t="shared" si="53"/>
        <v>0</v>
      </c>
      <c r="K126" s="11">
        <f t="shared" si="53"/>
        <v>1</v>
      </c>
      <c r="L126" s="11">
        <f t="shared" si="53"/>
        <v>0</v>
      </c>
      <c r="M126" s="11">
        <f t="shared" si="53"/>
        <v>0</v>
      </c>
      <c r="N126" s="11">
        <f t="shared" si="53"/>
        <v>0</v>
      </c>
      <c r="O126" s="11">
        <f t="shared" si="53"/>
        <v>0</v>
      </c>
      <c r="P126" s="11">
        <f t="shared" si="53"/>
        <v>0</v>
      </c>
      <c r="Q126" s="11">
        <f t="shared" si="53"/>
        <v>0</v>
      </c>
      <c r="R126" s="11">
        <f t="shared" si="53"/>
        <v>0</v>
      </c>
      <c r="S126" s="11">
        <f t="shared" si="53"/>
        <v>0</v>
      </c>
      <c r="T126" s="6">
        <f>DATASETS!D46</f>
        <v>1075</v>
      </c>
      <c r="U126" s="37">
        <v>0</v>
      </c>
      <c r="V126" s="37">
        <v>0</v>
      </c>
      <c r="W126" s="37">
        <v>1</v>
      </c>
      <c r="X126" s="37">
        <v>1</v>
      </c>
      <c r="Y126" s="37">
        <v>0</v>
      </c>
      <c r="Z126" s="37">
        <v>1</v>
      </c>
      <c r="AA126" s="37">
        <v>0</v>
      </c>
      <c r="AB126" s="37">
        <v>2</v>
      </c>
      <c r="AC126" s="37">
        <v>0</v>
      </c>
      <c r="AD126" s="37">
        <v>2</v>
      </c>
      <c r="AE126" s="11">
        <f t="shared" si="54"/>
        <v>4</v>
      </c>
      <c r="AF126" s="11">
        <f t="shared" si="55"/>
        <v>3</v>
      </c>
      <c r="AG126" s="11">
        <f t="shared" si="56"/>
        <v>4</v>
      </c>
      <c r="AH126" s="11">
        <f t="shared" si="57"/>
        <v>3</v>
      </c>
      <c r="AI126" s="11">
        <f t="shared" si="58"/>
        <v>3</v>
      </c>
      <c r="AJ126" s="11">
        <f t="shared" si="59"/>
        <v>3</v>
      </c>
      <c r="AK126" s="11">
        <f t="shared" si="60"/>
        <v>4</v>
      </c>
      <c r="AL126" s="11">
        <f t="shared" si="61"/>
        <v>4</v>
      </c>
      <c r="AM126" s="11">
        <f t="shared" si="62"/>
        <v>4</v>
      </c>
      <c r="AN126" s="11">
        <f t="shared" si="63"/>
        <v>3</v>
      </c>
      <c r="AO126" s="35">
        <f t="shared" si="64"/>
        <v>920.9375</v>
      </c>
      <c r="AP126" s="35">
        <f t="shared" si="65"/>
        <v>879.5</v>
      </c>
      <c r="AQ126" s="35">
        <f t="shared" si="66"/>
        <v>800.71794871794873</v>
      </c>
      <c r="AR126" s="35">
        <f t="shared" si="67"/>
        <v>668.6</v>
      </c>
      <c r="AS126" s="35">
        <f t="shared" si="68"/>
        <v>609.80952380952385</v>
      </c>
      <c r="AT126" s="35">
        <f t="shared" si="69"/>
        <v>730.06451612903231</v>
      </c>
      <c r="AU126" s="35">
        <f t="shared" si="70"/>
        <v>763.24242424242425</v>
      </c>
      <c r="AV126" s="35">
        <f t="shared" si="71"/>
        <v>986.22580645161293</v>
      </c>
      <c r="AW126" s="35">
        <f t="shared" si="72"/>
        <v>838.3125</v>
      </c>
      <c r="AX126" s="35">
        <f t="shared" si="73"/>
        <v>889.97222222222217</v>
      </c>
      <c r="AY126" s="28">
        <f t="shared" si="74"/>
        <v>808.73824415727631</v>
      </c>
      <c r="AZ126" s="35">
        <f t="shared" si="75"/>
        <v>266.26175584272369</v>
      </c>
      <c r="BA126" s="35">
        <f t="shared" si="76"/>
        <v>266.26175584272369</v>
      </c>
      <c r="BB126" s="35">
        <f t="shared" si="77"/>
        <v>70895.3226244502</v>
      </c>
      <c r="BC126" s="35">
        <f t="shared" si="78"/>
        <v>648658.14602965885</v>
      </c>
      <c r="BE126" s="37">
        <v>0</v>
      </c>
      <c r="BF126" s="37">
        <v>0</v>
      </c>
      <c r="BG126" s="37">
        <v>1</v>
      </c>
      <c r="BH126" s="37">
        <v>1</v>
      </c>
      <c r="BI126" s="37">
        <v>0</v>
      </c>
      <c r="BJ126" s="37">
        <v>1</v>
      </c>
      <c r="BK126" s="37">
        <v>0</v>
      </c>
      <c r="BL126" s="37">
        <v>2</v>
      </c>
      <c r="BM126" s="37">
        <v>0</v>
      </c>
      <c r="BN126" s="37">
        <v>2</v>
      </c>
      <c r="BO126" s="11">
        <f t="shared" si="79"/>
        <v>6</v>
      </c>
      <c r="BP126" s="11">
        <f t="shared" si="80"/>
        <v>6</v>
      </c>
      <c r="BQ126" s="11">
        <f t="shared" si="81"/>
        <v>6</v>
      </c>
      <c r="BR126" s="11">
        <f t="shared" si="82"/>
        <v>4</v>
      </c>
      <c r="BS126" s="11">
        <f t="shared" si="83"/>
        <v>6</v>
      </c>
      <c r="BT126" s="11">
        <f t="shared" si="84"/>
        <v>6</v>
      </c>
      <c r="BU126" s="11">
        <f t="shared" si="85"/>
        <v>6</v>
      </c>
      <c r="BV126" s="11">
        <f t="shared" si="86"/>
        <v>4</v>
      </c>
      <c r="BW126" s="11">
        <f t="shared" si="87"/>
        <v>6</v>
      </c>
      <c r="BX126" s="11">
        <f t="shared" si="88"/>
        <v>4</v>
      </c>
      <c r="BY126" s="35">
        <f t="shared" si="89"/>
        <v>1883.8695652173913</v>
      </c>
      <c r="BZ126" s="35">
        <f t="shared" si="90"/>
        <v>2135.1666666666665</v>
      </c>
      <c r="CA126" s="35">
        <f t="shared" si="91"/>
        <v>1415.8571428571429</v>
      </c>
      <c r="CB126" s="35">
        <f t="shared" si="92"/>
        <v>1067.3953488372092</v>
      </c>
      <c r="CC126" s="35">
        <f t="shared" si="93"/>
        <v>2206.8636363636365</v>
      </c>
      <c r="CD126" s="35">
        <f t="shared" si="94"/>
        <v>1283.8095238095239</v>
      </c>
      <c r="CE126" s="35">
        <f t="shared" si="95"/>
        <v>1210</v>
      </c>
      <c r="CF126" s="35">
        <f t="shared" si="96"/>
        <v>1130.5</v>
      </c>
      <c r="CG126" s="35">
        <f t="shared" si="97"/>
        <v>1803.9583333333333</v>
      </c>
      <c r="CH126" s="35">
        <f t="shared" si="98"/>
        <v>1071.409090909091</v>
      </c>
      <c r="CI126" s="28">
        <f t="shared" si="99"/>
        <v>1520.8829307993994</v>
      </c>
      <c r="CJ126" s="35">
        <f t="shared" si="100"/>
        <v>-445.88293079939945</v>
      </c>
      <c r="CK126" s="35">
        <f t="shared" si="101"/>
        <v>445.88293079939945</v>
      </c>
      <c r="CL126" s="35">
        <f t="shared" si="102"/>
        <v>198811.58797826205</v>
      </c>
      <c r="CM126" s="35">
        <f t="shared" si="103"/>
        <v>648658.14602965885</v>
      </c>
    </row>
    <row r="127" spans="1:91" x14ac:dyDescent="0.3">
      <c r="A127" s="4" t="str">
        <f>DATASETS!A47</f>
        <v>SSH</v>
      </c>
      <c r="B127" s="4" t="str">
        <f>DATASETS!E47</f>
        <v>Training</v>
      </c>
      <c r="C127" s="9">
        <f>DATASETS!C47</f>
        <v>103377</v>
      </c>
      <c r="D127" s="4">
        <f>DATASETS!B47</f>
        <v>2017</v>
      </c>
      <c r="E127" s="6">
        <f>DATASETS!I47</f>
        <v>1075</v>
      </c>
      <c r="F127" s="9">
        <f>DATASETS!H47</f>
        <v>396.48</v>
      </c>
      <c r="G127" s="11">
        <f t="shared" si="53"/>
        <v>0</v>
      </c>
      <c r="H127" s="11">
        <f t="shared" si="53"/>
        <v>0</v>
      </c>
      <c r="I127" s="11">
        <f t="shared" si="53"/>
        <v>0</v>
      </c>
      <c r="J127" s="11">
        <f t="shared" si="53"/>
        <v>0</v>
      </c>
      <c r="K127" s="11">
        <f t="shared" si="53"/>
        <v>1</v>
      </c>
      <c r="L127" s="11">
        <f t="shared" si="53"/>
        <v>0</v>
      </c>
      <c r="M127" s="11">
        <f t="shared" si="53"/>
        <v>0</v>
      </c>
      <c r="N127" s="11">
        <f t="shared" si="53"/>
        <v>0</v>
      </c>
      <c r="O127" s="11">
        <f t="shared" si="53"/>
        <v>0</v>
      </c>
      <c r="P127" s="11">
        <f t="shared" si="53"/>
        <v>0</v>
      </c>
      <c r="Q127" s="11">
        <f t="shared" si="53"/>
        <v>0</v>
      </c>
      <c r="R127" s="11">
        <f t="shared" si="53"/>
        <v>0</v>
      </c>
      <c r="S127" s="11">
        <f t="shared" si="53"/>
        <v>0</v>
      </c>
      <c r="T127" s="6">
        <f>DATASETS!D47</f>
        <v>970</v>
      </c>
      <c r="U127" s="37">
        <v>1</v>
      </c>
      <c r="V127" s="37">
        <v>0</v>
      </c>
      <c r="W127" s="37">
        <v>1</v>
      </c>
      <c r="X127" s="37">
        <v>0</v>
      </c>
      <c r="Y127" s="37">
        <v>1</v>
      </c>
      <c r="Z127" s="37">
        <v>0</v>
      </c>
      <c r="AA127" s="37">
        <v>0</v>
      </c>
      <c r="AB127" s="37">
        <v>3</v>
      </c>
      <c r="AC127" s="37">
        <v>0</v>
      </c>
      <c r="AD127" s="37">
        <v>2</v>
      </c>
      <c r="AE127" s="11">
        <f t="shared" si="54"/>
        <v>4</v>
      </c>
      <c r="AF127" s="11">
        <f t="shared" si="55"/>
        <v>3</v>
      </c>
      <c r="AG127" s="11">
        <f t="shared" si="56"/>
        <v>4</v>
      </c>
      <c r="AH127" s="11">
        <f t="shared" si="57"/>
        <v>3</v>
      </c>
      <c r="AI127" s="11">
        <f t="shared" si="58"/>
        <v>4</v>
      </c>
      <c r="AJ127" s="11">
        <f t="shared" si="59"/>
        <v>3</v>
      </c>
      <c r="AK127" s="11">
        <f t="shared" si="60"/>
        <v>4</v>
      </c>
      <c r="AL127" s="11">
        <f t="shared" si="61"/>
        <v>4</v>
      </c>
      <c r="AM127" s="11">
        <f t="shared" si="62"/>
        <v>4</v>
      </c>
      <c r="AN127" s="11">
        <f t="shared" si="63"/>
        <v>3</v>
      </c>
      <c r="AO127" s="35">
        <f t="shared" si="64"/>
        <v>920.9375</v>
      </c>
      <c r="AP127" s="35">
        <f t="shared" si="65"/>
        <v>879.5</v>
      </c>
      <c r="AQ127" s="35">
        <f t="shared" si="66"/>
        <v>800.71794871794873</v>
      </c>
      <c r="AR127" s="35">
        <f t="shared" si="67"/>
        <v>668.6</v>
      </c>
      <c r="AS127" s="35">
        <f t="shared" si="68"/>
        <v>938.71428571428567</v>
      </c>
      <c r="AT127" s="35">
        <f t="shared" si="69"/>
        <v>730.06451612903231</v>
      </c>
      <c r="AU127" s="35">
        <f t="shared" si="70"/>
        <v>763.24242424242425</v>
      </c>
      <c r="AV127" s="35">
        <f t="shared" si="71"/>
        <v>986.22580645161293</v>
      </c>
      <c r="AW127" s="35">
        <f t="shared" si="72"/>
        <v>838.3125</v>
      </c>
      <c r="AX127" s="35">
        <f t="shared" si="73"/>
        <v>889.97222222222217</v>
      </c>
      <c r="AY127" s="28">
        <f t="shared" si="74"/>
        <v>841.62872034775251</v>
      </c>
      <c r="AZ127" s="35">
        <f t="shared" si="75"/>
        <v>128.37127965224749</v>
      </c>
      <c r="BA127" s="35">
        <f t="shared" si="76"/>
        <v>128.37127965224749</v>
      </c>
      <c r="BB127" s="35">
        <f t="shared" si="77"/>
        <v>16479.185439555531</v>
      </c>
      <c r="BC127" s="35">
        <f t="shared" si="78"/>
        <v>828815.71013222286</v>
      </c>
      <c r="BE127" s="37">
        <v>1</v>
      </c>
      <c r="BF127" s="37">
        <v>0</v>
      </c>
      <c r="BG127" s="37">
        <v>1</v>
      </c>
      <c r="BH127" s="37">
        <v>0</v>
      </c>
      <c r="BI127" s="37">
        <v>1</v>
      </c>
      <c r="BJ127" s="37">
        <v>0</v>
      </c>
      <c r="BK127" s="37">
        <v>0</v>
      </c>
      <c r="BL127" s="37">
        <v>3</v>
      </c>
      <c r="BM127" s="37">
        <v>0</v>
      </c>
      <c r="BN127" s="37">
        <v>2</v>
      </c>
      <c r="BO127" s="11">
        <f t="shared" si="79"/>
        <v>4</v>
      </c>
      <c r="BP127" s="11">
        <f t="shared" si="80"/>
        <v>6</v>
      </c>
      <c r="BQ127" s="11">
        <f t="shared" si="81"/>
        <v>4</v>
      </c>
      <c r="BR127" s="11">
        <f t="shared" si="82"/>
        <v>4</v>
      </c>
      <c r="BS127" s="11">
        <f t="shared" si="83"/>
        <v>4</v>
      </c>
      <c r="BT127" s="11">
        <f t="shared" si="84"/>
        <v>6</v>
      </c>
      <c r="BU127" s="11">
        <f t="shared" si="85"/>
        <v>3</v>
      </c>
      <c r="BV127" s="11">
        <f t="shared" si="86"/>
        <v>4</v>
      </c>
      <c r="BW127" s="11">
        <f t="shared" si="87"/>
        <v>4</v>
      </c>
      <c r="BX127" s="11">
        <f t="shared" si="88"/>
        <v>4</v>
      </c>
      <c r="BY127" s="35">
        <f t="shared" si="89"/>
        <v>1064.1818181818182</v>
      </c>
      <c r="BZ127" s="35">
        <f t="shared" si="90"/>
        <v>2135.1666666666665</v>
      </c>
      <c r="CA127" s="35">
        <f t="shared" si="91"/>
        <v>1010.6551724137931</v>
      </c>
      <c r="CB127" s="35">
        <f t="shared" si="92"/>
        <v>1067.3953488372092</v>
      </c>
      <c r="CC127" s="35">
        <f t="shared" si="93"/>
        <v>1186.5882352941176</v>
      </c>
      <c r="CD127" s="35">
        <f t="shared" si="94"/>
        <v>1283.8095238095239</v>
      </c>
      <c r="CE127" s="35">
        <f t="shared" si="95"/>
        <v>737.21875</v>
      </c>
      <c r="CF127" s="35">
        <f t="shared" si="96"/>
        <v>1130.5</v>
      </c>
      <c r="CG127" s="35">
        <f t="shared" si="97"/>
        <v>1060.5135135135135</v>
      </c>
      <c r="CH127" s="35">
        <f t="shared" si="98"/>
        <v>1071.409090909091</v>
      </c>
      <c r="CI127" s="28">
        <f t="shared" si="99"/>
        <v>1174.7438119625735</v>
      </c>
      <c r="CJ127" s="35">
        <f t="shared" si="100"/>
        <v>-204.74381196257355</v>
      </c>
      <c r="CK127" s="35">
        <f t="shared" si="101"/>
        <v>204.74381196257355</v>
      </c>
      <c r="CL127" s="35">
        <f t="shared" si="102"/>
        <v>41920.028536965678</v>
      </c>
      <c r="CM127" s="35">
        <f t="shared" si="103"/>
        <v>828815.71013222286</v>
      </c>
    </row>
    <row r="128" spans="1:91" x14ac:dyDescent="0.3">
      <c r="A128" s="4" t="str">
        <f>DATASETS!A48</f>
        <v>SSH</v>
      </c>
      <c r="B128" s="4" t="str">
        <f>DATASETS!E48</f>
        <v>Training</v>
      </c>
      <c r="C128" s="9">
        <f>DATASETS!C48</f>
        <v>100909</v>
      </c>
      <c r="D128" s="4">
        <f>DATASETS!B48</f>
        <v>2018</v>
      </c>
      <c r="E128" s="6">
        <f>DATASETS!I48</f>
        <v>970</v>
      </c>
      <c r="F128" s="9">
        <f>DATASETS!H48</f>
        <v>396.48</v>
      </c>
      <c r="G128" s="11">
        <f t="shared" si="53"/>
        <v>0</v>
      </c>
      <c r="H128" s="11">
        <f t="shared" si="53"/>
        <v>0</v>
      </c>
      <c r="I128" s="11">
        <f t="shared" si="53"/>
        <v>0</v>
      </c>
      <c r="J128" s="11">
        <f t="shared" si="53"/>
        <v>0</v>
      </c>
      <c r="K128" s="11">
        <f t="shared" si="53"/>
        <v>1</v>
      </c>
      <c r="L128" s="11">
        <f t="shared" si="53"/>
        <v>0</v>
      </c>
      <c r="M128" s="11">
        <f t="shared" si="53"/>
        <v>0</v>
      </c>
      <c r="N128" s="11">
        <f t="shared" si="53"/>
        <v>0</v>
      </c>
      <c r="O128" s="11">
        <f t="shared" si="53"/>
        <v>0</v>
      </c>
      <c r="P128" s="11">
        <f t="shared" si="53"/>
        <v>0</v>
      </c>
      <c r="Q128" s="11">
        <f t="shared" si="53"/>
        <v>0</v>
      </c>
      <c r="R128" s="11">
        <f t="shared" si="53"/>
        <v>0</v>
      </c>
      <c r="S128" s="11">
        <f t="shared" si="53"/>
        <v>0</v>
      </c>
      <c r="T128" s="6">
        <f>DATASETS!D48</f>
        <v>1130</v>
      </c>
      <c r="U128" s="37">
        <v>1</v>
      </c>
      <c r="V128" s="37">
        <v>1</v>
      </c>
      <c r="W128" s="37">
        <v>2</v>
      </c>
      <c r="X128" s="37">
        <v>1</v>
      </c>
      <c r="Y128" s="37">
        <v>0</v>
      </c>
      <c r="Z128" s="37">
        <v>2</v>
      </c>
      <c r="AA128" s="37">
        <v>1</v>
      </c>
      <c r="AB128" s="37">
        <v>2</v>
      </c>
      <c r="AC128" s="37">
        <v>1</v>
      </c>
      <c r="AD128" s="37">
        <v>1</v>
      </c>
      <c r="AE128" s="11">
        <f t="shared" si="54"/>
        <v>4</v>
      </c>
      <c r="AF128" s="11">
        <f t="shared" si="55"/>
        <v>3</v>
      </c>
      <c r="AG128" s="11">
        <f t="shared" si="56"/>
        <v>4</v>
      </c>
      <c r="AH128" s="11">
        <f t="shared" si="57"/>
        <v>3</v>
      </c>
      <c r="AI128" s="11">
        <f t="shared" si="58"/>
        <v>4</v>
      </c>
      <c r="AJ128" s="11">
        <f t="shared" si="59"/>
        <v>3</v>
      </c>
      <c r="AK128" s="11">
        <f t="shared" si="60"/>
        <v>4</v>
      </c>
      <c r="AL128" s="11">
        <f t="shared" si="61"/>
        <v>4</v>
      </c>
      <c r="AM128" s="11">
        <f t="shared" si="62"/>
        <v>4</v>
      </c>
      <c r="AN128" s="11">
        <f t="shared" si="63"/>
        <v>3</v>
      </c>
      <c r="AO128" s="35">
        <f t="shared" si="64"/>
        <v>920.9375</v>
      </c>
      <c r="AP128" s="35">
        <f t="shared" si="65"/>
        <v>879.5</v>
      </c>
      <c r="AQ128" s="35">
        <f t="shared" si="66"/>
        <v>800.71794871794873</v>
      </c>
      <c r="AR128" s="35">
        <f t="shared" si="67"/>
        <v>668.6</v>
      </c>
      <c r="AS128" s="35">
        <f t="shared" si="68"/>
        <v>938.71428571428567</v>
      </c>
      <c r="AT128" s="35">
        <f t="shared" si="69"/>
        <v>730.06451612903231</v>
      </c>
      <c r="AU128" s="35">
        <f t="shared" si="70"/>
        <v>763.24242424242425</v>
      </c>
      <c r="AV128" s="35">
        <f t="shared" si="71"/>
        <v>986.22580645161293</v>
      </c>
      <c r="AW128" s="35">
        <f t="shared" si="72"/>
        <v>838.3125</v>
      </c>
      <c r="AX128" s="35">
        <f t="shared" si="73"/>
        <v>889.97222222222217</v>
      </c>
      <c r="AY128" s="28">
        <f t="shared" si="74"/>
        <v>841.62872034775251</v>
      </c>
      <c r="AZ128" s="35">
        <f t="shared" si="75"/>
        <v>288.37127965224749</v>
      </c>
      <c r="BA128" s="35">
        <f t="shared" si="76"/>
        <v>288.37127965224749</v>
      </c>
      <c r="BB128" s="35">
        <f t="shared" si="77"/>
        <v>83157.994928274726</v>
      </c>
      <c r="BC128" s="35">
        <f t="shared" si="78"/>
        <v>563089.89816641097</v>
      </c>
      <c r="BE128" s="37">
        <v>1</v>
      </c>
      <c r="BF128" s="37">
        <v>1</v>
      </c>
      <c r="BG128" s="37">
        <v>2</v>
      </c>
      <c r="BH128" s="37">
        <v>1</v>
      </c>
      <c r="BI128" s="37">
        <v>0</v>
      </c>
      <c r="BJ128" s="37">
        <v>2</v>
      </c>
      <c r="BK128" s="37">
        <v>1</v>
      </c>
      <c r="BL128" s="37">
        <v>2</v>
      </c>
      <c r="BM128" s="37">
        <v>1</v>
      </c>
      <c r="BN128" s="37">
        <v>1</v>
      </c>
      <c r="BO128" s="11">
        <f t="shared" si="79"/>
        <v>4</v>
      </c>
      <c r="BP128" s="11">
        <f t="shared" si="80"/>
        <v>4</v>
      </c>
      <c r="BQ128" s="11">
        <f t="shared" si="81"/>
        <v>4</v>
      </c>
      <c r="BR128" s="11">
        <f t="shared" si="82"/>
        <v>4</v>
      </c>
      <c r="BS128" s="11">
        <f t="shared" si="83"/>
        <v>4</v>
      </c>
      <c r="BT128" s="11">
        <f t="shared" si="84"/>
        <v>4</v>
      </c>
      <c r="BU128" s="11">
        <f t="shared" si="85"/>
        <v>3</v>
      </c>
      <c r="BV128" s="11">
        <f t="shared" si="86"/>
        <v>4</v>
      </c>
      <c r="BW128" s="11">
        <f t="shared" si="87"/>
        <v>4</v>
      </c>
      <c r="BX128" s="11">
        <f t="shared" si="88"/>
        <v>4</v>
      </c>
      <c r="BY128" s="35">
        <f t="shared" si="89"/>
        <v>1064.1818181818182</v>
      </c>
      <c r="BZ128" s="35">
        <f t="shared" si="90"/>
        <v>1019.8181818181819</v>
      </c>
      <c r="CA128" s="35">
        <f t="shared" si="91"/>
        <v>1010.6551724137931</v>
      </c>
      <c r="CB128" s="35">
        <f t="shared" si="92"/>
        <v>1067.3953488372092</v>
      </c>
      <c r="CC128" s="35">
        <f t="shared" si="93"/>
        <v>1186.5882352941176</v>
      </c>
      <c r="CD128" s="35">
        <f t="shared" si="94"/>
        <v>1025.608695652174</v>
      </c>
      <c r="CE128" s="35">
        <f t="shared" si="95"/>
        <v>737.21875</v>
      </c>
      <c r="CF128" s="35">
        <f t="shared" si="96"/>
        <v>1130.5</v>
      </c>
      <c r="CG128" s="35">
        <f t="shared" si="97"/>
        <v>1060.5135135135135</v>
      </c>
      <c r="CH128" s="35">
        <f t="shared" si="98"/>
        <v>1071.409090909091</v>
      </c>
      <c r="CI128" s="28">
        <f t="shared" si="99"/>
        <v>1037.38888066199</v>
      </c>
      <c r="CJ128" s="35">
        <f t="shared" si="100"/>
        <v>92.611119338009985</v>
      </c>
      <c r="CK128" s="35">
        <f t="shared" si="101"/>
        <v>92.611119338009985</v>
      </c>
      <c r="CL128" s="35">
        <f t="shared" si="102"/>
        <v>8576.8194250391261</v>
      </c>
      <c r="CM128" s="35">
        <f t="shared" si="103"/>
        <v>563089.89816641097</v>
      </c>
    </row>
    <row r="129" spans="1:91" x14ac:dyDescent="0.3">
      <c r="A129" s="4" t="str">
        <f>DATASETS!A49</f>
        <v>SSH</v>
      </c>
      <c r="B129" s="4" t="str">
        <f>DATASETS!E49</f>
        <v>Training</v>
      </c>
      <c r="C129" s="9">
        <f>DATASETS!C49</f>
        <v>130434</v>
      </c>
      <c r="D129" s="4">
        <f>DATASETS!B49</f>
        <v>2019</v>
      </c>
      <c r="E129" s="6">
        <f>DATASETS!I49</f>
        <v>1130</v>
      </c>
      <c r="F129" s="9">
        <f>DATASETS!H49</f>
        <v>396.48</v>
      </c>
      <c r="G129" s="11">
        <f t="shared" si="53"/>
        <v>0</v>
      </c>
      <c r="H129" s="11">
        <f t="shared" si="53"/>
        <v>0</v>
      </c>
      <c r="I129" s="11">
        <f t="shared" si="53"/>
        <v>0</v>
      </c>
      <c r="J129" s="11">
        <f t="shared" si="53"/>
        <v>0</v>
      </c>
      <c r="K129" s="11">
        <f t="shared" si="53"/>
        <v>1</v>
      </c>
      <c r="L129" s="11">
        <f t="shared" si="53"/>
        <v>0</v>
      </c>
      <c r="M129" s="11">
        <f t="shared" si="53"/>
        <v>0</v>
      </c>
      <c r="N129" s="11">
        <f t="shared" si="53"/>
        <v>0</v>
      </c>
      <c r="O129" s="11">
        <f t="shared" si="53"/>
        <v>0</v>
      </c>
      <c r="P129" s="11">
        <f t="shared" si="53"/>
        <v>0</v>
      </c>
      <c r="Q129" s="11">
        <f t="shared" si="53"/>
        <v>0</v>
      </c>
      <c r="R129" s="11">
        <f t="shared" si="53"/>
        <v>0</v>
      </c>
      <c r="S129" s="11">
        <f t="shared" si="53"/>
        <v>0</v>
      </c>
      <c r="T129" s="6">
        <f>DATASETS!D49</f>
        <v>1293</v>
      </c>
      <c r="U129" s="37">
        <v>0</v>
      </c>
      <c r="V129" s="37">
        <v>1</v>
      </c>
      <c r="W129" s="37">
        <v>0</v>
      </c>
      <c r="X129" s="37">
        <v>1</v>
      </c>
      <c r="Y129" s="37">
        <v>4</v>
      </c>
      <c r="Z129" s="37">
        <v>0</v>
      </c>
      <c r="AA129" s="37">
        <v>1</v>
      </c>
      <c r="AB129" s="37">
        <v>0</v>
      </c>
      <c r="AC129" s="37">
        <v>3</v>
      </c>
      <c r="AD129" s="37">
        <v>0</v>
      </c>
      <c r="AE129" s="11">
        <f t="shared" si="54"/>
        <v>4</v>
      </c>
      <c r="AF129" s="11">
        <f t="shared" si="55"/>
        <v>6</v>
      </c>
      <c r="AG129" s="11">
        <f t="shared" si="56"/>
        <v>4</v>
      </c>
      <c r="AH129" s="11">
        <f t="shared" si="57"/>
        <v>6</v>
      </c>
      <c r="AI129" s="11">
        <f t="shared" si="58"/>
        <v>6</v>
      </c>
      <c r="AJ129" s="11">
        <f t="shared" si="59"/>
        <v>6</v>
      </c>
      <c r="AK129" s="11">
        <f t="shared" si="60"/>
        <v>6</v>
      </c>
      <c r="AL129" s="11">
        <f t="shared" si="61"/>
        <v>6</v>
      </c>
      <c r="AM129" s="11">
        <f t="shared" si="62"/>
        <v>6</v>
      </c>
      <c r="AN129" s="11">
        <f t="shared" si="63"/>
        <v>6</v>
      </c>
      <c r="AO129" s="35">
        <f t="shared" si="64"/>
        <v>920.9375</v>
      </c>
      <c r="AP129" s="35">
        <f t="shared" si="65"/>
        <v>1722.05</v>
      </c>
      <c r="AQ129" s="35">
        <f t="shared" si="66"/>
        <v>800.71794871794873</v>
      </c>
      <c r="AR129" s="35">
        <f t="shared" si="67"/>
        <v>1627.9428571428571</v>
      </c>
      <c r="AS129" s="35">
        <f t="shared" si="68"/>
        <v>1491.3571428571429</v>
      </c>
      <c r="AT129" s="35">
        <f t="shared" si="69"/>
        <v>1681.7307692307693</v>
      </c>
      <c r="AU129" s="35">
        <f t="shared" si="70"/>
        <v>1434.4848484848485</v>
      </c>
      <c r="AV129" s="35">
        <f t="shared" si="71"/>
        <v>1642.45</v>
      </c>
      <c r="AW129" s="35">
        <f t="shared" si="72"/>
        <v>1284.25</v>
      </c>
      <c r="AX129" s="35">
        <f t="shared" si="73"/>
        <v>1526.8421052631579</v>
      </c>
      <c r="AY129" s="28">
        <f t="shared" si="74"/>
        <v>1413.2763171696727</v>
      </c>
      <c r="AZ129" s="35">
        <f t="shared" si="75"/>
        <v>-120.27631716967267</v>
      </c>
      <c r="BA129" s="35">
        <f t="shared" si="76"/>
        <v>120.27631716967267</v>
      </c>
      <c r="BB129" s="35">
        <f t="shared" si="77"/>
        <v>14466.392471899695</v>
      </c>
      <c r="BC129" s="35">
        <f t="shared" si="78"/>
        <v>345030.72722623998</v>
      </c>
      <c r="BE129" s="37">
        <v>0</v>
      </c>
      <c r="BF129" s="37">
        <v>1</v>
      </c>
      <c r="BG129" s="37">
        <v>0</v>
      </c>
      <c r="BH129" s="37">
        <v>1</v>
      </c>
      <c r="BI129" s="37">
        <v>4</v>
      </c>
      <c r="BJ129" s="37">
        <v>0</v>
      </c>
      <c r="BK129" s="37">
        <v>1</v>
      </c>
      <c r="BL129" s="37">
        <v>0</v>
      </c>
      <c r="BM129" s="37">
        <v>3</v>
      </c>
      <c r="BN129" s="37">
        <v>0</v>
      </c>
      <c r="BO129" s="11">
        <f t="shared" si="79"/>
        <v>4</v>
      </c>
      <c r="BP129" s="11">
        <f t="shared" si="80"/>
        <v>6</v>
      </c>
      <c r="BQ129" s="11">
        <f t="shared" si="81"/>
        <v>4</v>
      </c>
      <c r="BR129" s="11">
        <f t="shared" si="82"/>
        <v>4</v>
      </c>
      <c r="BS129" s="11">
        <f t="shared" si="83"/>
        <v>4</v>
      </c>
      <c r="BT129" s="11">
        <f t="shared" si="84"/>
        <v>6</v>
      </c>
      <c r="BU129" s="11">
        <f t="shared" si="85"/>
        <v>3</v>
      </c>
      <c r="BV129" s="11">
        <f t="shared" si="86"/>
        <v>4</v>
      </c>
      <c r="BW129" s="11">
        <f t="shared" si="87"/>
        <v>4</v>
      </c>
      <c r="BX129" s="11">
        <f t="shared" si="88"/>
        <v>4</v>
      </c>
      <c r="BY129" s="35">
        <f t="shared" si="89"/>
        <v>1064.1818181818182</v>
      </c>
      <c r="BZ129" s="35">
        <f t="shared" si="90"/>
        <v>2135.1666666666665</v>
      </c>
      <c r="CA129" s="35">
        <f t="shared" si="91"/>
        <v>1010.6551724137931</v>
      </c>
      <c r="CB129" s="35">
        <f t="shared" si="92"/>
        <v>1067.3953488372092</v>
      </c>
      <c r="CC129" s="35">
        <f t="shared" si="93"/>
        <v>1186.5882352941176</v>
      </c>
      <c r="CD129" s="35">
        <f t="shared" si="94"/>
        <v>1283.8095238095239</v>
      </c>
      <c r="CE129" s="35">
        <f t="shared" si="95"/>
        <v>737.21875</v>
      </c>
      <c r="CF129" s="35">
        <f t="shared" si="96"/>
        <v>1130.5</v>
      </c>
      <c r="CG129" s="35">
        <f t="shared" si="97"/>
        <v>1060.5135135135135</v>
      </c>
      <c r="CH129" s="35">
        <f t="shared" si="98"/>
        <v>1071.409090909091</v>
      </c>
      <c r="CI129" s="28">
        <f t="shared" si="99"/>
        <v>1174.7438119625735</v>
      </c>
      <c r="CJ129" s="35">
        <f t="shared" si="100"/>
        <v>118.25618803742645</v>
      </c>
      <c r="CK129" s="35">
        <f t="shared" si="101"/>
        <v>118.25618803742645</v>
      </c>
      <c r="CL129" s="35">
        <f t="shared" si="102"/>
        <v>13984.526009143165</v>
      </c>
      <c r="CM129" s="35">
        <f t="shared" si="103"/>
        <v>345030.72722623998</v>
      </c>
    </row>
    <row r="130" spans="1:91" x14ac:dyDescent="0.3">
      <c r="A130" s="4" t="str">
        <f>DATASETS!A50</f>
        <v>SSH</v>
      </c>
      <c r="B130" s="4" t="str">
        <f>DATASETS!E50</f>
        <v>Training</v>
      </c>
      <c r="C130" s="9">
        <f>DATASETS!C50</f>
        <v>142755</v>
      </c>
      <c r="D130" s="4">
        <f>DATASETS!B50</f>
        <v>2020</v>
      </c>
      <c r="E130" s="6">
        <f>DATASETS!I50</f>
        <v>1293</v>
      </c>
      <c r="F130" s="9">
        <f>DATASETS!H50</f>
        <v>396.48</v>
      </c>
      <c r="G130" s="11">
        <f t="shared" ref="G130:S139" si="104">IF($A130=G$88,1,0)</f>
        <v>0</v>
      </c>
      <c r="H130" s="11">
        <f t="shared" si="104"/>
        <v>0</v>
      </c>
      <c r="I130" s="11">
        <f t="shared" si="104"/>
        <v>0</v>
      </c>
      <c r="J130" s="11">
        <f t="shared" si="104"/>
        <v>0</v>
      </c>
      <c r="K130" s="11">
        <f t="shared" si="104"/>
        <v>1</v>
      </c>
      <c r="L130" s="11">
        <f t="shared" si="104"/>
        <v>0</v>
      </c>
      <c r="M130" s="11">
        <f t="shared" si="104"/>
        <v>0</v>
      </c>
      <c r="N130" s="11">
        <f t="shared" si="104"/>
        <v>0</v>
      </c>
      <c r="O130" s="11">
        <f t="shared" si="104"/>
        <v>0</v>
      </c>
      <c r="P130" s="11">
        <f t="shared" si="104"/>
        <v>0</v>
      </c>
      <c r="Q130" s="11">
        <f t="shared" si="104"/>
        <v>0</v>
      </c>
      <c r="R130" s="11">
        <f t="shared" si="104"/>
        <v>0</v>
      </c>
      <c r="S130" s="11">
        <f t="shared" si="104"/>
        <v>0</v>
      </c>
      <c r="T130" s="6">
        <f>DATASETS!D50</f>
        <v>639</v>
      </c>
      <c r="U130" s="37">
        <v>0</v>
      </c>
      <c r="V130" s="37">
        <v>1</v>
      </c>
      <c r="W130" s="37">
        <v>4</v>
      </c>
      <c r="X130" s="37">
        <v>0</v>
      </c>
      <c r="Y130" s="37">
        <v>2</v>
      </c>
      <c r="Z130" s="37">
        <v>0</v>
      </c>
      <c r="AA130" s="37">
        <v>1</v>
      </c>
      <c r="AB130" s="37">
        <v>1</v>
      </c>
      <c r="AC130" s="37">
        <v>1</v>
      </c>
      <c r="AD130" s="37">
        <v>1</v>
      </c>
      <c r="AE130" s="11">
        <f t="shared" si="54"/>
        <v>6</v>
      </c>
      <c r="AF130" s="11">
        <f t="shared" si="55"/>
        <v>6</v>
      </c>
      <c r="AG130" s="11">
        <f t="shared" si="56"/>
        <v>4</v>
      </c>
      <c r="AH130" s="11">
        <f t="shared" si="57"/>
        <v>6</v>
      </c>
      <c r="AI130" s="11">
        <f t="shared" si="58"/>
        <v>6</v>
      </c>
      <c r="AJ130" s="11">
        <f t="shared" si="59"/>
        <v>6</v>
      </c>
      <c r="AK130" s="11">
        <f t="shared" si="60"/>
        <v>6</v>
      </c>
      <c r="AL130" s="11">
        <f t="shared" si="61"/>
        <v>6</v>
      </c>
      <c r="AM130" s="11">
        <f t="shared" si="62"/>
        <v>6</v>
      </c>
      <c r="AN130" s="11">
        <f t="shared" si="63"/>
        <v>6</v>
      </c>
      <c r="AO130" s="35">
        <f t="shared" si="64"/>
        <v>1533.2941176470588</v>
      </c>
      <c r="AP130" s="35">
        <f t="shared" si="65"/>
        <v>1722.05</v>
      </c>
      <c r="AQ130" s="35">
        <f t="shared" si="66"/>
        <v>800.71794871794873</v>
      </c>
      <c r="AR130" s="35">
        <f t="shared" si="67"/>
        <v>1627.9428571428571</v>
      </c>
      <c r="AS130" s="35">
        <f t="shared" si="68"/>
        <v>1491.3571428571429</v>
      </c>
      <c r="AT130" s="35">
        <f t="shared" si="69"/>
        <v>1681.7307692307693</v>
      </c>
      <c r="AU130" s="35">
        <f t="shared" si="70"/>
        <v>1434.4848484848485</v>
      </c>
      <c r="AV130" s="35">
        <f t="shared" si="71"/>
        <v>1642.45</v>
      </c>
      <c r="AW130" s="35">
        <f t="shared" si="72"/>
        <v>1284.25</v>
      </c>
      <c r="AX130" s="35">
        <f t="shared" si="73"/>
        <v>1526.8421052631579</v>
      </c>
      <c r="AY130" s="28">
        <f t="shared" si="74"/>
        <v>1474.5119789343785</v>
      </c>
      <c r="AZ130" s="35">
        <f t="shared" si="75"/>
        <v>-835.51197893437848</v>
      </c>
      <c r="BA130" s="35">
        <f t="shared" si="76"/>
        <v>835.51197893437848</v>
      </c>
      <c r="BB130" s="35">
        <f t="shared" si="77"/>
        <v>698080.26694284135</v>
      </c>
      <c r="BC130" s="35">
        <f t="shared" si="78"/>
        <v>1541056.9836364964</v>
      </c>
      <c r="BE130" s="37">
        <v>0</v>
      </c>
      <c r="BF130" s="37">
        <v>1</v>
      </c>
      <c r="BG130" s="37">
        <v>4</v>
      </c>
      <c r="BH130" s="37">
        <v>0</v>
      </c>
      <c r="BI130" s="37">
        <v>2</v>
      </c>
      <c r="BJ130" s="37">
        <v>0</v>
      </c>
      <c r="BK130" s="37">
        <v>1</v>
      </c>
      <c r="BL130" s="37">
        <v>1</v>
      </c>
      <c r="BM130" s="37">
        <v>1</v>
      </c>
      <c r="BN130" s="37">
        <v>1</v>
      </c>
      <c r="BO130" s="11">
        <f t="shared" si="79"/>
        <v>4</v>
      </c>
      <c r="BP130" s="11">
        <f t="shared" si="80"/>
        <v>7</v>
      </c>
      <c r="BQ130" s="11">
        <f t="shared" si="81"/>
        <v>4</v>
      </c>
      <c r="BR130" s="11">
        <f t="shared" si="82"/>
        <v>4</v>
      </c>
      <c r="BS130" s="11">
        <f t="shared" si="83"/>
        <v>4</v>
      </c>
      <c r="BT130" s="11">
        <f t="shared" si="84"/>
        <v>6</v>
      </c>
      <c r="BU130" s="11">
        <f t="shared" si="85"/>
        <v>3</v>
      </c>
      <c r="BV130" s="11">
        <f t="shared" si="86"/>
        <v>4</v>
      </c>
      <c r="BW130" s="11">
        <f t="shared" si="87"/>
        <v>4</v>
      </c>
      <c r="BX130" s="11">
        <f t="shared" si="88"/>
        <v>4</v>
      </c>
      <c r="BY130" s="35">
        <f t="shared" si="89"/>
        <v>1064.1818181818182</v>
      </c>
      <c r="BZ130" s="35">
        <f t="shared" si="90"/>
        <v>1290.3333333333333</v>
      </c>
      <c r="CA130" s="35">
        <f t="shared" si="91"/>
        <v>1010.6551724137931</v>
      </c>
      <c r="CB130" s="35">
        <f t="shared" si="92"/>
        <v>1067.3953488372092</v>
      </c>
      <c r="CC130" s="35">
        <f t="shared" si="93"/>
        <v>1186.5882352941176</v>
      </c>
      <c r="CD130" s="35">
        <f t="shared" si="94"/>
        <v>1283.8095238095239</v>
      </c>
      <c r="CE130" s="35">
        <f t="shared" si="95"/>
        <v>737.21875</v>
      </c>
      <c r="CF130" s="35">
        <f t="shared" si="96"/>
        <v>1130.5</v>
      </c>
      <c r="CG130" s="35">
        <f t="shared" si="97"/>
        <v>1060.5135135135135</v>
      </c>
      <c r="CH130" s="35">
        <f t="shared" si="98"/>
        <v>1071.409090909091</v>
      </c>
      <c r="CI130" s="28">
        <f t="shared" si="99"/>
        <v>1090.26047862924</v>
      </c>
      <c r="CJ130" s="35">
        <f t="shared" si="100"/>
        <v>-451.26047862923997</v>
      </c>
      <c r="CK130" s="35">
        <f t="shared" si="101"/>
        <v>451.26047862923997</v>
      </c>
      <c r="CL130" s="35">
        <f t="shared" si="102"/>
        <v>203636.01957269074</v>
      </c>
      <c r="CM130" s="35">
        <f t="shared" si="103"/>
        <v>1541056.9836364964</v>
      </c>
    </row>
    <row r="131" spans="1:91" x14ac:dyDescent="0.3">
      <c r="A131" s="4" t="str">
        <f>DATASETS!A51</f>
        <v>SSH</v>
      </c>
      <c r="B131" s="4" t="str">
        <f>DATASETS!E51</f>
        <v>Training</v>
      </c>
      <c r="C131" s="9">
        <f>DATASETS!C51</f>
        <v>187189</v>
      </c>
      <c r="D131" s="4">
        <f>DATASETS!B51</f>
        <v>2021</v>
      </c>
      <c r="E131" s="6">
        <f>DATASETS!I51</f>
        <v>639</v>
      </c>
      <c r="F131" s="9">
        <f>DATASETS!H51</f>
        <v>396.48</v>
      </c>
      <c r="G131" s="11">
        <f t="shared" si="104"/>
        <v>0</v>
      </c>
      <c r="H131" s="11">
        <f t="shared" si="104"/>
        <v>0</v>
      </c>
      <c r="I131" s="11">
        <f t="shared" si="104"/>
        <v>0</v>
      </c>
      <c r="J131" s="11">
        <f t="shared" si="104"/>
        <v>0</v>
      </c>
      <c r="K131" s="11">
        <f t="shared" si="104"/>
        <v>1</v>
      </c>
      <c r="L131" s="11">
        <f t="shared" si="104"/>
        <v>0</v>
      </c>
      <c r="M131" s="11">
        <f t="shared" si="104"/>
        <v>0</v>
      </c>
      <c r="N131" s="11">
        <f t="shared" si="104"/>
        <v>0</v>
      </c>
      <c r="O131" s="11">
        <f t="shared" si="104"/>
        <v>0</v>
      </c>
      <c r="P131" s="11">
        <f t="shared" si="104"/>
        <v>0</v>
      </c>
      <c r="Q131" s="11">
        <f t="shared" si="104"/>
        <v>0</v>
      </c>
      <c r="R131" s="11">
        <f t="shared" si="104"/>
        <v>0</v>
      </c>
      <c r="S131" s="11">
        <f t="shared" si="104"/>
        <v>0</v>
      </c>
      <c r="T131" s="6">
        <f>DATASETS!D51</f>
        <v>223</v>
      </c>
      <c r="U131" s="37">
        <v>2</v>
      </c>
      <c r="V131" s="37">
        <v>2</v>
      </c>
      <c r="W131" s="37">
        <v>1</v>
      </c>
      <c r="X131" s="37">
        <v>2</v>
      </c>
      <c r="Y131" s="37">
        <v>0</v>
      </c>
      <c r="Z131" s="37">
        <v>1</v>
      </c>
      <c r="AA131" s="37">
        <v>1</v>
      </c>
      <c r="AB131" s="37">
        <v>3</v>
      </c>
      <c r="AC131" s="37">
        <v>1</v>
      </c>
      <c r="AD131" s="37">
        <v>1</v>
      </c>
      <c r="AE131" s="11">
        <f t="shared" si="54"/>
        <v>6</v>
      </c>
      <c r="AF131" s="11">
        <f t="shared" si="55"/>
        <v>7</v>
      </c>
      <c r="AG131" s="11">
        <f t="shared" si="56"/>
        <v>6</v>
      </c>
      <c r="AH131" s="11">
        <f t="shared" si="57"/>
        <v>6</v>
      </c>
      <c r="AI131" s="11">
        <f t="shared" si="58"/>
        <v>7</v>
      </c>
      <c r="AJ131" s="11">
        <f t="shared" si="59"/>
        <v>6</v>
      </c>
      <c r="AK131" s="11">
        <f t="shared" si="60"/>
        <v>6</v>
      </c>
      <c r="AL131" s="11">
        <f t="shared" si="61"/>
        <v>6</v>
      </c>
      <c r="AM131" s="11">
        <f t="shared" si="62"/>
        <v>7</v>
      </c>
      <c r="AN131" s="11">
        <f t="shared" si="63"/>
        <v>7</v>
      </c>
      <c r="AO131" s="35">
        <f t="shared" si="64"/>
        <v>1533.2941176470588</v>
      </c>
      <c r="AP131" s="35">
        <f t="shared" si="65"/>
        <v>1396.0454545454545</v>
      </c>
      <c r="AQ131" s="35">
        <f t="shared" si="66"/>
        <v>2078.2666666666669</v>
      </c>
      <c r="AR131" s="35">
        <f t="shared" si="67"/>
        <v>1627.9428571428571</v>
      </c>
      <c r="AS131" s="35">
        <f t="shared" si="68"/>
        <v>1820.9230769230769</v>
      </c>
      <c r="AT131" s="35">
        <f t="shared" si="69"/>
        <v>1681.7307692307693</v>
      </c>
      <c r="AU131" s="35">
        <f t="shared" si="70"/>
        <v>1434.4848484848485</v>
      </c>
      <c r="AV131" s="35">
        <f t="shared" si="71"/>
        <v>1642.45</v>
      </c>
      <c r="AW131" s="35">
        <f t="shared" si="72"/>
        <v>1715.36</v>
      </c>
      <c r="AX131" s="35">
        <f t="shared" si="73"/>
        <v>1973.8571428571429</v>
      </c>
      <c r="AY131" s="28">
        <f t="shared" si="74"/>
        <v>1690.4354933497875</v>
      </c>
      <c r="AZ131" s="35">
        <f t="shared" si="75"/>
        <v>-1467.4354933497875</v>
      </c>
      <c r="BA131" s="35">
        <f t="shared" si="76"/>
        <v>1467.4354933497875</v>
      </c>
      <c r="BB131" s="35">
        <f t="shared" si="77"/>
        <v>2153366.9271427342</v>
      </c>
      <c r="BC131" s="35">
        <f t="shared" si="78"/>
        <v>2746952.0947476076</v>
      </c>
      <c r="BE131" s="37">
        <v>2</v>
      </c>
      <c r="BF131" s="37">
        <v>2</v>
      </c>
      <c r="BG131" s="37">
        <v>1</v>
      </c>
      <c r="BH131" s="37">
        <v>2</v>
      </c>
      <c r="BI131" s="37">
        <v>0</v>
      </c>
      <c r="BJ131" s="37">
        <v>1</v>
      </c>
      <c r="BK131" s="37">
        <v>1</v>
      </c>
      <c r="BL131" s="37">
        <v>3</v>
      </c>
      <c r="BM131" s="37">
        <v>1</v>
      </c>
      <c r="BN131" s="37">
        <v>1</v>
      </c>
      <c r="BO131" s="11">
        <f t="shared" si="79"/>
        <v>3</v>
      </c>
      <c r="BP131" s="11">
        <f t="shared" si="80"/>
        <v>3</v>
      </c>
      <c r="BQ131" s="11">
        <f t="shared" si="81"/>
        <v>3</v>
      </c>
      <c r="BR131" s="11">
        <f t="shared" si="82"/>
        <v>3</v>
      </c>
      <c r="BS131" s="11">
        <f t="shared" si="83"/>
        <v>3</v>
      </c>
      <c r="BT131" s="11">
        <f t="shared" si="84"/>
        <v>3</v>
      </c>
      <c r="BU131" s="11">
        <f t="shared" si="85"/>
        <v>3</v>
      </c>
      <c r="BV131" s="11">
        <f t="shared" si="86"/>
        <v>3</v>
      </c>
      <c r="BW131" s="11">
        <f t="shared" si="87"/>
        <v>3</v>
      </c>
      <c r="BX131" s="11">
        <f t="shared" si="88"/>
        <v>3</v>
      </c>
      <c r="BY131" s="35">
        <f t="shared" si="89"/>
        <v>526.31578947368416</v>
      </c>
      <c r="BZ131" s="35">
        <f t="shared" si="90"/>
        <v>549.21428571428567</v>
      </c>
      <c r="CA131" s="35">
        <f t="shared" si="91"/>
        <v>431.78571428571428</v>
      </c>
      <c r="CB131" s="35">
        <f t="shared" si="92"/>
        <v>468.77777777777777</v>
      </c>
      <c r="CC131" s="35">
        <f t="shared" si="93"/>
        <v>493.23809523809524</v>
      </c>
      <c r="CD131" s="35">
        <f t="shared" si="94"/>
        <v>501.72972972972974</v>
      </c>
      <c r="CE131" s="35">
        <f t="shared" si="95"/>
        <v>737.21875</v>
      </c>
      <c r="CF131" s="35">
        <f t="shared" si="96"/>
        <v>454.56</v>
      </c>
      <c r="CG131" s="35">
        <f t="shared" si="97"/>
        <v>490.4848484848485</v>
      </c>
      <c r="CH131" s="35">
        <f t="shared" si="98"/>
        <v>453.52</v>
      </c>
      <c r="CI131" s="28">
        <f t="shared" si="99"/>
        <v>510.68449907041361</v>
      </c>
      <c r="CJ131" s="35">
        <f t="shared" si="100"/>
        <v>-287.68449907041361</v>
      </c>
      <c r="CK131" s="35">
        <f t="shared" si="101"/>
        <v>287.68449907041361</v>
      </c>
      <c r="CL131" s="35">
        <f t="shared" si="102"/>
        <v>82762.371005394802</v>
      </c>
      <c r="CM131" s="35">
        <f t="shared" si="103"/>
        <v>2746952.0947476076</v>
      </c>
    </row>
    <row r="132" spans="1:91" x14ac:dyDescent="0.3">
      <c r="A132" s="4" t="str">
        <f>DATASETS!A52</f>
        <v>SSH</v>
      </c>
      <c r="B132" s="4" t="str">
        <f>DATASETS!E52</f>
        <v>Training</v>
      </c>
      <c r="C132" s="9">
        <f>DATASETS!C52</f>
        <v>260549</v>
      </c>
      <c r="D132" s="4">
        <f>DATASETS!B52</f>
        <v>2022</v>
      </c>
      <c r="E132" s="6">
        <f>DATASETS!I52</f>
        <v>223</v>
      </c>
      <c r="F132" s="9">
        <f>DATASETS!H52</f>
        <v>396.48</v>
      </c>
      <c r="G132" s="11">
        <f t="shared" si="104"/>
        <v>0</v>
      </c>
      <c r="H132" s="11">
        <f t="shared" si="104"/>
        <v>0</v>
      </c>
      <c r="I132" s="11">
        <f t="shared" si="104"/>
        <v>0</v>
      </c>
      <c r="J132" s="11">
        <f t="shared" si="104"/>
        <v>0</v>
      </c>
      <c r="K132" s="11">
        <f t="shared" si="104"/>
        <v>1</v>
      </c>
      <c r="L132" s="11">
        <f t="shared" si="104"/>
        <v>0</v>
      </c>
      <c r="M132" s="11">
        <f t="shared" si="104"/>
        <v>0</v>
      </c>
      <c r="N132" s="11">
        <f t="shared" si="104"/>
        <v>0</v>
      </c>
      <c r="O132" s="11">
        <f t="shared" si="104"/>
        <v>0</v>
      </c>
      <c r="P132" s="11">
        <f t="shared" si="104"/>
        <v>0</v>
      </c>
      <c r="Q132" s="11">
        <f t="shared" si="104"/>
        <v>0</v>
      </c>
      <c r="R132" s="11">
        <f t="shared" si="104"/>
        <v>0</v>
      </c>
      <c r="S132" s="11">
        <f t="shared" si="104"/>
        <v>0</v>
      </c>
      <c r="T132" s="6">
        <f>DATASETS!D52</f>
        <v>909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1</v>
      </c>
      <c r="AA132" s="37">
        <v>2</v>
      </c>
      <c r="AB132" s="37">
        <v>1</v>
      </c>
      <c r="AC132" s="37">
        <v>1</v>
      </c>
      <c r="AD132" s="37">
        <v>1</v>
      </c>
      <c r="AE132" s="11">
        <f t="shared" si="54"/>
        <v>12</v>
      </c>
      <c r="AF132" s="11">
        <f t="shared" si="55"/>
        <v>14</v>
      </c>
      <c r="AG132" s="11">
        <f t="shared" si="56"/>
        <v>14</v>
      </c>
      <c r="AH132" s="11">
        <f t="shared" si="57"/>
        <v>14</v>
      </c>
      <c r="AI132" s="11">
        <f t="shared" si="58"/>
        <v>12</v>
      </c>
      <c r="AJ132" s="11">
        <f t="shared" si="59"/>
        <v>14</v>
      </c>
      <c r="AK132" s="11">
        <f t="shared" si="60"/>
        <v>12</v>
      </c>
      <c r="AL132" s="11">
        <f t="shared" si="61"/>
        <v>13</v>
      </c>
      <c r="AM132" s="11">
        <f t="shared" si="62"/>
        <v>11</v>
      </c>
      <c r="AN132" s="11">
        <f t="shared" si="63"/>
        <v>13</v>
      </c>
      <c r="AO132" s="35">
        <f t="shared" si="64"/>
        <v>3512.1428571428573</v>
      </c>
      <c r="AP132" s="35">
        <f t="shared" si="65"/>
        <v>4040.3636363636365</v>
      </c>
      <c r="AQ132" s="35">
        <f t="shared" si="66"/>
        <v>3393.8823529411766</v>
      </c>
      <c r="AR132" s="35">
        <f t="shared" si="67"/>
        <v>2684.8333333333335</v>
      </c>
      <c r="AS132" s="35">
        <f t="shared" si="68"/>
        <v>3307.5294117647059</v>
      </c>
      <c r="AT132" s="35">
        <f t="shared" si="69"/>
        <v>3280.125</v>
      </c>
      <c r="AU132" s="35">
        <f t="shared" si="70"/>
        <v>4402.375</v>
      </c>
      <c r="AV132" s="35">
        <f t="shared" si="71"/>
        <v>3066.2307692307691</v>
      </c>
      <c r="AW132" s="35">
        <f t="shared" si="72"/>
        <v>2801</v>
      </c>
      <c r="AX132" s="35">
        <f t="shared" si="73"/>
        <v>2367</v>
      </c>
      <c r="AY132" s="28">
        <f t="shared" si="74"/>
        <v>3285.5482360776477</v>
      </c>
      <c r="AZ132" s="35">
        <f t="shared" si="75"/>
        <v>-2376.5482360776477</v>
      </c>
      <c r="BA132" s="35">
        <f t="shared" si="76"/>
        <v>2376.5482360776477</v>
      </c>
      <c r="BB132" s="35">
        <f t="shared" si="77"/>
        <v>5647981.5184037788</v>
      </c>
      <c r="BC132" s="35">
        <f t="shared" si="78"/>
        <v>943604.67594418873</v>
      </c>
      <c r="BE132" s="37">
        <v>0</v>
      </c>
      <c r="BF132" s="37">
        <v>0</v>
      </c>
      <c r="BG132" s="37">
        <v>0</v>
      </c>
      <c r="BH132" s="37">
        <v>0</v>
      </c>
      <c r="BI132" s="37">
        <v>0</v>
      </c>
      <c r="BJ132" s="37">
        <v>1</v>
      </c>
      <c r="BK132" s="37">
        <v>2</v>
      </c>
      <c r="BL132" s="37">
        <v>1</v>
      </c>
      <c r="BM132" s="37">
        <v>1</v>
      </c>
      <c r="BN132" s="37">
        <v>1</v>
      </c>
      <c r="BO132" s="11">
        <f t="shared" si="79"/>
        <v>3</v>
      </c>
      <c r="BP132" s="11">
        <f t="shared" si="80"/>
        <v>3</v>
      </c>
      <c r="BQ132" s="11">
        <f t="shared" si="81"/>
        <v>3</v>
      </c>
      <c r="BR132" s="11">
        <f t="shared" si="82"/>
        <v>3</v>
      </c>
      <c r="BS132" s="11">
        <f t="shared" si="83"/>
        <v>3</v>
      </c>
      <c r="BT132" s="11">
        <f t="shared" si="84"/>
        <v>3</v>
      </c>
      <c r="BU132" s="11">
        <f t="shared" si="85"/>
        <v>3</v>
      </c>
      <c r="BV132" s="11">
        <f t="shared" si="86"/>
        <v>3</v>
      </c>
      <c r="BW132" s="11">
        <f t="shared" si="87"/>
        <v>3</v>
      </c>
      <c r="BX132" s="11">
        <f t="shared" si="88"/>
        <v>3</v>
      </c>
      <c r="BY132" s="35">
        <f t="shared" si="89"/>
        <v>526.31578947368416</v>
      </c>
      <c r="BZ132" s="35">
        <f t="shared" si="90"/>
        <v>549.21428571428567</v>
      </c>
      <c r="CA132" s="35">
        <f t="shared" si="91"/>
        <v>431.78571428571428</v>
      </c>
      <c r="CB132" s="35">
        <f t="shared" si="92"/>
        <v>468.77777777777777</v>
      </c>
      <c r="CC132" s="35">
        <f t="shared" si="93"/>
        <v>493.23809523809524</v>
      </c>
      <c r="CD132" s="35">
        <f t="shared" si="94"/>
        <v>501.72972972972974</v>
      </c>
      <c r="CE132" s="35">
        <f t="shared" si="95"/>
        <v>737.21875</v>
      </c>
      <c r="CF132" s="35">
        <f t="shared" si="96"/>
        <v>454.56</v>
      </c>
      <c r="CG132" s="35">
        <f t="shared" si="97"/>
        <v>490.4848484848485</v>
      </c>
      <c r="CH132" s="35">
        <f t="shared" si="98"/>
        <v>453.52</v>
      </c>
      <c r="CI132" s="28">
        <f t="shared" si="99"/>
        <v>510.68449907041361</v>
      </c>
      <c r="CJ132" s="35">
        <f t="shared" si="100"/>
        <v>398.31550092958639</v>
      </c>
      <c r="CK132" s="35">
        <f t="shared" si="101"/>
        <v>398.31550092958639</v>
      </c>
      <c r="CL132" s="35">
        <f t="shared" si="102"/>
        <v>158655.23828078734</v>
      </c>
      <c r="CM132" s="35">
        <f t="shared" si="103"/>
        <v>943604.67594418873</v>
      </c>
    </row>
    <row r="133" spans="1:91" x14ac:dyDescent="0.3">
      <c r="A133" s="4" t="str">
        <f>DATASETS!A53</f>
        <v>SSH</v>
      </c>
      <c r="B133" s="4" t="str">
        <f>DATASETS!E53</f>
        <v>Training</v>
      </c>
      <c r="C133" s="9">
        <f>DATASETS!C53</f>
        <v>176904</v>
      </c>
      <c r="D133" s="4">
        <f>DATASETS!B53</f>
        <v>2023</v>
      </c>
      <c r="E133" s="6">
        <f>DATASETS!I53</f>
        <v>909</v>
      </c>
      <c r="F133" s="9">
        <f>DATASETS!H53</f>
        <v>396.48</v>
      </c>
      <c r="G133" s="11">
        <f t="shared" si="104"/>
        <v>0</v>
      </c>
      <c r="H133" s="11">
        <f t="shared" si="104"/>
        <v>0</v>
      </c>
      <c r="I133" s="11">
        <f t="shared" si="104"/>
        <v>0</v>
      </c>
      <c r="J133" s="11">
        <f t="shared" si="104"/>
        <v>0</v>
      </c>
      <c r="K133" s="11">
        <f t="shared" si="104"/>
        <v>1</v>
      </c>
      <c r="L133" s="11">
        <f t="shared" si="104"/>
        <v>0</v>
      </c>
      <c r="M133" s="11">
        <f t="shared" si="104"/>
        <v>0</v>
      </c>
      <c r="N133" s="11">
        <f t="shared" si="104"/>
        <v>0</v>
      </c>
      <c r="O133" s="11">
        <f t="shared" si="104"/>
        <v>0</v>
      </c>
      <c r="P133" s="11">
        <f t="shared" si="104"/>
        <v>0</v>
      </c>
      <c r="Q133" s="11">
        <f t="shared" si="104"/>
        <v>0</v>
      </c>
      <c r="R133" s="11">
        <f t="shared" si="104"/>
        <v>0</v>
      </c>
      <c r="S133" s="11">
        <f t="shared" si="104"/>
        <v>0</v>
      </c>
      <c r="T133" s="6">
        <f>DATASETS!D53</f>
        <v>947</v>
      </c>
      <c r="U133" s="37">
        <v>1</v>
      </c>
      <c r="V133" s="37">
        <v>1</v>
      </c>
      <c r="W133" s="37">
        <v>0</v>
      </c>
      <c r="X133" s="37">
        <v>1</v>
      </c>
      <c r="Y133" s="37">
        <v>1</v>
      </c>
      <c r="Z133" s="37">
        <v>1</v>
      </c>
      <c r="AA133" s="37">
        <v>1</v>
      </c>
      <c r="AB133" s="37">
        <v>0</v>
      </c>
      <c r="AC133" s="37">
        <v>1</v>
      </c>
      <c r="AD133" s="37">
        <v>0</v>
      </c>
      <c r="AE133" s="11">
        <f t="shared" si="54"/>
        <v>6</v>
      </c>
      <c r="AF133" s="11">
        <f t="shared" si="55"/>
        <v>7</v>
      </c>
      <c r="AG133" s="11">
        <f t="shared" si="56"/>
        <v>6</v>
      </c>
      <c r="AH133" s="11">
        <f t="shared" si="57"/>
        <v>6</v>
      </c>
      <c r="AI133" s="11">
        <f t="shared" si="58"/>
        <v>7</v>
      </c>
      <c r="AJ133" s="11">
        <f t="shared" si="59"/>
        <v>6</v>
      </c>
      <c r="AK133" s="11">
        <f t="shared" si="60"/>
        <v>6</v>
      </c>
      <c r="AL133" s="11">
        <f t="shared" si="61"/>
        <v>6</v>
      </c>
      <c r="AM133" s="11">
        <f t="shared" si="62"/>
        <v>7</v>
      </c>
      <c r="AN133" s="11">
        <f t="shared" si="63"/>
        <v>6</v>
      </c>
      <c r="AO133" s="35">
        <f t="shared" si="64"/>
        <v>1533.2941176470588</v>
      </c>
      <c r="AP133" s="35">
        <f t="shared" si="65"/>
        <v>1396.0454545454545</v>
      </c>
      <c r="AQ133" s="35">
        <f t="shared" si="66"/>
        <v>2078.2666666666669</v>
      </c>
      <c r="AR133" s="35">
        <f t="shared" si="67"/>
        <v>1627.9428571428571</v>
      </c>
      <c r="AS133" s="35">
        <f t="shared" si="68"/>
        <v>1820.9230769230769</v>
      </c>
      <c r="AT133" s="35">
        <f t="shared" si="69"/>
        <v>1681.7307692307693</v>
      </c>
      <c r="AU133" s="35">
        <f t="shared" si="70"/>
        <v>1434.4848484848485</v>
      </c>
      <c r="AV133" s="35">
        <f t="shared" si="71"/>
        <v>1642.45</v>
      </c>
      <c r="AW133" s="35">
        <f t="shared" si="72"/>
        <v>1715.36</v>
      </c>
      <c r="AX133" s="35">
        <f t="shared" si="73"/>
        <v>1526.8421052631579</v>
      </c>
      <c r="AY133" s="28">
        <f t="shared" si="74"/>
        <v>1645.733989590389</v>
      </c>
      <c r="AZ133" s="35">
        <f t="shared" si="75"/>
        <v>-698.733989590389</v>
      </c>
      <c r="BA133" s="35">
        <f t="shared" si="76"/>
        <v>698.733989590389</v>
      </c>
      <c r="BB133" s="35">
        <f t="shared" si="77"/>
        <v>488229.18820890185</v>
      </c>
      <c r="BC133" s="35">
        <f t="shared" si="78"/>
        <v>871222.79560230835</v>
      </c>
      <c r="BE133" s="37">
        <v>1</v>
      </c>
      <c r="BF133" s="37">
        <v>1</v>
      </c>
      <c r="BG133" s="37">
        <v>0</v>
      </c>
      <c r="BH133" s="37">
        <v>1</v>
      </c>
      <c r="BI133" s="37">
        <v>1</v>
      </c>
      <c r="BJ133" s="37">
        <v>1</v>
      </c>
      <c r="BK133" s="37">
        <v>1</v>
      </c>
      <c r="BL133" s="37">
        <v>0</v>
      </c>
      <c r="BM133" s="37">
        <v>1</v>
      </c>
      <c r="BN133" s="37">
        <v>0</v>
      </c>
      <c r="BO133" s="11">
        <f t="shared" si="79"/>
        <v>4</v>
      </c>
      <c r="BP133" s="11">
        <f t="shared" si="80"/>
        <v>4</v>
      </c>
      <c r="BQ133" s="11">
        <f t="shared" si="81"/>
        <v>4</v>
      </c>
      <c r="BR133" s="11">
        <f t="shared" si="82"/>
        <v>4</v>
      </c>
      <c r="BS133" s="11">
        <f t="shared" si="83"/>
        <v>4</v>
      </c>
      <c r="BT133" s="11">
        <f t="shared" si="84"/>
        <v>4</v>
      </c>
      <c r="BU133" s="11">
        <f t="shared" si="85"/>
        <v>3</v>
      </c>
      <c r="BV133" s="11">
        <f t="shared" si="86"/>
        <v>4</v>
      </c>
      <c r="BW133" s="11">
        <f t="shared" si="87"/>
        <v>4</v>
      </c>
      <c r="BX133" s="11">
        <f t="shared" si="88"/>
        <v>4</v>
      </c>
      <c r="BY133" s="35">
        <f t="shared" si="89"/>
        <v>1064.1818181818182</v>
      </c>
      <c r="BZ133" s="35">
        <f t="shared" si="90"/>
        <v>1019.8181818181819</v>
      </c>
      <c r="CA133" s="35">
        <f t="shared" si="91"/>
        <v>1010.6551724137931</v>
      </c>
      <c r="CB133" s="35">
        <f t="shared" si="92"/>
        <v>1067.3953488372092</v>
      </c>
      <c r="CC133" s="35">
        <f t="shared" si="93"/>
        <v>1186.5882352941176</v>
      </c>
      <c r="CD133" s="35">
        <f t="shared" si="94"/>
        <v>1025.608695652174</v>
      </c>
      <c r="CE133" s="35">
        <f t="shared" si="95"/>
        <v>737.21875</v>
      </c>
      <c r="CF133" s="35">
        <f t="shared" si="96"/>
        <v>1130.5</v>
      </c>
      <c r="CG133" s="35">
        <f t="shared" si="97"/>
        <v>1060.5135135135135</v>
      </c>
      <c r="CH133" s="35">
        <f t="shared" si="98"/>
        <v>1071.409090909091</v>
      </c>
      <c r="CI133" s="28">
        <f t="shared" si="99"/>
        <v>1037.38888066199</v>
      </c>
      <c r="CJ133" s="35">
        <f t="shared" si="100"/>
        <v>-90.388880661990015</v>
      </c>
      <c r="CK133" s="35">
        <f t="shared" si="101"/>
        <v>90.388880661990015</v>
      </c>
      <c r="CL133" s="35">
        <f t="shared" si="102"/>
        <v>8170.1497473274721</v>
      </c>
      <c r="CM133" s="35">
        <f t="shared" si="103"/>
        <v>871222.79560230835</v>
      </c>
    </row>
    <row r="134" spans="1:91" x14ac:dyDescent="0.3">
      <c r="A134" s="4" t="str">
        <f>DATASETS!A54</f>
        <v>SSH</v>
      </c>
      <c r="B134" s="4" t="str">
        <f>DATASETS!E54</f>
        <v>Training</v>
      </c>
      <c r="C134" s="9">
        <f>DATASETS!C54</f>
        <v>193641</v>
      </c>
      <c r="D134" s="4">
        <f>DATASETS!B54</f>
        <v>2024</v>
      </c>
      <c r="E134" s="6">
        <f>DATASETS!I54</f>
        <v>947</v>
      </c>
      <c r="F134" s="9">
        <f>DATASETS!H54</f>
        <v>396.48</v>
      </c>
      <c r="G134" s="11">
        <f t="shared" si="104"/>
        <v>0</v>
      </c>
      <c r="H134" s="11">
        <f t="shared" si="104"/>
        <v>0</v>
      </c>
      <c r="I134" s="11">
        <f t="shared" si="104"/>
        <v>0</v>
      </c>
      <c r="J134" s="11">
        <f t="shared" si="104"/>
        <v>0</v>
      </c>
      <c r="K134" s="11">
        <f t="shared" si="104"/>
        <v>1</v>
      </c>
      <c r="L134" s="11">
        <f t="shared" si="104"/>
        <v>0</v>
      </c>
      <c r="M134" s="11">
        <f t="shared" si="104"/>
        <v>0</v>
      </c>
      <c r="N134" s="11">
        <f t="shared" si="104"/>
        <v>0</v>
      </c>
      <c r="O134" s="11">
        <f t="shared" si="104"/>
        <v>0</v>
      </c>
      <c r="P134" s="11">
        <f t="shared" si="104"/>
        <v>0</v>
      </c>
      <c r="Q134" s="11">
        <f t="shared" si="104"/>
        <v>0</v>
      </c>
      <c r="R134" s="11">
        <f t="shared" si="104"/>
        <v>0</v>
      </c>
      <c r="S134" s="11">
        <f t="shared" si="104"/>
        <v>0</v>
      </c>
      <c r="T134" s="6">
        <f>DATASETS!D54</f>
        <v>1040</v>
      </c>
      <c r="U134" s="37">
        <v>1</v>
      </c>
      <c r="V134" s="37">
        <v>0</v>
      </c>
      <c r="W134" s="37">
        <v>2</v>
      </c>
      <c r="X134" s="37">
        <v>1</v>
      </c>
      <c r="Y134" s="37">
        <v>1</v>
      </c>
      <c r="Z134" s="37">
        <v>1</v>
      </c>
      <c r="AA134" s="37">
        <v>0</v>
      </c>
      <c r="AB134" s="37">
        <v>1</v>
      </c>
      <c r="AC134" s="37">
        <v>0</v>
      </c>
      <c r="AD134" s="37">
        <v>1</v>
      </c>
      <c r="AE134" s="11">
        <f t="shared" si="54"/>
        <v>7</v>
      </c>
      <c r="AF134" s="11">
        <f t="shared" si="55"/>
        <v>7</v>
      </c>
      <c r="AG134" s="11">
        <f t="shared" si="56"/>
        <v>7</v>
      </c>
      <c r="AH134" s="11">
        <f t="shared" si="57"/>
        <v>6</v>
      </c>
      <c r="AI134" s="11">
        <f t="shared" si="58"/>
        <v>7</v>
      </c>
      <c r="AJ134" s="11">
        <f t="shared" si="59"/>
        <v>7</v>
      </c>
      <c r="AK134" s="11">
        <f t="shared" si="60"/>
        <v>7</v>
      </c>
      <c r="AL134" s="11">
        <f t="shared" si="61"/>
        <v>7</v>
      </c>
      <c r="AM134" s="11">
        <f t="shared" si="62"/>
        <v>7</v>
      </c>
      <c r="AN134" s="11">
        <f t="shared" si="63"/>
        <v>7</v>
      </c>
      <c r="AO134" s="35">
        <f t="shared" si="64"/>
        <v>1949.090909090909</v>
      </c>
      <c r="AP134" s="35">
        <f t="shared" si="65"/>
        <v>1396.0454545454545</v>
      </c>
      <c r="AQ134" s="35">
        <f t="shared" si="66"/>
        <v>1137.5999999999999</v>
      </c>
      <c r="AR134" s="35">
        <f t="shared" si="67"/>
        <v>1627.9428571428571</v>
      </c>
      <c r="AS134" s="35">
        <f t="shared" si="68"/>
        <v>1820.9230769230769</v>
      </c>
      <c r="AT134" s="35">
        <f t="shared" si="69"/>
        <v>1187.4000000000001</v>
      </c>
      <c r="AU134" s="35">
        <f t="shared" si="70"/>
        <v>2250.25</v>
      </c>
      <c r="AV134" s="35">
        <f t="shared" si="71"/>
        <v>2257.4375</v>
      </c>
      <c r="AW134" s="35">
        <f t="shared" si="72"/>
        <v>1715.36</v>
      </c>
      <c r="AX134" s="35">
        <f t="shared" si="73"/>
        <v>1973.8571428571429</v>
      </c>
      <c r="AY134" s="28">
        <f t="shared" si="74"/>
        <v>1731.5906940559441</v>
      </c>
      <c r="AZ134" s="35">
        <f t="shared" si="75"/>
        <v>-691.59069405594414</v>
      </c>
      <c r="BA134" s="35">
        <f t="shared" si="76"/>
        <v>691.59069405594414</v>
      </c>
      <c r="BB134" s="35">
        <f t="shared" si="77"/>
        <v>478297.68810478254</v>
      </c>
      <c r="BC134" s="35">
        <f t="shared" si="78"/>
        <v>706260.66739718011</v>
      </c>
      <c r="BE134" s="37">
        <v>1</v>
      </c>
      <c r="BF134" s="37">
        <v>0</v>
      </c>
      <c r="BG134" s="37">
        <v>2</v>
      </c>
      <c r="BH134" s="37">
        <v>1</v>
      </c>
      <c r="BI134" s="37">
        <v>1</v>
      </c>
      <c r="BJ134" s="37">
        <v>1</v>
      </c>
      <c r="BK134" s="37">
        <v>0</v>
      </c>
      <c r="BL134" s="37">
        <v>1</v>
      </c>
      <c r="BM134" s="37">
        <v>0</v>
      </c>
      <c r="BN134" s="37">
        <v>1</v>
      </c>
      <c r="BO134" s="11">
        <f t="shared" si="79"/>
        <v>4</v>
      </c>
      <c r="BP134" s="11">
        <f t="shared" si="80"/>
        <v>4</v>
      </c>
      <c r="BQ134" s="11">
        <f t="shared" si="81"/>
        <v>4</v>
      </c>
      <c r="BR134" s="11">
        <f t="shared" si="82"/>
        <v>4</v>
      </c>
      <c r="BS134" s="11">
        <f t="shared" si="83"/>
        <v>4</v>
      </c>
      <c r="BT134" s="11">
        <f t="shared" si="84"/>
        <v>4</v>
      </c>
      <c r="BU134" s="11">
        <f t="shared" si="85"/>
        <v>3</v>
      </c>
      <c r="BV134" s="11">
        <f t="shared" si="86"/>
        <v>4</v>
      </c>
      <c r="BW134" s="11">
        <f t="shared" si="87"/>
        <v>4</v>
      </c>
      <c r="BX134" s="11">
        <f t="shared" si="88"/>
        <v>4</v>
      </c>
      <c r="BY134" s="35">
        <f t="shared" si="89"/>
        <v>1064.1818181818182</v>
      </c>
      <c r="BZ134" s="35">
        <f t="shared" si="90"/>
        <v>1019.8181818181819</v>
      </c>
      <c r="CA134" s="35">
        <f t="shared" si="91"/>
        <v>1010.6551724137931</v>
      </c>
      <c r="CB134" s="35">
        <f t="shared" si="92"/>
        <v>1067.3953488372092</v>
      </c>
      <c r="CC134" s="35">
        <f t="shared" si="93"/>
        <v>1186.5882352941176</v>
      </c>
      <c r="CD134" s="35">
        <f t="shared" si="94"/>
        <v>1025.608695652174</v>
      </c>
      <c r="CE134" s="35">
        <f t="shared" si="95"/>
        <v>737.21875</v>
      </c>
      <c r="CF134" s="35">
        <f t="shared" si="96"/>
        <v>1130.5</v>
      </c>
      <c r="CG134" s="35">
        <f t="shared" si="97"/>
        <v>1060.5135135135135</v>
      </c>
      <c r="CH134" s="35">
        <f t="shared" si="98"/>
        <v>1071.409090909091</v>
      </c>
      <c r="CI134" s="28">
        <f t="shared" si="99"/>
        <v>1037.38888066199</v>
      </c>
      <c r="CJ134" s="35">
        <f t="shared" si="100"/>
        <v>2.6111193380099849</v>
      </c>
      <c r="CK134" s="35">
        <f t="shared" si="101"/>
        <v>2.6111193380099849</v>
      </c>
      <c r="CL134" s="35">
        <f t="shared" si="102"/>
        <v>6.8179441973297017</v>
      </c>
      <c r="CM134" s="35">
        <f t="shared" si="103"/>
        <v>706260.66739718011</v>
      </c>
    </row>
    <row r="135" spans="1:91" x14ac:dyDescent="0.3">
      <c r="A135" s="4" t="str">
        <f>DATASETS!A56</f>
        <v>ORTIGAS AVE.</v>
      </c>
      <c r="B135" s="4" t="str">
        <f>DATASETS!E56</f>
        <v>Training</v>
      </c>
      <c r="C135" s="9">
        <f>DATASETS!C56</f>
        <v>153425</v>
      </c>
      <c r="D135" s="4">
        <f>DATASETS!B56</f>
        <v>2016</v>
      </c>
      <c r="E135" s="6">
        <f>DATASETS!I56</f>
        <v>1973</v>
      </c>
      <c r="F135" s="9">
        <f>DATASETS!H56</f>
        <v>72.599999999999994</v>
      </c>
      <c r="G135" s="11">
        <f t="shared" si="104"/>
        <v>0</v>
      </c>
      <c r="H135" s="11">
        <f t="shared" si="104"/>
        <v>0</v>
      </c>
      <c r="I135" s="11">
        <f t="shared" si="104"/>
        <v>0</v>
      </c>
      <c r="J135" s="11">
        <f t="shared" si="104"/>
        <v>0</v>
      </c>
      <c r="K135" s="11">
        <f t="shared" si="104"/>
        <v>0</v>
      </c>
      <c r="L135" s="11">
        <f t="shared" si="104"/>
        <v>1</v>
      </c>
      <c r="M135" s="11">
        <f t="shared" si="104"/>
        <v>0</v>
      </c>
      <c r="N135" s="11">
        <f t="shared" si="104"/>
        <v>0</v>
      </c>
      <c r="O135" s="11">
        <f t="shared" si="104"/>
        <v>0</v>
      </c>
      <c r="P135" s="11">
        <f t="shared" si="104"/>
        <v>0</v>
      </c>
      <c r="Q135" s="11">
        <f t="shared" si="104"/>
        <v>0</v>
      </c>
      <c r="R135" s="11">
        <f t="shared" si="104"/>
        <v>0</v>
      </c>
      <c r="S135" s="11">
        <f t="shared" si="104"/>
        <v>0</v>
      </c>
      <c r="T135" s="6">
        <f>DATASETS!D56</f>
        <v>2289</v>
      </c>
      <c r="U135" s="37">
        <v>3</v>
      </c>
      <c r="V135" s="37">
        <v>1</v>
      </c>
      <c r="W135" s="37">
        <v>2</v>
      </c>
      <c r="X135" s="37">
        <v>0</v>
      </c>
      <c r="Y135" s="37">
        <v>1</v>
      </c>
      <c r="Z135" s="37">
        <v>1</v>
      </c>
      <c r="AA135" s="37">
        <v>0</v>
      </c>
      <c r="AB135" s="37">
        <v>1</v>
      </c>
      <c r="AC135" s="37">
        <v>1</v>
      </c>
      <c r="AD135" s="37">
        <v>0</v>
      </c>
      <c r="AE135" s="11">
        <f t="shared" si="54"/>
        <v>6</v>
      </c>
      <c r="AF135" s="11">
        <f t="shared" si="55"/>
        <v>6</v>
      </c>
      <c r="AG135" s="11">
        <f t="shared" si="56"/>
        <v>6</v>
      </c>
      <c r="AH135" s="11">
        <f t="shared" si="57"/>
        <v>6</v>
      </c>
      <c r="AI135" s="11">
        <f t="shared" si="58"/>
        <v>7</v>
      </c>
      <c r="AJ135" s="11">
        <f t="shared" si="59"/>
        <v>6</v>
      </c>
      <c r="AK135" s="11">
        <f t="shared" si="60"/>
        <v>6</v>
      </c>
      <c r="AL135" s="11">
        <f t="shared" si="61"/>
        <v>6</v>
      </c>
      <c r="AM135" s="11">
        <f t="shared" si="62"/>
        <v>6</v>
      </c>
      <c r="AN135" s="11">
        <f t="shared" si="63"/>
        <v>6</v>
      </c>
      <c r="AO135" s="35">
        <f t="shared" si="64"/>
        <v>1533.2941176470588</v>
      </c>
      <c r="AP135" s="35">
        <f t="shared" si="65"/>
        <v>1722.05</v>
      </c>
      <c r="AQ135" s="35">
        <f t="shared" si="66"/>
        <v>2078.2666666666669</v>
      </c>
      <c r="AR135" s="35">
        <f t="shared" si="67"/>
        <v>1627.9428571428571</v>
      </c>
      <c r="AS135" s="35">
        <f t="shared" si="68"/>
        <v>1820.9230769230769</v>
      </c>
      <c r="AT135" s="35">
        <f t="shared" si="69"/>
        <v>1681.7307692307693</v>
      </c>
      <c r="AU135" s="35">
        <f t="shared" si="70"/>
        <v>1434.4848484848485</v>
      </c>
      <c r="AV135" s="35">
        <f t="shared" si="71"/>
        <v>1642.45</v>
      </c>
      <c r="AW135" s="35">
        <f t="shared" si="72"/>
        <v>1284.25</v>
      </c>
      <c r="AX135" s="35">
        <f t="shared" si="73"/>
        <v>1526.8421052631579</v>
      </c>
      <c r="AY135" s="28">
        <f t="shared" si="74"/>
        <v>1635.2234441358437</v>
      </c>
      <c r="AZ135" s="35">
        <f t="shared" si="75"/>
        <v>653.77655586415631</v>
      </c>
      <c r="BA135" s="35">
        <f t="shared" si="76"/>
        <v>653.77655586415631</v>
      </c>
      <c r="BB135" s="35">
        <f t="shared" si="77"/>
        <v>427423.78499759827</v>
      </c>
      <c r="BC135" s="35">
        <f t="shared" si="78"/>
        <v>166959.5477390606</v>
      </c>
      <c r="BE135" s="37">
        <v>3</v>
      </c>
      <c r="BF135" s="37">
        <v>1</v>
      </c>
      <c r="BG135" s="37">
        <v>2</v>
      </c>
      <c r="BH135" s="37">
        <v>0</v>
      </c>
      <c r="BI135" s="37">
        <v>1</v>
      </c>
      <c r="BJ135" s="37">
        <v>1</v>
      </c>
      <c r="BK135" s="37">
        <v>0</v>
      </c>
      <c r="BL135" s="37">
        <v>1</v>
      </c>
      <c r="BM135" s="37">
        <v>1</v>
      </c>
      <c r="BN135" s="37">
        <v>0</v>
      </c>
      <c r="BO135" s="11">
        <f t="shared" si="79"/>
        <v>6</v>
      </c>
      <c r="BP135" s="11">
        <f t="shared" si="80"/>
        <v>6</v>
      </c>
      <c r="BQ135" s="11">
        <f t="shared" si="81"/>
        <v>7</v>
      </c>
      <c r="BR135" s="11">
        <f t="shared" si="82"/>
        <v>7</v>
      </c>
      <c r="BS135" s="11">
        <f t="shared" si="83"/>
        <v>6</v>
      </c>
      <c r="BT135" s="11">
        <f t="shared" si="84"/>
        <v>7</v>
      </c>
      <c r="BU135" s="11">
        <f t="shared" si="85"/>
        <v>7</v>
      </c>
      <c r="BV135" s="11">
        <f t="shared" si="86"/>
        <v>6</v>
      </c>
      <c r="BW135" s="11">
        <f t="shared" si="87"/>
        <v>6</v>
      </c>
      <c r="BX135" s="11">
        <f t="shared" si="88"/>
        <v>6</v>
      </c>
      <c r="BY135" s="35">
        <f t="shared" si="89"/>
        <v>1883.8695652173913</v>
      </c>
      <c r="BZ135" s="35">
        <f t="shared" si="90"/>
        <v>2135.1666666666665</v>
      </c>
      <c r="CA135" s="35">
        <f t="shared" si="91"/>
        <v>2109.6060606060605</v>
      </c>
      <c r="CB135" s="35">
        <f t="shared" si="92"/>
        <v>2239.9655172413795</v>
      </c>
      <c r="CC135" s="35">
        <f t="shared" si="93"/>
        <v>2206.8636363636365</v>
      </c>
      <c r="CD135" s="35">
        <f t="shared" si="94"/>
        <v>1904.0526315789473</v>
      </c>
      <c r="CE135" s="35">
        <f t="shared" si="95"/>
        <v>2134.6666666666665</v>
      </c>
      <c r="CF135" s="35">
        <f t="shared" si="96"/>
        <v>2294.5789473684213</v>
      </c>
      <c r="CG135" s="35">
        <f t="shared" si="97"/>
        <v>1803.9583333333333</v>
      </c>
      <c r="CH135" s="35">
        <f t="shared" si="98"/>
        <v>1952.125</v>
      </c>
      <c r="CI135" s="28">
        <f t="shared" si="99"/>
        <v>2066.4853025042498</v>
      </c>
      <c r="CJ135" s="35">
        <f t="shared" si="100"/>
        <v>222.51469749575017</v>
      </c>
      <c r="CK135" s="35">
        <f t="shared" si="101"/>
        <v>222.51469749575017</v>
      </c>
      <c r="CL135" s="35">
        <f t="shared" si="102"/>
        <v>49512.790601625209</v>
      </c>
      <c r="CM135" s="35">
        <f t="shared" si="103"/>
        <v>166959.5477390606</v>
      </c>
    </row>
    <row r="136" spans="1:91" x14ac:dyDescent="0.3">
      <c r="A136" s="4" t="str">
        <f>DATASETS!A57</f>
        <v>ORTIGAS AVE.</v>
      </c>
      <c r="B136" s="4" t="str">
        <f>DATASETS!E57</f>
        <v>Training</v>
      </c>
      <c r="C136" s="9">
        <f>DATASETS!C57</f>
        <v>153955</v>
      </c>
      <c r="D136" s="4">
        <f>DATASETS!B57</f>
        <v>2017</v>
      </c>
      <c r="E136" s="6">
        <f>DATASETS!I57</f>
        <v>2289</v>
      </c>
      <c r="F136" s="9">
        <f>DATASETS!H57</f>
        <v>72.599999999999994</v>
      </c>
      <c r="G136" s="11">
        <f t="shared" si="104"/>
        <v>0</v>
      </c>
      <c r="H136" s="11">
        <f t="shared" si="104"/>
        <v>0</v>
      </c>
      <c r="I136" s="11">
        <f t="shared" si="104"/>
        <v>0</v>
      </c>
      <c r="J136" s="11">
        <f t="shared" si="104"/>
        <v>0</v>
      </c>
      <c r="K136" s="11">
        <f t="shared" si="104"/>
        <v>0</v>
      </c>
      <c r="L136" s="11">
        <f t="shared" si="104"/>
        <v>1</v>
      </c>
      <c r="M136" s="11">
        <f t="shared" si="104"/>
        <v>0</v>
      </c>
      <c r="N136" s="11">
        <f t="shared" si="104"/>
        <v>0</v>
      </c>
      <c r="O136" s="11">
        <f t="shared" si="104"/>
        <v>0</v>
      </c>
      <c r="P136" s="11">
        <f t="shared" si="104"/>
        <v>0</v>
      </c>
      <c r="Q136" s="11">
        <f t="shared" si="104"/>
        <v>0</v>
      </c>
      <c r="R136" s="11">
        <f t="shared" si="104"/>
        <v>0</v>
      </c>
      <c r="S136" s="11">
        <f t="shared" si="104"/>
        <v>0</v>
      </c>
      <c r="T136" s="6">
        <f>DATASETS!D57</f>
        <v>2006</v>
      </c>
      <c r="U136" s="37">
        <v>2</v>
      </c>
      <c r="V136" s="37">
        <v>2</v>
      </c>
      <c r="W136" s="37">
        <v>2</v>
      </c>
      <c r="X136" s="37">
        <v>0</v>
      </c>
      <c r="Y136" s="37">
        <v>1</v>
      </c>
      <c r="Z136" s="37">
        <v>0</v>
      </c>
      <c r="AA136" s="37">
        <v>0</v>
      </c>
      <c r="AB136" s="37">
        <v>1</v>
      </c>
      <c r="AC136" s="37">
        <v>0</v>
      </c>
      <c r="AD136" s="37">
        <v>2</v>
      </c>
      <c r="AE136" s="11">
        <f t="shared" si="54"/>
        <v>6</v>
      </c>
      <c r="AF136" s="11">
        <f t="shared" si="55"/>
        <v>6</v>
      </c>
      <c r="AG136" s="11">
        <f t="shared" si="56"/>
        <v>6</v>
      </c>
      <c r="AH136" s="11">
        <f t="shared" si="57"/>
        <v>6</v>
      </c>
      <c r="AI136" s="11">
        <f t="shared" si="58"/>
        <v>7</v>
      </c>
      <c r="AJ136" s="11">
        <f t="shared" si="59"/>
        <v>6</v>
      </c>
      <c r="AK136" s="11">
        <f t="shared" si="60"/>
        <v>6</v>
      </c>
      <c r="AL136" s="11">
        <f t="shared" si="61"/>
        <v>6</v>
      </c>
      <c r="AM136" s="11">
        <f t="shared" si="62"/>
        <v>6</v>
      </c>
      <c r="AN136" s="11">
        <f t="shared" si="63"/>
        <v>6</v>
      </c>
      <c r="AO136" s="35">
        <f t="shared" si="64"/>
        <v>1533.2941176470588</v>
      </c>
      <c r="AP136" s="35">
        <f t="shared" si="65"/>
        <v>1722.05</v>
      </c>
      <c r="AQ136" s="35">
        <f t="shared" si="66"/>
        <v>2078.2666666666669</v>
      </c>
      <c r="AR136" s="35">
        <f t="shared" si="67"/>
        <v>1627.9428571428571</v>
      </c>
      <c r="AS136" s="35">
        <f t="shared" si="68"/>
        <v>1820.9230769230769</v>
      </c>
      <c r="AT136" s="35">
        <f t="shared" si="69"/>
        <v>1681.7307692307693</v>
      </c>
      <c r="AU136" s="35">
        <f t="shared" si="70"/>
        <v>1434.4848484848485</v>
      </c>
      <c r="AV136" s="35">
        <f t="shared" si="71"/>
        <v>1642.45</v>
      </c>
      <c r="AW136" s="35">
        <f t="shared" si="72"/>
        <v>1284.25</v>
      </c>
      <c r="AX136" s="35">
        <f t="shared" si="73"/>
        <v>1526.8421052631579</v>
      </c>
      <c r="AY136" s="28">
        <f t="shared" si="74"/>
        <v>1635.2234441358437</v>
      </c>
      <c r="AZ136" s="35">
        <f t="shared" si="75"/>
        <v>370.77655586415631</v>
      </c>
      <c r="BA136" s="35">
        <f t="shared" si="76"/>
        <v>370.77655586415631</v>
      </c>
      <c r="BB136" s="35">
        <f t="shared" si="77"/>
        <v>137475.25437848581</v>
      </c>
      <c r="BC136" s="35">
        <f t="shared" si="78"/>
        <v>15777.077653590484</v>
      </c>
      <c r="BE136" s="37">
        <v>2</v>
      </c>
      <c r="BF136" s="37">
        <v>2</v>
      </c>
      <c r="BG136" s="37">
        <v>2</v>
      </c>
      <c r="BH136" s="37">
        <v>0</v>
      </c>
      <c r="BI136" s="37">
        <v>1</v>
      </c>
      <c r="BJ136" s="37">
        <v>0</v>
      </c>
      <c r="BK136" s="37">
        <v>0</v>
      </c>
      <c r="BL136" s="37">
        <v>1</v>
      </c>
      <c r="BM136" s="37">
        <v>0</v>
      </c>
      <c r="BN136" s="37">
        <v>2</v>
      </c>
      <c r="BO136" s="11">
        <f t="shared" si="79"/>
        <v>6</v>
      </c>
      <c r="BP136" s="11">
        <f t="shared" si="80"/>
        <v>6</v>
      </c>
      <c r="BQ136" s="11">
        <f t="shared" si="81"/>
        <v>7</v>
      </c>
      <c r="BR136" s="11">
        <f t="shared" si="82"/>
        <v>7</v>
      </c>
      <c r="BS136" s="11">
        <f t="shared" si="83"/>
        <v>6</v>
      </c>
      <c r="BT136" s="11">
        <f t="shared" si="84"/>
        <v>7</v>
      </c>
      <c r="BU136" s="11">
        <f t="shared" si="85"/>
        <v>7</v>
      </c>
      <c r="BV136" s="11">
        <f t="shared" si="86"/>
        <v>6</v>
      </c>
      <c r="BW136" s="11">
        <f t="shared" si="87"/>
        <v>6</v>
      </c>
      <c r="BX136" s="11">
        <f t="shared" si="88"/>
        <v>6</v>
      </c>
      <c r="BY136" s="35">
        <f t="shared" si="89"/>
        <v>1883.8695652173913</v>
      </c>
      <c r="BZ136" s="35">
        <f t="shared" si="90"/>
        <v>2135.1666666666665</v>
      </c>
      <c r="CA136" s="35">
        <f t="shared" si="91"/>
        <v>2109.6060606060605</v>
      </c>
      <c r="CB136" s="35">
        <f t="shared" si="92"/>
        <v>2239.9655172413795</v>
      </c>
      <c r="CC136" s="35">
        <f t="shared" si="93"/>
        <v>2206.8636363636365</v>
      </c>
      <c r="CD136" s="35">
        <f t="shared" si="94"/>
        <v>1904.0526315789473</v>
      </c>
      <c r="CE136" s="35">
        <f t="shared" si="95"/>
        <v>2134.6666666666665</v>
      </c>
      <c r="CF136" s="35">
        <f t="shared" si="96"/>
        <v>2294.5789473684213</v>
      </c>
      <c r="CG136" s="35">
        <f t="shared" si="97"/>
        <v>1803.9583333333333</v>
      </c>
      <c r="CH136" s="35">
        <f t="shared" si="98"/>
        <v>1952.125</v>
      </c>
      <c r="CI136" s="28">
        <f t="shared" si="99"/>
        <v>2066.4853025042498</v>
      </c>
      <c r="CJ136" s="35">
        <f t="shared" si="100"/>
        <v>-60.48530250424983</v>
      </c>
      <c r="CK136" s="35">
        <f t="shared" si="101"/>
        <v>60.48530250424983</v>
      </c>
      <c r="CL136" s="35">
        <f t="shared" si="102"/>
        <v>3658.4718190306107</v>
      </c>
      <c r="CM136" s="35">
        <f t="shared" si="103"/>
        <v>15777.077653590484</v>
      </c>
    </row>
    <row r="137" spans="1:91" x14ac:dyDescent="0.3">
      <c r="A137" s="4" t="str">
        <f>DATASETS!A58</f>
        <v>ORTIGAS AVE.</v>
      </c>
      <c r="B137" s="4" t="str">
        <f>DATASETS!E58</f>
        <v>Training</v>
      </c>
      <c r="C137" s="9">
        <f>DATASETS!C58</f>
        <v>174480</v>
      </c>
      <c r="D137" s="4">
        <f>DATASETS!B58</f>
        <v>2018</v>
      </c>
      <c r="E137" s="6">
        <f>DATASETS!I58</f>
        <v>2006</v>
      </c>
      <c r="F137" s="9">
        <f>DATASETS!H58</f>
        <v>72.599999999999994</v>
      </c>
      <c r="G137" s="11">
        <f t="shared" si="104"/>
        <v>0</v>
      </c>
      <c r="H137" s="11">
        <f t="shared" si="104"/>
        <v>0</v>
      </c>
      <c r="I137" s="11">
        <f t="shared" si="104"/>
        <v>0</v>
      </c>
      <c r="J137" s="11">
        <f t="shared" si="104"/>
        <v>0</v>
      </c>
      <c r="K137" s="11">
        <f t="shared" si="104"/>
        <v>0</v>
      </c>
      <c r="L137" s="11">
        <f t="shared" si="104"/>
        <v>1</v>
      </c>
      <c r="M137" s="11">
        <f t="shared" si="104"/>
        <v>0</v>
      </c>
      <c r="N137" s="11">
        <f t="shared" si="104"/>
        <v>0</v>
      </c>
      <c r="O137" s="11">
        <f t="shared" si="104"/>
        <v>0</v>
      </c>
      <c r="P137" s="11">
        <f t="shared" si="104"/>
        <v>0</v>
      </c>
      <c r="Q137" s="11">
        <f t="shared" si="104"/>
        <v>0</v>
      </c>
      <c r="R137" s="11">
        <f t="shared" si="104"/>
        <v>0</v>
      </c>
      <c r="S137" s="11">
        <f t="shared" si="104"/>
        <v>0</v>
      </c>
      <c r="T137" s="6">
        <f>DATASETS!D58</f>
        <v>2683</v>
      </c>
      <c r="U137" s="37">
        <v>0</v>
      </c>
      <c r="V137" s="37">
        <v>2</v>
      </c>
      <c r="W137" s="37">
        <v>0</v>
      </c>
      <c r="X137" s="37">
        <v>2</v>
      </c>
      <c r="Y137" s="37">
        <v>1</v>
      </c>
      <c r="Z137" s="37">
        <v>1</v>
      </c>
      <c r="AA137" s="37">
        <v>0</v>
      </c>
      <c r="AB137" s="37">
        <v>0</v>
      </c>
      <c r="AC137" s="37">
        <v>1</v>
      </c>
      <c r="AD137" s="37">
        <v>1</v>
      </c>
      <c r="AE137" s="11">
        <f t="shared" si="54"/>
        <v>6</v>
      </c>
      <c r="AF137" s="11">
        <f t="shared" si="55"/>
        <v>6</v>
      </c>
      <c r="AG137" s="11">
        <f t="shared" si="56"/>
        <v>6</v>
      </c>
      <c r="AH137" s="11">
        <f t="shared" si="57"/>
        <v>6</v>
      </c>
      <c r="AI137" s="11">
        <f t="shared" si="58"/>
        <v>7</v>
      </c>
      <c r="AJ137" s="11">
        <f t="shared" si="59"/>
        <v>6</v>
      </c>
      <c r="AK137" s="11">
        <f t="shared" si="60"/>
        <v>6</v>
      </c>
      <c r="AL137" s="11">
        <f t="shared" si="61"/>
        <v>6</v>
      </c>
      <c r="AM137" s="11">
        <f t="shared" si="62"/>
        <v>7</v>
      </c>
      <c r="AN137" s="11">
        <f t="shared" si="63"/>
        <v>6</v>
      </c>
      <c r="AO137" s="35">
        <f t="shared" si="64"/>
        <v>1533.2941176470588</v>
      </c>
      <c r="AP137" s="35">
        <f t="shared" si="65"/>
        <v>1722.05</v>
      </c>
      <c r="AQ137" s="35">
        <f t="shared" si="66"/>
        <v>2078.2666666666669</v>
      </c>
      <c r="AR137" s="35">
        <f t="shared" si="67"/>
        <v>1627.9428571428571</v>
      </c>
      <c r="AS137" s="35">
        <f t="shared" si="68"/>
        <v>1820.9230769230769</v>
      </c>
      <c r="AT137" s="35">
        <f t="shared" si="69"/>
        <v>1681.7307692307693</v>
      </c>
      <c r="AU137" s="35">
        <f t="shared" si="70"/>
        <v>1434.4848484848485</v>
      </c>
      <c r="AV137" s="35">
        <f t="shared" si="71"/>
        <v>1642.45</v>
      </c>
      <c r="AW137" s="35">
        <f t="shared" si="72"/>
        <v>1715.36</v>
      </c>
      <c r="AX137" s="35">
        <f t="shared" si="73"/>
        <v>1526.8421052631579</v>
      </c>
      <c r="AY137" s="28">
        <f t="shared" si="74"/>
        <v>1678.3344441358436</v>
      </c>
      <c r="AZ137" s="35">
        <f t="shared" si="75"/>
        <v>1004.6655558641564</v>
      </c>
      <c r="BA137" s="35">
        <f t="shared" si="76"/>
        <v>1004.6655558641564</v>
      </c>
      <c r="BB137" s="35">
        <f t="shared" si="77"/>
        <v>1009352.8791398344</v>
      </c>
      <c r="BC137" s="35">
        <f t="shared" si="78"/>
        <v>644177.7357732486</v>
      </c>
      <c r="BE137" s="37">
        <v>0</v>
      </c>
      <c r="BF137" s="37">
        <v>2</v>
      </c>
      <c r="BG137" s="37">
        <v>0</v>
      </c>
      <c r="BH137" s="37">
        <v>2</v>
      </c>
      <c r="BI137" s="37">
        <v>1</v>
      </c>
      <c r="BJ137" s="37">
        <v>1</v>
      </c>
      <c r="BK137" s="37">
        <v>0</v>
      </c>
      <c r="BL137" s="37">
        <v>0</v>
      </c>
      <c r="BM137" s="37">
        <v>1</v>
      </c>
      <c r="BN137" s="37">
        <v>1</v>
      </c>
      <c r="BO137" s="11">
        <f t="shared" si="79"/>
        <v>6</v>
      </c>
      <c r="BP137" s="11">
        <f t="shared" si="80"/>
        <v>6</v>
      </c>
      <c r="BQ137" s="11">
        <f t="shared" si="81"/>
        <v>7</v>
      </c>
      <c r="BR137" s="11">
        <f t="shared" si="82"/>
        <v>7</v>
      </c>
      <c r="BS137" s="11">
        <f t="shared" si="83"/>
        <v>6</v>
      </c>
      <c r="BT137" s="11">
        <f t="shared" si="84"/>
        <v>7</v>
      </c>
      <c r="BU137" s="11">
        <f t="shared" si="85"/>
        <v>7</v>
      </c>
      <c r="BV137" s="11">
        <f t="shared" si="86"/>
        <v>6</v>
      </c>
      <c r="BW137" s="11">
        <f t="shared" si="87"/>
        <v>6</v>
      </c>
      <c r="BX137" s="11">
        <f t="shared" si="88"/>
        <v>6</v>
      </c>
      <c r="BY137" s="35">
        <f t="shared" si="89"/>
        <v>1883.8695652173913</v>
      </c>
      <c r="BZ137" s="35">
        <f t="shared" si="90"/>
        <v>2135.1666666666665</v>
      </c>
      <c r="CA137" s="35">
        <f t="shared" si="91"/>
        <v>2109.6060606060605</v>
      </c>
      <c r="CB137" s="35">
        <f t="shared" si="92"/>
        <v>2239.9655172413795</v>
      </c>
      <c r="CC137" s="35">
        <f t="shared" si="93"/>
        <v>2206.8636363636365</v>
      </c>
      <c r="CD137" s="35">
        <f t="shared" si="94"/>
        <v>1904.0526315789473</v>
      </c>
      <c r="CE137" s="35">
        <f t="shared" si="95"/>
        <v>2134.6666666666665</v>
      </c>
      <c r="CF137" s="35">
        <f t="shared" si="96"/>
        <v>2294.5789473684213</v>
      </c>
      <c r="CG137" s="35">
        <f t="shared" si="97"/>
        <v>1803.9583333333333</v>
      </c>
      <c r="CH137" s="35">
        <f t="shared" si="98"/>
        <v>1952.125</v>
      </c>
      <c r="CI137" s="28">
        <f t="shared" si="99"/>
        <v>2066.4853025042498</v>
      </c>
      <c r="CJ137" s="35">
        <f t="shared" si="100"/>
        <v>616.51469749575017</v>
      </c>
      <c r="CK137" s="35">
        <f t="shared" si="101"/>
        <v>616.51469749575017</v>
      </c>
      <c r="CL137" s="35">
        <f t="shared" si="102"/>
        <v>380090.37222827633</v>
      </c>
      <c r="CM137" s="35">
        <f t="shared" si="103"/>
        <v>644177.7357732486</v>
      </c>
    </row>
    <row r="138" spans="1:91" x14ac:dyDescent="0.3">
      <c r="A138" s="4" t="str">
        <f>DATASETS!A59</f>
        <v>ORTIGAS AVE.</v>
      </c>
      <c r="B138" s="4" t="str">
        <f>DATASETS!E59</f>
        <v>Training</v>
      </c>
      <c r="C138" s="9">
        <f>DATASETS!C59</f>
        <v>180737</v>
      </c>
      <c r="D138" s="4">
        <f>DATASETS!B59</f>
        <v>2019</v>
      </c>
      <c r="E138" s="6">
        <f>DATASETS!I59</f>
        <v>2683</v>
      </c>
      <c r="F138" s="9">
        <f>DATASETS!H59</f>
        <v>72.599999999999994</v>
      </c>
      <c r="G138" s="11">
        <f t="shared" si="104"/>
        <v>0</v>
      </c>
      <c r="H138" s="11">
        <f t="shared" si="104"/>
        <v>0</v>
      </c>
      <c r="I138" s="11">
        <f t="shared" si="104"/>
        <v>0</v>
      </c>
      <c r="J138" s="11">
        <f t="shared" si="104"/>
        <v>0</v>
      </c>
      <c r="K138" s="11">
        <f t="shared" si="104"/>
        <v>0</v>
      </c>
      <c r="L138" s="11">
        <f t="shared" si="104"/>
        <v>1</v>
      </c>
      <c r="M138" s="11">
        <f t="shared" si="104"/>
        <v>0</v>
      </c>
      <c r="N138" s="11">
        <f t="shared" si="104"/>
        <v>0</v>
      </c>
      <c r="O138" s="11">
        <f t="shared" si="104"/>
        <v>0</v>
      </c>
      <c r="P138" s="11">
        <f t="shared" si="104"/>
        <v>0</v>
      </c>
      <c r="Q138" s="11">
        <f t="shared" si="104"/>
        <v>0</v>
      </c>
      <c r="R138" s="11">
        <f t="shared" si="104"/>
        <v>0</v>
      </c>
      <c r="S138" s="11">
        <f t="shared" si="104"/>
        <v>0</v>
      </c>
      <c r="T138" s="6">
        <f>DATASETS!D59</f>
        <v>2922</v>
      </c>
      <c r="U138" s="37">
        <v>1</v>
      </c>
      <c r="V138" s="37">
        <v>1</v>
      </c>
      <c r="W138" s="37">
        <v>1</v>
      </c>
      <c r="X138" s="37">
        <v>3</v>
      </c>
      <c r="Y138" s="37">
        <v>1</v>
      </c>
      <c r="Z138" s="37">
        <v>2</v>
      </c>
      <c r="AA138" s="37">
        <v>1</v>
      </c>
      <c r="AB138" s="37">
        <v>2</v>
      </c>
      <c r="AC138" s="37">
        <v>0</v>
      </c>
      <c r="AD138" s="37">
        <v>3</v>
      </c>
      <c r="AE138" s="11">
        <f t="shared" si="54"/>
        <v>6</v>
      </c>
      <c r="AF138" s="11">
        <f t="shared" si="55"/>
        <v>7</v>
      </c>
      <c r="AG138" s="11">
        <f t="shared" si="56"/>
        <v>6</v>
      </c>
      <c r="AH138" s="11">
        <f t="shared" si="57"/>
        <v>6</v>
      </c>
      <c r="AI138" s="11">
        <f t="shared" si="58"/>
        <v>7</v>
      </c>
      <c r="AJ138" s="11">
        <f t="shared" si="59"/>
        <v>6</v>
      </c>
      <c r="AK138" s="11">
        <f t="shared" si="60"/>
        <v>6</v>
      </c>
      <c r="AL138" s="11">
        <f t="shared" si="61"/>
        <v>6</v>
      </c>
      <c r="AM138" s="11">
        <f t="shared" si="62"/>
        <v>7</v>
      </c>
      <c r="AN138" s="11">
        <f t="shared" si="63"/>
        <v>7</v>
      </c>
      <c r="AO138" s="35">
        <f t="shared" si="64"/>
        <v>1533.2941176470588</v>
      </c>
      <c r="AP138" s="35">
        <f t="shared" si="65"/>
        <v>1396.0454545454545</v>
      </c>
      <c r="AQ138" s="35">
        <f t="shared" si="66"/>
        <v>2078.2666666666669</v>
      </c>
      <c r="AR138" s="35">
        <f t="shared" si="67"/>
        <v>1627.9428571428571</v>
      </c>
      <c r="AS138" s="35">
        <f t="shared" si="68"/>
        <v>1820.9230769230769</v>
      </c>
      <c r="AT138" s="35">
        <f t="shared" si="69"/>
        <v>1681.7307692307693</v>
      </c>
      <c r="AU138" s="35">
        <f t="shared" si="70"/>
        <v>1434.4848484848485</v>
      </c>
      <c r="AV138" s="35">
        <f t="shared" si="71"/>
        <v>1642.45</v>
      </c>
      <c r="AW138" s="35">
        <f t="shared" si="72"/>
        <v>1715.36</v>
      </c>
      <c r="AX138" s="35">
        <f t="shared" si="73"/>
        <v>1973.8571428571429</v>
      </c>
      <c r="AY138" s="28">
        <f t="shared" si="74"/>
        <v>1690.4354933497875</v>
      </c>
      <c r="AZ138" s="35">
        <f t="shared" si="75"/>
        <v>1231.5645066502125</v>
      </c>
      <c r="BA138" s="35">
        <f t="shared" si="76"/>
        <v>1231.5645066502125</v>
      </c>
      <c r="BB138" s="35">
        <f t="shared" si="77"/>
        <v>1516751.1340405813</v>
      </c>
      <c r="BC138" s="35">
        <f t="shared" si="78"/>
        <v>1084944.8041493171</v>
      </c>
      <c r="BE138" s="37">
        <v>1</v>
      </c>
      <c r="BF138" s="37">
        <v>1</v>
      </c>
      <c r="BG138" s="37">
        <v>1</v>
      </c>
      <c r="BH138" s="37">
        <v>3</v>
      </c>
      <c r="BI138" s="37">
        <v>1</v>
      </c>
      <c r="BJ138" s="37">
        <v>2</v>
      </c>
      <c r="BK138" s="37">
        <v>1</v>
      </c>
      <c r="BL138" s="37">
        <v>2</v>
      </c>
      <c r="BM138" s="37">
        <v>0</v>
      </c>
      <c r="BN138" s="37">
        <v>3</v>
      </c>
      <c r="BO138" s="11">
        <f t="shared" si="79"/>
        <v>6</v>
      </c>
      <c r="BP138" s="11">
        <f t="shared" si="80"/>
        <v>6</v>
      </c>
      <c r="BQ138" s="11">
        <f t="shared" si="81"/>
        <v>7</v>
      </c>
      <c r="BR138" s="11">
        <f t="shared" si="82"/>
        <v>7</v>
      </c>
      <c r="BS138" s="11">
        <f t="shared" si="83"/>
        <v>7</v>
      </c>
      <c r="BT138" s="11">
        <f t="shared" si="84"/>
        <v>7</v>
      </c>
      <c r="BU138" s="11">
        <f t="shared" si="85"/>
        <v>7</v>
      </c>
      <c r="BV138" s="11">
        <f t="shared" si="86"/>
        <v>6</v>
      </c>
      <c r="BW138" s="11">
        <f t="shared" si="87"/>
        <v>6</v>
      </c>
      <c r="BX138" s="11">
        <f t="shared" si="88"/>
        <v>6</v>
      </c>
      <c r="BY138" s="35">
        <f t="shared" si="89"/>
        <v>1883.8695652173913</v>
      </c>
      <c r="BZ138" s="35">
        <f t="shared" si="90"/>
        <v>2135.1666666666665</v>
      </c>
      <c r="CA138" s="35">
        <f t="shared" si="91"/>
        <v>2109.6060606060605</v>
      </c>
      <c r="CB138" s="35">
        <f t="shared" si="92"/>
        <v>2239.9655172413795</v>
      </c>
      <c r="CC138" s="35">
        <f t="shared" si="93"/>
        <v>1353.2222222222222</v>
      </c>
      <c r="CD138" s="35">
        <f t="shared" si="94"/>
        <v>1904.0526315789473</v>
      </c>
      <c r="CE138" s="35">
        <f t="shared" si="95"/>
        <v>2134.6666666666665</v>
      </c>
      <c r="CF138" s="35">
        <f t="shared" si="96"/>
        <v>2294.5789473684213</v>
      </c>
      <c r="CG138" s="35">
        <f t="shared" si="97"/>
        <v>1803.9583333333333</v>
      </c>
      <c r="CH138" s="35">
        <f t="shared" si="98"/>
        <v>1952.125</v>
      </c>
      <c r="CI138" s="28">
        <f t="shared" si="99"/>
        <v>1981.1211610901087</v>
      </c>
      <c r="CJ138" s="35">
        <f t="shared" si="100"/>
        <v>940.87883890989133</v>
      </c>
      <c r="CK138" s="35">
        <f t="shared" si="101"/>
        <v>940.87883890989133</v>
      </c>
      <c r="CL138" s="35">
        <f t="shared" si="102"/>
        <v>885252.98950842523</v>
      </c>
      <c r="CM138" s="35">
        <f t="shared" si="103"/>
        <v>1084944.8041493171</v>
      </c>
    </row>
    <row r="139" spans="1:91" x14ac:dyDescent="0.3">
      <c r="A139" s="4" t="str">
        <f>DATASETS!A60</f>
        <v>ORTIGAS AVE.</v>
      </c>
      <c r="B139" s="4" t="str">
        <f>DATASETS!E60</f>
        <v>Training</v>
      </c>
      <c r="C139" s="9">
        <f>DATASETS!C60</f>
        <v>172490</v>
      </c>
      <c r="D139" s="4">
        <f>DATASETS!B60</f>
        <v>2020</v>
      </c>
      <c r="E139" s="6">
        <f>DATASETS!I60</f>
        <v>2922</v>
      </c>
      <c r="F139" s="9">
        <f>DATASETS!H60</f>
        <v>72.599999999999994</v>
      </c>
      <c r="G139" s="11">
        <f t="shared" si="104"/>
        <v>0</v>
      </c>
      <c r="H139" s="11">
        <f t="shared" si="104"/>
        <v>0</v>
      </c>
      <c r="I139" s="11">
        <f t="shared" si="104"/>
        <v>0</v>
      </c>
      <c r="J139" s="11">
        <f t="shared" si="104"/>
        <v>0</v>
      </c>
      <c r="K139" s="11">
        <f t="shared" si="104"/>
        <v>0</v>
      </c>
      <c r="L139" s="11">
        <f t="shared" si="104"/>
        <v>1</v>
      </c>
      <c r="M139" s="11">
        <f t="shared" si="104"/>
        <v>0</v>
      </c>
      <c r="N139" s="11">
        <f t="shared" si="104"/>
        <v>0</v>
      </c>
      <c r="O139" s="11">
        <f t="shared" si="104"/>
        <v>0</v>
      </c>
      <c r="P139" s="11">
        <f t="shared" si="104"/>
        <v>0</v>
      </c>
      <c r="Q139" s="11">
        <f t="shared" si="104"/>
        <v>0</v>
      </c>
      <c r="R139" s="11">
        <f t="shared" si="104"/>
        <v>0</v>
      </c>
      <c r="S139" s="11">
        <f t="shared" si="104"/>
        <v>0</v>
      </c>
      <c r="T139" s="6">
        <f>DATASETS!D60</f>
        <v>1266</v>
      </c>
      <c r="U139" s="37">
        <v>2</v>
      </c>
      <c r="V139" s="37">
        <v>2</v>
      </c>
      <c r="W139" s="37">
        <v>2</v>
      </c>
      <c r="X139" s="37">
        <v>2</v>
      </c>
      <c r="Y139" s="37">
        <v>2</v>
      </c>
      <c r="Z139" s="37">
        <v>0</v>
      </c>
      <c r="AA139" s="37">
        <v>1</v>
      </c>
      <c r="AB139" s="37">
        <v>1</v>
      </c>
      <c r="AC139" s="37">
        <v>0</v>
      </c>
      <c r="AD139" s="37">
        <v>1</v>
      </c>
      <c r="AE139" s="11">
        <f t="shared" si="54"/>
        <v>6</v>
      </c>
      <c r="AF139" s="11">
        <f t="shared" si="55"/>
        <v>6</v>
      </c>
      <c r="AG139" s="11">
        <f t="shared" si="56"/>
        <v>6</v>
      </c>
      <c r="AH139" s="11">
        <f t="shared" si="57"/>
        <v>6</v>
      </c>
      <c r="AI139" s="11">
        <f t="shared" si="58"/>
        <v>7</v>
      </c>
      <c r="AJ139" s="11">
        <f t="shared" si="59"/>
        <v>6</v>
      </c>
      <c r="AK139" s="11">
        <f t="shared" si="60"/>
        <v>6</v>
      </c>
      <c r="AL139" s="11">
        <f t="shared" si="61"/>
        <v>6</v>
      </c>
      <c r="AM139" s="11">
        <f t="shared" si="62"/>
        <v>7</v>
      </c>
      <c r="AN139" s="11">
        <f t="shared" si="63"/>
        <v>6</v>
      </c>
      <c r="AO139" s="35">
        <f t="shared" si="64"/>
        <v>1533.2941176470588</v>
      </c>
      <c r="AP139" s="35">
        <f t="shared" si="65"/>
        <v>1722.05</v>
      </c>
      <c r="AQ139" s="35">
        <f t="shared" si="66"/>
        <v>2078.2666666666669</v>
      </c>
      <c r="AR139" s="35">
        <f t="shared" si="67"/>
        <v>1627.9428571428571</v>
      </c>
      <c r="AS139" s="35">
        <f t="shared" si="68"/>
        <v>1820.9230769230769</v>
      </c>
      <c r="AT139" s="35">
        <f t="shared" si="69"/>
        <v>1681.7307692307693</v>
      </c>
      <c r="AU139" s="35">
        <f t="shared" si="70"/>
        <v>1434.4848484848485</v>
      </c>
      <c r="AV139" s="35">
        <f t="shared" si="71"/>
        <v>1642.45</v>
      </c>
      <c r="AW139" s="35">
        <f t="shared" si="72"/>
        <v>1715.36</v>
      </c>
      <c r="AX139" s="35">
        <f t="shared" si="73"/>
        <v>1526.8421052631579</v>
      </c>
      <c r="AY139" s="28">
        <f t="shared" si="74"/>
        <v>1678.3344441358436</v>
      </c>
      <c r="AZ139" s="35">
        <f t="shared" si="75"/>
        <v>-412.33444413584357</v>
      </c>
      <c r="BA139" s="35">
        <f t="shared" si="76"/>
        <v>412.33444413584357</v>
      </c>
      <c r="BB139" s="35">
        <f t="shared" si="77"/>
        <v>170019.6938208151</v>
      </c>
      <c r="BC139" s="35">
        <f t="shared" si="78"/>
        <v>377478.95799547079</v>
      </c>
      <c r="BE139" s="37">
        <v>2</v>
      </c>
      <c r="BF139" s="37">
        <v>2</v>
      </c>
      <c r="BG139" s="37">
        <v>2</v>
      </c>
      <c r="BH139" s="37">
        <v>2</v>
      </c>
      <c r="BI139" s="37">
        <v>2</v>
      </c>
      <c r="BJ139" s="37">
        <v>0</v>
      </c>
      <c r="BK139" s="37">
        <v>1</v>
      </c>
      <c r="BL139" s="37">
        <v>1</v>
      </c>
      <c r="BM139" s="37">
        <v>0</v>
      </c>
      <c r="BN139" s="37">
        <v>1</v>
      </c>
      <c r="BO139" s="11">
        <f t="shared" si="79"/>
        <v>6</v>
      </c>
      <c r="BP139" s="11">
        <f t="shared" si="80"/>
        <v>7</v>
      </c>
      <c r="BQ139" s="11">
        <f t="shared" si="81"/>
        <v>7</v>
      </c>
      <c r="BR139" s="11">
        <f t="shared" si="82"/>
        <v>7</v>
      </c>
      <c r="BS139" s="11">
        <f t="shared" si="83"/>
        <v>7</v>
      </c>
      <c r="BT139" s="11">
        <f t="shared" si="84"/>
        <v>10</v>
      </c>
      <c r="BU139" s="11">
        <f t="shared" si="85"/>
        <v>7</v>
      </c>
      <c r="BV139" s="11">
        <f t="shared" si="86"/>
        <v>7</v>
      </c>
      <c r="BW139" s="11">
        <f t="shared" si="87"/>
        <v>6</v>
      </c>
      <c r="BX139" s="11">
        <f t="shared" si="88"/>
        <v>6</v>
      </c>
      <c r="BY139" s="35">
        <f t="shared" si="89"/>
        <v>1883.8695652173913</v>
      </c>
      <c r="BZ139" s="35">
        <f t="shared" si="90"/>
        <v>1290.3333333333333</v>
      </c>
      <c r="CA139" s="35">
        <f t="shared" si="91"/>
        <v>2109.6060606060605</v>
      </c>
      <c r="CB139" s="35">
        <f t="shared" si="92"/>
        <v>2239.9655172413795</v>
      </c>
      <c r="CC139" s="35">
        <f t="shared" si="93"/>
        <v>1353.2222222222222</v>
      </c>
      <c r="CD139" s="35">
        <f t="shared" si="94"/>
        <v>3645</v>
      </c>
      <c r="CE139" s="35">
        <f t="shared" si="95"/>
        <v>2134.6666666666665</v>
      </c>
      <c r="CF139" s="35">
        <f t="shared" si="96"/>
        <v>1805.125</v>
      </c>
      <c r="CG139" s="35">
        <f t="shared" si="97"/>
        <v>1803.9583333333333</v>
      </c>
      <c r="CH139" s="35">
        <f t="shared" si="98"/>
        <v>1952.125</v>
      </c>
      <c r="CI139" s="28">
        <f t="shared" si="99"/>
        <v>2021.7871698620384</v>
      </c>
      <c r="CJ139" s="35">
        <f t="shared" si="100"/>
        <v>-755.78716986203835</v>
      </c>
      <c r="CK139" s="35">
        <f t="shared" si="101"/>
        <v>755.78716986203835</v>
      </c>
      <c r="CL139" s="35">
        <f t="shared" si="102"/>
        <v>571214.24612806959</v>
      </c>
      <c r="CM139" s="35">
        <f t="shared" si="103"/>
        <v>377478.95799547079</v>
      </c>
    </row>
    <row r="140" spans="1:91" x14ac:dyDescent="0.3">
      <c r="A140" s="4" t="str">
        <f>DATASETS!A61</f>
        <v>ORTIGAS AVE.</v>
      </c>
      <c r="B140" s="4" t="str">
        <f>DATASETS!E61</f>
        <v>Training</v>
      </c>
      <c r="C140" s="9">
        <f>DATASETS!C61</f>
        <v>185699</v>
      </c>
      <c r="D140" s="4">
        <f>DATASETS!B61</f>
        <v>2021</v>
      </c>
      <c r="E140" s="6">
        <f>DATASETS!I61</f>
        <v>1266</v>
      </c>
      <c r="F140" s="9">
        <f>DATASETS!H61</f>
        <v>72.599999999999994</v>
      </c>
      <c r="G140" s="11">
        <f t="shared" ref="G140:S149" si="105">IF($A140=G$88,1,0)</f>
        <v>0</v>
      </c>
      <c r="H140" s="11">
        <f t="shared" si="105"/>
        <v>0</v>
      </c>
      <c r="I140" s="11">
        <f t="shared" si="105"/>
        <v>0</v>
      </c>
      <c r="J140" s="11">
        <f t="shared" si="105"/>
        <v>0</v>
      </c>
      <c r="K140" s="11">
        <f t="shared" si="105"/>
        <v>0</v>
      </c>
      <c r="L140" s="11">
        <f t="shared" si="105"/>
        <v>1</v>
      </c>
      <c r="M140" s="11">
        <f t="shared" si="105"/>
        <v>0</v>
      </c>
      <c r="N140" s="11">
        <f t="shared" si="105"/>
        <v>0</v>
      </c>
      <c r="O140" s="11">
        <f t="shared" si="105"/>
        <v>0</v>
      </c>
      <c r="P140" s="11">
        <f t="shared" si="105"/>
        <v>0</v>
      </c>
      <c r="Q140" s="11">
        <f t="shared" si="105"/>
        <v>0</v>
      </c>
      <c r="R140" s="11">
        <f t="shared" si="105"/>
        <v>0</v>
      </c>
      <c r="S140" s="11">
        <f t="shared" si="105"/>
        <v>0</v>
      </c>
      <c r="T140" s="6">
        <f>DATASETS!D61</f>
        <v>1080</v>
      </c>
      <c r="U140" s="37">
        <v>0</v>
      </c>
      <c r="V140" s="37">
        <v>2</v>
      </c>
      <c r="W140" s="37">
        <v>0</v>
      </c>
      <c r="X140" s="37">
        <v>1</v>
      </c>
      <c r="Y140" s="37">
        <v>1</v>
      </c>
      <c r="Z140" s="37">
        <v>4</v>
      </c>
      <c r="AA140" s="37">
        <v>0</v>
      </c>
      <c r="AB140" s="37">
        <v>1</v>
      </c>
      <c r="AC140" s="37">
        <v>0</v>
      </c>
      <c r="AD140" s="37">
        <v>1</v>
      </c>
      <c r="AE140" s="11">
        <f t="shared" si="54"/>
        <v>6</v>
      </c>
      <c r="AF140" s="11">
        <f t="shared" si="55"/>
        <v>7</v>
      </c>
      <c r="AG140" s="11">
        <f t="shared" si="56"/>
        <v>6</v>
      </c>
      <c r="AH140" s="11">
        <f t="shared" si="57"/>
        <v>6</v>
      </c>
      <c r="AI140" s="11">
        <f t="shared" si="58"/>
        <v>7</v>
      </c>
      <c r="AJ140" s="11">
        <f t="shared" si="59"/>
        <v>6</v>
      </c>
      <c r="AK140" s="11">
        <f t="shared" si="60"/>
        <v>6</v>
      </c>
      <c r="AL140" s="11">
        <f t="shared" si="61"/>
        <v>6</v>
      </c>
      <c r="AM140" s="11">
        <f t="shared" si="62"/>
        <v>7</v>
      </c>
      <c r="AN140" s="11">
        <f t="shared" si="63"/>
        <v>7</v>
      </c>
      <c r="AO140" s="35">
        <f t="shared" si="64"/>
        <v>1533.2941176470588</v>
      </c>
      <c r="AP140" s="35">
        <f t="shared" si="65"/>
        <v>1396.0454545454545</v>
      </c>
      <c r="AQ140" s="35">
        <f t="shared" si="66"/>
        <v>2078.2666666666669</v>
      </c>
      <c r="AR140" s="35">
        <f t="shared" si="67"/>
        <v>1627.9428571428571</v>
      </c>
      <c r="AS140" s="35">
        <f t="shared" si="68"/>
        <v>1820.9230769230769</v>
      </c>
      <c r="AT140" s="35">
        <f t="shared" si="69"/>
        <v>1681.7307692307693</v>
      </c>
      <c r="AU140" s="35">
        <f t="shared" si="70"/>
        <v>1434.4848484848485</v>
      </c>
      <c r="AV140" s="35">
        <f t="shared" si="71"/>
        <v>1642.45</v>
      </c>
      <c r="AW140" s="35">
        <f t="shared" si="72"/>
        <v>1715.36</v>
      </c>
      <c r="AX140" s="35">
        <f t="shared" si="73"/>
        <v>1973.8571428571429</v>
      </c>
      <c r="AY140" s="28">
        <f t="shared" si="74"/>
        <v>1690.4354933497875</v>
      </c>
      <c r="AZ140" s="35">
        <f t="shared" si="75"/>
        <v>-610.43549334978752</v>
      </c>
      <c r="BA140" s="35">
        <f t="shared" si="76"/>
        <v>610.43549334978752</v>
      </c>
      <c r="BB140" s="35">
        <f t="shared" si="77"/>
        <v>372631.49154119851</v>
      </c>
      <c r="BC140" s="35">
        <f t="shared" si="78"/>
        <v>640629.21440572722</v>
      </c>
      <c r="BE140" s="37">
        <v>0</v>
      </c>
      <c r="BF140" s="37">
        <v>2</v>
      </c>
      <c r="BG140" s="37">
        <v>0</v>
      </c>
      <c r="BH140" s="37">
        <v>1</v>
      </c>
      <c r="BI140" s="37">
        <v>1</v>
      </c>
      <c r="BJ140" s="37">
        <v>4</v>
      </c>
      <c r="BK140" s="37">
        <v>0</v>
      </c>
      <c r="BL140" s="37">
        <v>1</v>
      </c>
      <c r="BM140" s="37">
        <v>0</v>
      </c>
      <c r="BN140" s="37">
        <v>1</v>
      </c>
      <c r="BO140" s="11">
        <f t="shared" si="79"/>
        <v>4</v>
      </c>
      <c r="BP140" s="11">
        <f t="shared" si="80"/>
        <v>7</v>
      </c>
      <c r="BQ140" s="11">
        <f t="shared" si="81"/>
        <v>4</v>
      </c>
      <c r="BR140" s="11">
        <f t="shared" si="82"/>
        <v>4</v>
      </c>
      <c r="BS140" s="11">
        <f t="shared" si="83"/>
        <v>4</v>
      </c>
      <c r="BT140" s="11">
        <f t="shared" si="84"/>
        <v>6</v>
      </c>
      <c r="BU140" s="11">
        <f t="shared" si="85"/>
        <v>3</v>
      </c>
      <c r="BV140" s="11">
        <f t="shared" si="86"/>
        <v>4</v>
      </c>
      <c r="BW140" s="11">
        <f t="shared" si="87"/>
        <v>4</v>
      </c>
      <c r="BX140" s="11">
        <f t="shared" si="88"/>
        <v>4</v>
      </c>
      <c r="BY140" s="35">
        <f t="shared" si="89"/>
        <v>1064.1818181818182</v>
      </c>
      <c r="BZ140" s="35">
        <f t="shared" si="90"/>
        <v>1290.3333333333333</v>
      </c>
      <c r="CA140" s="35">
        <f t="shared" si="91"/>
        <v>1010.6551724137931</v>
      </c>
      <c r="CB140" s="35">
        <f t="shared" si="92"/>
        <v>1067.3953488372092</v>
      </c>
      <c r="CC140" s="35">
        <f t="shared" si="93"/>
        <v>1186.5882352941176</v>
      </c>
      <c r="CD140" s="35">
        <f t="shared" si="94"/>
        <v>1283.8095238095239</v>
      </c>
      <c r="CE140" s="35">
        <f t="shared" si="95"/>
        <v>737.21875</v>
      </c>
      <c r="CF140" s="35">
        <f t="shared" si="96"/>
        <v>1130.5</v>
      </c>
      <c r="CG140" s="35">
        <f t="shared" si="97"/>
        <v>1060.5135135135135</v>
      </c>
      <c r="CH140" s="35">
        <f t="shared" si="98"/>
        <v>1071.409090909091</v>
      </c>
      <c r="CI140" s="28">
        <f t="shared" si="99"/>
        <v>1090.26047862924</v>
      </c>
      <c r="CJ140" s="35">
        <f t="shared" si="100"/>
        <v>-10.260478629239969</v>
      </c>
      <c r="CK140" s="35">
        <f t="shared" si="101"/>
        <v>10.260478629239969</v>
      </c>
      <c r="CL140" s="35">
        <f t="shared" si="102"/>
        <v>105.27742170109012</v>
      </c>
      <c r="CM140" s="35">
        <f t="shared" si="103"/>
        <v>640629.21440572722</v>
      </c>
    </row>
    <row r="141" spans="1:91" x14ac:dyDescent="0.3">
      <c r="A141" s="4" t="str">
        <f>DATASETS!A62</f>
        <v>ORTIGAS AVE.</v>
      </c>
      <c r="B141" s="4" t="str">
        <f>DATASETS!E62</f>
        <v>Training</v>
      </c>
      <c r="C141" s="9">
        <f>DATASETS!C62</f>
        <v>179661</v>
      </c>
      <c r="D141" s="4">
        <f>DATASETS!B62</f>
        <v>2022</v>
      </c>
      <c r="E141" s="6">
        <f>DATASETS!I62</f>
        <v>1080</v>
      </c>
      <c r="F141" s="9">
        <f>DATASETS!H62</f>
        <v>72.599999999999994</v>
      </c>
      <c r="G141" s="11">
        <f t="shared" si="105"/>
        <v>0</v>
      </c>
      <c r="H141" s="11">
        <f t="shared" si="105"/>
        <v>0</v>
      </c>
      <c r="I141" s="11">
        <f t="shared" si="105"/>
        <v>0</v>
      </c>
      <c r="J141" s="11">
        <f t="shared" si="105"/>
        <v>0</v>
      </c>
      <c r="K141" s="11">
        <f t="shared" si="105"/>
        <v>0</v>
      </c>
      <c r="L141" s="11">
        <f t="shared" si="105"/>
        <v>1</v>
      </c>
      <c r="M141" s="11">
        <f t="shared" si="105"/>
        <v>0</v>
      </c>
      <c r="N141" s="11">
        <f t="shared" si="105"/>
        <v>0</v>
      </c>
      <c r="O141" s="11">
        <f t="shared" si="105"/>
        <v>0</v>
      </c>
      <c r="P141" s="11">
        <f t="shared" si="105"/>
        <v>0</v>
      </c>
      <c r="Q141" s="11">
        <f t="shared" si="105"/>
        <v>0</v>
      </c>
      <c r="R141" s="11">
        <f t="shared" si="105"/>
        <v>0</v>
      </c>
      <c r="S141" s="11">
        <f t="shared" si="105"/>
        <v>0</v>
      </c>
      <c r="T141" s="6">
        <f>DATASETS!D62</f>
        <v>1349</v>
      </c>
      <c r="U141" s="37">
        <v>1</v>
      </c>
      <c r="V141" s="37">
        <v>2</v>
      </c>
      <c r="W141" s="37">
        <v>2</v>
      </c>
      <c r="X141" s="37">
        <v>1</v>
      </c>
      <c r="Y141" s="37">
        <v>2</v>
      </c>
      <c r="Z141" s="37">
        <v>1</v>
      </c>
      <c r="AA141" s="37">
        <v>0</v>
      </c>
      <c r="AB141" s="37">
        <v>0</v>
      </c>
      <c r="AC141" s="37">
        <v>2</v>
      </c>
      <c r="AD141" s="37">
        <v>1</v>
      </c>
      <c r="AE141" s="11">
        <f t="shared" si="54"/>
        <v>6</v>
      </c>
      <c r="AF141" s="11">
        <f t="shared" si="55"/>
        <v>7</v>
      </c>
      <c r="AG141" s="11">
        <f t="shared" si="56"/>
        <v>6</v>
      </c>
      <c r="AH141" s="11">
        <f t="shared" si="57"/>
        <v>6</v>
      </c>
      <c r="AI141" s="11">
        <f t="shared" si="58"/>
        <v>7</v>
      </c>
      <c r="AJ141" s="11">
        <f t="shared" si="59"/>
        <v>6</v>
      </c>
      <c r="AK141" s="11">
        <f t="shared" si="60"/>
        <v>6</v>
      </c>
      <c r="AL141" s="11">
        <f t="shared" si="61"/>
        <v>6</v>
      </c>
      <c r="AM141" s="11">
        <f t="shared" si="62"/>
        <v>7</v>
      </c>
      <c r="AN141" s="11">
        <f t="shared" si="63"/>
        <v>6</v>
      </c>
      <c r="AO141" s="35">
        <f t="shared" si="64"/>
        <v>1533.2941176470588</v>
      </c>
      <c r="AP141" s="35">
        <f t="shared" si="65"/>
        <v>1396.0454545454545</v>
      </c>
      <c r="AQ141" s="35">
        <f t="shared" si="66"/>
        <v>2078.2666666666669</v>
      </c>
      <c r="AR141" s="35">
        <f t="shared" si="67"/>
        <v>1627.9428571428571</v>
      </c>
      <c r="AS141" s="35">
        <f t="shared" si="68"/>
        <v>1820.9230769230769</v>
      </c>
      <c r="AT141" s="35">
        <f t="shared" si="69"/>
        <v>1681.7307692307693</v>
      </c>
      <c r="AU141" s="35">
        <f t="shared" si="70"/>
        <v>1434.4848484848485</v>
      </c>
      <c r="AV141" s="35">
        <f t="shared" si="71"/>
        <v>1642.45</v>
      </c>
      <c r="AW141" s="35">
        <f t="shared" si="72"/>
        <v>1715.36</v>
      </c>
      <c r="AX141" s="35">
        <f t="shared" si="73"/>
        <v>1526.8421052631579</v>
      </c>
      <c r="AY141" s="28">
        <f t="shared" si="74"/>
        <v>1645.733989590389</v>
      </c>
      <c r="AZ141" s="35">
        <f t="shared" si="75"/>
        <v>-296.733989590389</v>
      </c>
      <c r="BA141" s="35">
        <f t="shared" si="76"/>
        <v>296.733989590389</v>
      </c>
      <c r="BB141" s="35">
        <f t="shared" si="77"/>
        <v>88051.060578229095</v>
      </c>
      <c r="BC141" s="35">
        <f t="shared" si="78"/>
        <v>282378.69303820579</v>
      </c>
      <c r="BE141" s="37">
        <v>1</v>
      </c>
      <c r="BF141" s="37">
        <v>2</v>
      </c>
      <c r="BG141" s="37">
        <v>2</v>
      </c>
      <c r="BH141" s="37">
        <v>1</v>
      </c>
      <c r="BI141" s="37">
        <v>2</v>
      </c>
      <c r="BJ141" s="37">
        <v>1</v>
      </c>
      <c r="BK141" s="37">
        <v>0</v>
      </c>
      <c r="BL141" s="37">
        <v>0</v>
      </c>
      <c r="BM141" s="37">
        <v>2</v>
      </c>
      <c r="BN141" s="37">
        <v>1</v>
      </c>
      <c r="BO141" s="11">
        <f t="shared" si="79"/>
        <v>4</v>
      </c>
      <c r="BP141" s="11">
        <f t="shared" si="80"/>
        <v>7</v>
      </c>
      <c r="BQ141" s="11">
        <f t="shared" si="81"/>
        <v>4</v>
      </c>
      <c r="BR141" s="11">
        <f t="shared" si="82"/>
        <v>4</v>
      </c>
      <c r="BS141" s="11">
        <f t="shared" si="83"/>
        <v>4</v>
      </c>
      <c r="BT141" s="11">
        <f t="shared" si="84"/>
        <v>6</v>
      </c>
      <c r="BU141" s="11">
        <f t="shared" si="85"/>
        <v>3</v>
      </c>
      <c r="BV141" s="11">
        <f t="shared" si="86"/>
        <v>4</v>
      </c>
      <c r="BW141" s="11">
        <f t="shared" si="87"/>
        <v>4</v>
      </c>
      <c r="BX141" s="11">
        <f t="shared" si="88"/>
        <v>4</v>
      </c>
      <c r="BY141" s="35">
        <f t="shared" si="89"/>
        <v>1064.1818181818182</v>
      </c>
      <c r="BZ141" s="35">
        <f t="shared" si="90"/>
        <v>1290.3333333333333</v>
      </c>
      <c r="CA141" s="35">
        <f t="shared" si="91"/>
        <v>1010.6551724137931</v>
      </c>
      <c r="CB141" s="35">
        <f t="shared" si="92"/>
        <v>1067.3953488372092</v>
      </c>
      <c r="CC141" s="35">
        <f t="shared" si="93"/>
        <v>1186.5882352941176</v>
      </c>
      <c r="CD141" s="35">
        <f t="shared" si="94"/>
        <v>1283.8095238095239</v>
      </c>
      <c r="CE141" s="35">
        <f t="shared" si="95"/>
        <v>737.21875</v>
      </c>
      <c r="CF141" s="35">
        <f t="shared" si="96"/>
        <v>1130.5</v>
      </c>
      <c r="CG141" s="35">
        <f t="shared" si="97"/>
        <v>1060.5135135135135</v>
      </c>
      <c r="CH141" s="35">
        <f t="shared" si="98"/>
        <v>1071.409090909091</v>
      </c>
      <c r="CI141" s="28">
        <f t="shared" si="99"/>
        <v>1090.26047862924</v>
      </c>
      <c r="CJ141" s="35">
        <f t="shared" si="100"/>
        <v>258.73952137076003</v>
      </c>
      <c r="CK141" s="35">
        <f t="shared" si="101"/>
        <v>258.73952137076003</v>
      </c>
      <c r="CL141" s="35">
        <f t="shared" si="102"/>
        <v>66946.139919169989</v>
      </c>
      <c r="CM141" s="35">
        <f t="shared" si="103"/>
        <v>282378.69303820579</v>
      </c>
    </row>
    <row r="142" spans="1:91" x14ac:dyDescent="0.3">
      <c r="A142" s="4" t="str">
        <f>DATASETS!A63</f>
        <v>ORTIGAS AVE.</v>
      </c>
      <c r="B142" s="4" t="str">
        <f>DATASETS!E63</f>
        <v>Training</v>
      </c>
      <c r="C142" s="9">
        <f>DATASETS!C63</f>
        <v>146597</v>
      </c>
      <c r="D142" s="4">
        <f>DATASETS!B63</f>
        <v>2023</v>
      </c>
      <c r="E142" s="6">
        <f>DATASETS!I63</f>
        <v>1349</v>
      </c>
      <c r="F142" s="9">
        <f>DATASETS!H63</f>
        <v>72.599999999999994</v>
      </c>
      <c r="G142" s="11">
        <f t="shared" si="105"/>
        <v>0</v>
      </c>
      <c r="H142" s="11">
        <f t="shared" si="105"/>
        <v>0</v>
      </c>
      <c r="I142" s="11">
        <f t="shared" si="105"/>
        <v>0</v>
      </c>
      <c r="J142" s="11">
        <f t="shared" si="105"/>
        <v>0</v>
      </c>
      <c r="K142" s="11">
        <f t="shared" si="105"/>
        <v>0</v>
      </c>
      <c r="L142" s="11">
        <f t="shared" si="105"/>
        <v>1</v>
      </c>
      <c r="M142" s="11">
        <f t="shared" si="105"/>
        <v>0</v>
      </c>
      <c r="N142" s="11">
        <f t="shared" si="105"/>
        <v>0</v>
      </c>
      <c r="O142" s="11">
        <f t="shared" si="105"/>
        <v>0</v>
      </c>
      <c r="P142" s="11">
        <f t="shared" si="105"/>
        <v>0</v>
      </c>
      <c r="Q142" s="11">
        <f t="shared" si="105"/>
        <v>0</v>
      </c>
      <c r="R142" s="11">
        <f t="shared" si="105"/>
        <v>0</v>
      </c>
      <c r="S142" s="11">
        <f t="shared" si="105"/>
        <v>0</v>
      </c>
      <c r="T142" s="6">
        <f>DATASETS!D63</f>
        <v>2167</v>
      </c>
      <c r="U142" s="37">
        <v>1</v>
      </c>
      <c r="V142" s="37">
        <v>0</v>
      </c>
      <c r="W142" s="37">
        <v>5</v>
      </c>
      <c r="X142" s="37">
        <v>0</v>
      </c>
      <c r="Y142" s="37">
        <v>2</v>
      </c>
      <c r="Z142" s="37">
        <v>0</v>
      </c>
      <c r="AA142" s="37">
        <v>0</v>
      </c>
      <c r="AB142" s="37">
        <v>2</v>
      </c>
      <c r="AC142" s="37">
        <v>1</v>
      </c>
      <c r="AD142" s="37">
        <v>1</v>
      </c>
      <c r="AE142" s="11">
        <f t="shared" si="54"/>
        <v>6</v>
      </c>
      <c r="AF142" s="11">
        <f t="shared" si="55"/>
        <v>6</v>
      </c>
      <c r="AG142" s="11">
        <f t="shared" si="56"/>
        <v>6</v>
      </c>
      <c r="AH142" s="11">
        <f t="shared" si="57"/>
        <v>6</v>
      </c>
      <c r="AI142" s="11">
        <f t="shared" si="58"/>
        <v>7</v>
      </c>
      <c r="AJ142" s="11">
        <f t="shared" si="59"/>
        <v>6</v>
      </c>
      <c r="AK142" s="11">
        <f t="shared" si="60"/>
        <v>6</v>
      </c>
      <c r="AL142" s="11">
        <f t="shared" si="61"/>
        <v>6</v>
      </c>
      <c r="AM142" s="11">
        <f t="shared" si="62"/>
        <v>6</v>
      </c>
      <c r="AN142" s="11">
        <f t="shared" si="63"/>
        <v>6</v>
      </c>
      <c r="AO142" s="35">
        <f t="shared" si="64"/>
        <v>1533.2941176470588</v>
      </c>
      <c r="AP142" s="35">
        <f t="shared" si="65"/>
        <v>1722.05</v>
      </c>
      <c r="AQ142" s="35">
        <f t="shared" si="66"/>
        <v>2078.2666666666669</v>
      </c>
      <c r="AR142" s="35">
        <f t="shared" si="67"/>
        <v>1627.9428571428571</v>
      </c>
      <c r="AS142" s="35">
        <f t="shared" si="68"/>
        <v>1820.9230769230769</v>
      </c>
      <c r="AT142" s="35">
        <f t="shared" si="69"/>
        <v>1681.7307692307693</v>
      </c>
      <c r="AU142" s="35">
        <f t="shared" si="70"/>
        <v>1434.4848484848485</v>
      </c>
      <c r="AV142" s="35">
        <f t="shared" si="71"/>
        <v>1642.45</v>
      </c>
      <c r="AW142" s="35">
        <f t="shared" si="72"/>
        <v>1284.25</v>
      </c>
      <c r="AX142" s="35">
        <f t="shared" si="73"/>
        <v>1526.8421052631579</v>
      </c>
      <c r="AY142" s="28">
        <f t="shared" si="74"/>
        <v>1635.2234441358437</v>
      </c>
      <c r="AZ142" s="35">
        <f t="shared" si="75"/>
        <v>531.77655586415631</v>
      </c>
      <c r="BA142" s="35">
        <f t="shared" si="76"/>
        <v>531.77655586415631</v>
      </c>
      <c r="BB142" s="35">
        <f t="shared" si="77"/>
        <v>282786.30536674417</v>
      </c>
      <c r="BC142" s="35">
        <f t="shared" si="78"/>
        <v>82143.479362992206</v>
      </c>
      <c r="BE142" s="37">
        <v>1</v>
      </c>
      <c r="BF142" s="37">
        <v>0</v>
      </c>
      <c r="BG142" s="37">
        <v>5</v>
      </c>
      <c r="BH142" s="37">
        <v>0</v>
      </c>
      <c r="BI142" s="37">
        <v>2</v>
      </c>
      <c r="BJ142" s="37">
        <v>0</v>
      </c>
      <c r="BK142" s="37">
        <v>0</v>
      </c>
      <c r="BL142" s="37">
        <v>2</v>
      </c>
      <c r="BM142" s="37">
        <v>1</v>
      </c>
      <c r="BN142" s="37">
        <v>1</v>
      </c>
      <c r="BO142" s="11">
        <f t="shared" si="79"/>
        <v>6</v>
      </c>
      <c r="BP142" s="11">
        <f t="shared" si="80"/>
        <v>7</v>
      </c>
      <c r="BQ142" s="11">
        <f t="shared" si="81"/>
        <v>7</v>
      </c>
      <c r="BR142" s="11">
        <f t="shared" si="82"/>
        <v>4</v>
      </c>
      <c r="BS142" s="11">
        <f t="shared" si="83"/>
        <v>4</v>
      </c>
      <c r="BT142" s="11">
        <f t="shared" si="84"/>
        <v>6</v>
      </c>
      <c r="BU142" s="11">
        <f t="shared" si="85"/>
        <v>3</v>
      </c>
      <c r="BV142" s="11">
        <f t="shared" si="86"/>
        <v>4</v>
      </c>
      <c r="BW142" s="11">
        <f t="shared" si="87"/>
        <v>6</v>
      </c>
      <c r="BX142" s="11">
        <f t="shared" si="88"/>
        <v>4</v>
      </c>
      <c r="BY142" s="35">
        <f t="shared" si="89"/>
        <v>1883.8695652173913</v>
      </c>
      <c r="BZ142" s="35">
        <f t="shared" si="90"/>
        <v>1290.3333333333333</v>
      </c>
      <c r="CA142" s="35">
        <f t="shared" si="91"/>
        <v>2109.6060606060605</v>
      </c>
      <c r="CB142" s="35">
        <f t="shared" si="92"/>
        <v>1067.3953488372092</v>
      </c>
      <c r="CC142" s="35">
        <f t="shared" si="93"/>
        <v>1186.5882352941176</v>
      </c>
      <c r="CD142" s="35">
        <f t="shared" si="94"/>
        <v>1283.8095238095239</v>
      </c>
      <c r="CE142" s="35">
        <f t="shared" si="95"/>
        <v>737.21875</v>
      </c>
      <c r="CF142" s="35">
        <f t="shared" si="96"/>
        <v>1130.5</v>
      </c>
      <c r="CG142" s="35">
        <f t="shared" si="97"/>
        <v>1803.9583333333333</v>
      </c>
      <c r="CH142" s="35">
        <f t="shared" si="98"/>
        <v>1071.409090909091</v>
      </c>
      <c r="CI142" s="28">
        <f t="shared" si="99"/>
        <v>1356.4688241340059</v>
      </c>
      <c r="CJ142" s="35">
        <f t="shared" si="100"/>
        <v>810.5311758659941</v>
      </c>
      <c r="CK142" s="35">
        <f t="shared" si="101"/>
        <v>810.5311758659941</v>
      </c>
      <c r="CL142" s="35">
        <f t="shared" si="102"/>
        <v>656960.78705071111</v>
      </c>
      <c r="CM142" s="35">
        <f t="shared" si="103"/>
        <v>82143.479362992206</v>
      </c>
    </row>
    <row r="143" spans="1:91" x14ac:dyDescent="0.3">
      <c r="A143" s="4" t="str">
        <f>DATASETS!A64</f>
        <v>ORTIGAS AVE.</v>
      </c>
      <c r="B143" s="4" t="str">
        <f>DATASETS!E64</f>
        <v>Training</v>
      </c>
      <c r="C143" s="9">
        <f>DATASETS!C64</f>
        <v>188765</v>
      </c>
      <c r="D143" s="4">
        <f>DATASETS!B64</f>
        <v>2024</v>
      </c>
      <c r="E143" s="6">
        <f>DATASETS!I64</f>
        <v>2167</v>
      </c>
      <c r="F143" s="9">
        <f>DATASETS!H64</f>
        <v>72.599999999999994</v>
      </c>
      <c r="G143" s="11">
        <f t="shared" si="105"/>
        <v>0</v>
      </c>
      <c r="H143" s="11">
        <f t="shared" si="105"/>
        <v>0</v>
      </c>
      <c r="I143" s="11">
        <f t="shared" si="105"/>
        <v>0</v>
      </c>
      <c r="J143" s="11">
        <f t="shared" si="105"/>
        <v>0</v>
      </c>
      <c r="K143" s="11">
        <f t="shared" si="105"/>
        <v>0</v>
      </c>
      <c r="L143" s="11">
        <f t="shared" si="105"/>
        <v>1</v>
      </c>
      <c r="M143" s="11">
        <f t="shared" si="105"/>
        <v>0</v>
      </c>
      <c r="N143" s="11">
        <f t="shared" si="105"/>
        <v>0</v>
      </c>
      <c r="O143" s="11">
        <f t="shared" si="105"/>
        <v>0</v>
      </c>
      <c r="P143" s="11">
        <f t="shared" si="105"/>
        <v>0</v>
      </c>
      <c r="Q143" s="11">
        <f t="shared" si="105"/>
        <v>0</v>
      </c>
      <c r="R143" s="11">
        <f t="shared" si="105"/>
        <v>0</v>
      </c>
      <c r="S143" s="11">
        <f t="shared" si="105"/>
        <v>0</v>
      </c>
      <c r="T143" s="6">
        <f>DATASETS!D64</f>
        <v>1930</v>
      </c>
      <c r="U143" s="37">
        <v>3</v>
      </c>
      <c r="V143" s="37">
        <v>1</v>
      </c>
      <c r="W143" s="37">
        <v>1</v>
      </c>
      <c r="X143" s="37">
        <v>0</v>
      </c>
      <c r="Y143" s="37">
        <v>0</v>
      </c>
      <c r="Z143" s="37">
        <v>1</v>
      </c>
      <c r="AA143" s="37">
        <v>2</v>
      </c>
      <c r="AB143" s="37">
        <v>0</v>
      </c>
      <c r="AC143" s="37">
        <v>2</v>
      </c>
      <c r="AD143" s="37">
        <v>2</v>
      </c>
      <c r="AE143" s="11">
        <f t="shared" si="54"/>
        <v>7</v>
      </c>
      <c r="AF143" s="11">
        <f t="shared" si="55"/>
        <v>7</v>
      </c>
      <c r="AG143" s="11">
        <f t="shared" si="56"/>
        <v>6</v>
      </c>
      <c r="AH143" s="11">
        <f t="shared" si="57"/>
        <v>6</v>
      </c>
      <c r="AI143" s="11">
        <f t="shared" si="58"/>
        <v>7</v>
      </c>
      <c r="AJ143" s="11">
        <f t="shared" si="59"/>
        <v>6</v>
      </c>
      <c r="AK143" s="11">
        <f t="shared" si="60"/>
        <v>6</v>
      </c>
      <c r="AL143" s="11">
        <f t="shared" si="61"/>
        <v>6</v>
      </c>
      <c r="AM143" s="11">
        <f t="shared" si="62"/>
        <v>7</v>
      </c>
      <c r="AN143" s="11">
        <f t="shared" si="63"/>
        <v>7</v>
      </c>
      <c r="AO143" s="35">
        <f t="shared" si="64"/>
        <v>1949.090909090909</v>
      </c>
      <c r="AP143" s="35">
        <f t="shared" si="65"/>
        <v>1396.0454545454545</v>
      </c>
      <c r="AQ143" s="35">
        <f t="shared" si="66"/>
        <v>2078.2666666666669</v>
      </c>
      <c r="AR143" s="35">
        <f t="shared" si="67"/>
        <v>1627.9428571428571</v>
      </c>
      <c r="AS143" s="35">
        <f t="shared" si="68"/>
        <v>1820.9230769230769</v>
      </c>
      <c r="AT143" s="35">
        <f t="shared" si="69"/>
        <v>1681.7307692307693</v>
      </c>
      <c r="AU143" s="35">
        <f t="shared" si="70"/>
        <v>1434.4848484848485</v>
      </c>
      <c r="AV143" s="35">
        <f t="shared" si="71"/>
        <v>1642.45</v>
      </c>
      <c r="AW143" s="35">
        <f t="shared" si="72"/>
        <v>1715.36</v>
      </c>
      <c r="AX143" s="35">
        <f t="shared" si="73"/>
        <v>1973.8571428571429</v>
      </c>
      <c r="AY143" s="28">
        <f t="shared" si="74"/>
        <v>1732.0151724941727</v>
      </c>
      <c r="AZ143" s="35">
        <f t="shared" si="75"/>
        <v>197.9848275058273</v>
      </c>
      <c r="BA143" s="35">
        <f t="shared" si="76"/>
        <v>197.9848275058273</v>
      </c>
      <c r="BB143" s="35">
        <f t="shared" si="77"/>
        <v>39197.991922512192</v>
      </c>
      <c r="BC143" s="35">
        <f t="shared" si="78"/>
        <v>2460.8383373511615</v>
      </c>
      <c r="BE143" s="37">
        <v>3</v>
      </c>
      <c r="BF143" s="37">
        <v>1</v>
      </c>
      <c r="BG143" s="37">
        <v>1</v>
      </c>
      <c r="BH143" s="37">
        <v>0</v>
      </c>
      <c r="BI143" s="37">
        <v>0</v>
      </c>
      <c r="BJ143" s="37">
        <v>1</v>
      </c>
      <c r="BK143" s="37">
        <v>2</v>
      </c>
      <c r="BL143" s="37">
        <v>0</v>
      </c>
      <c r="BM143" s="37">
        <v>2</v>
      </c>
      <c r="BN143" s="37">
        <v>2</v>
      </c>
      <c r="BO143" s="11">
        <f t="shared" si="79"/>
        <v>6</v>
      </c>
      <c r="BP143" s="11">
        <f t="shared" si="80"/>
        <v>7</v>
      </c>
      <c r="BQ143" s="11">
        <f t="shared" si="81"/>
        <v>7</v>
      </c>
      <c r="BR143" s="11">
        <f t="shared" si="82"/>
        <v>7</v>
      </c>
      <c r="BS143" s="11">
        <f t="shared" si="83"/>
        <v>6</v>
      </c>
      <c r="BT143" s="11">
        <f t="shared" si="84"/>
        <v>7</v>
      </c>
      <c r="BU143" s="11">
        <f t="shared" si="85"/>
        <v>7</v>
      </c>
      <c r="BV143" s="11">
        <f t="shared" si="86"/>
        <v>7</v>
      </c>
      <c r="BW143" s="11">
        <f t="shared" si="87"/>
        <v>6</v>
      </c>
      <c r="BX143" s="11">
        <f t="shared" si="88"/>
        <v>6</v>
      </c>
      <c r="BY143" s="35">
        <f t="shared" si="89"/>
        <v>1883.8695652173913</v>
      </c>
      <c r="BZ143" s="35">
        <f t="shared" si="90"/>
        <v>1290.3333333333333</v>
      </c>
      <c r="CA143" s="35">
        <f t="shared" si="91"/>
        <v>2109.6060606060605</v>
      </c>
      <c r="CB143" s="35">
        <f t="shared" si="92"/>
        <v>2239.9655172413795</v>
      </c>
      <c r="CC143" s="35">
        <f t="shared" si="93"/>
        <v>2206.8636363636365</v>
      </c>
      <c r="CD143" s="35">
        <f t="shared" si="94"/>
        <v>1904.0526315789473</v>
      </c>
      <c r="CE143" s="35">
        <f t="shared" si="95"/>
        <v>2134.6666666666665</v>
      </c>
      <c r="CF143" s="35">
        <f t="shared" si="96"/>
        <v>1805.125</v>
      </c>
      <c r="CG143" s="35">
        <f t="shared" si="97"/>
        <v>1803.9583333333333</v>
      </c>
      <c r="CH143" s="35">
        <f t="shared" si="98"/>
        <v>1952.125</v>
      </c>
      <c r="CI143" s="28">
        <f t="shared" si="99"/>
        <v>1933.0565744340747</v>
      </c>
      <c r="CJ143" s="35">
        <f t="shared" si="100"/>
        <v>-3.0565744340747187</v>
      </c>
      <c r="CK143" s="35">
        <f t="shared" si="101"/>
        <v>3.0565744340747187</v>
      </c>
      <c r="CL143" s="35">
        <f t="shared" si="102"/>
        <v>9.342647271039187</v>
      </c>
      <c r="CM143" s="35">
        <f t="shared" si="103"/>
        <v>2460.8383373511615</v>
      </c>
    </row>
    <row r="144" spans="1:91" x14ac:dyDescent="0.3">
      <c r="A144" s="4" t="str">
        <f>DATASETS!A66</f>
        <v>R-6 MAGSAYSAY / AURORA BLVD.</v>
      </c>
      <c r="B144" s="4" t="str">
        <f>DATASETS!E66</f>
        <v>Training</v>
      </c>
      <c r="C144" s="9">
        <f>DATASETS!C66</f>
        <v>95187</v>
      </c>
      <c r="D144" s="4">
        <f>DATASETS!B66</f>
        <v>2016</v>
      </c>
      <c r="E144" s="6">
        <f>DATASETS!I66</f>
        <v>1505</v>
      </c>
      <c r="F144" s="9">
        <f>DATASETS!H66</f>
        <v>85</v>
      </c>
      <c r="G144" s="11">
        <f t="shared" si="105"/>
        <v>0</v>
      </c>
      <c r="H144" s="11">
        <f t="shared" si="105"/>
        <v>0</v>
      </c>
      <c r="I144" s="11">
        <f t="shared" si="105"/>
        <v>0</v>
      </c>
      <c r="J144" s="11">
        <f t="shared" si="105"/>
        <v>0</v>
      </c>
      <c r="K144" s="11">
        <f t="shared" si="105"/>
        <v>0</v>
      </c>
      <c r="L144" s="11">
        <f t="shared" si="105"/>
        <v>0</v>
      </c>
      <c r="M144" s="11">
        <f t="shared" si="105"/>
        <v>1</v>
      </c>
      <c r="N144" s="11">
        <f t="shared" si="105"/>
        <v>0</v>
      </c>
      <c r="O144" s="11">
        <f t="shared" si="105"/>
        <v>0</v>
      </c>
      <c r="P144" s="11">
        <f t="shared" si="105"/>
        <v>0</v>
      </c>
      <c r="Q144" s="11">
        <f t="shared" si="105"/>
        <v>0</v>
      </c>
      <c r="R144" s="11">
        <f t="shared" si="105"/>
        <v>0</v>
      </c>
      <c r="S144" s="11">
        <f t="shared" si="105"/>
        <v>0</v>
      </c>
      <c r="T144" s="6">
        <f>DATASETS!D66</f>
        <v>1707</v>
      </c>
      <c r="U144" s="37">
        <v>1</v>
      </c>
      <c r="V144" s="37">
        <v>1</v>
      </c>
      <c r="W144" s="37">
        <v>1</v>
      </c>
      <c r="X144" s="37">
        <v>1</v>
      </c>
      <c r="Y144" s="37">
        <v>0</v>
      </c>
      <c r="Z144" s="37">
        <v>1</v>
      </c>
      <c r="AA144" s="37">
        <v>1</v>
      </c>
      <c r="AB144" s="37">
        <v>0</v>
      </c>
      <c r="AC144" s="37">
        <v>1</v>
      </c>
      <c r="AD144" s="37">
        <v>4</v>
      </c>
      <c r="AE144" s="11">
        <f t="shared" si="54"/>
        <v>4</v>
      </c>
      <c r="AF144" s="11">
        <f t="shared" si="55"/>
        <v>3</v>
      </c>
      <c r="AG144" s="11">
        <f t="shared" si="56"/>
        <v>4</v>
      </c>
      <c r="AH144" s="11">
        <f t="shared" si="57"/>
        <v>3</v>
      </c>
      <c r="AI144" s="11">
        <f t="shared" si="58"/>
        <v>3</v>
      </c>
      <c r="AJ144" s="11">
        <f t="shared" si="59"/>
        <v>3</v>
      </c>
      <c r="AK144" s="11">
        <f t="shared" si="60"/>
        <v>4</v>
      </c>
      <c r="AL144" s="11">
        <f t="shared" si="61"/>
        <v>3</v>
      </c>
      <c r="AM144" s="11">
        <f t="shared" si="62"/>
        <v>4</v>
      </c>
      <c r="AN144" s="11">
        <f t="shared" si="63"/>
        <v>3</v>
      </c>
      <c r="AO144" s="35">
        <f t="shared" si="64"/>
        <v>920.9375</v>
      </c>
      <c r="AP144" s="35">
        <f t="shared" si="65"/>
        <v>879.5</v>
      </c>
      <c r="AQ144" s="35">
        <f t="shared" si="66"/>
        <v>800.71794871794873</v>
      </c>
      <c r="AR144" s="35">
        <f t="shared" si="67"/>
        <v>668.6</v>
      </c>
      <c r="AS144" s="35">
        <f t="shared" si="68"/>
        <v>609.80952380952385</v>
      </c>
      <c r="AT144" s="35">
        <f t="shared" si="69"/>
        <v>730.06451612903231</v>
      </c>
      <c r="AU144" s="35">
        <f t="shared" si="70"/>
        <v>763.24242424242425</v>
      </c>
      <c r="AV144" s="35">
        <f t="shared" si="71"/>
        <v>703.24</v>
      </c>
      <c r="AW144" s="35">
        <f t="shared" si="72"/>
        <v>838.3125</v>
      </c>
      <c r="AX144" s="35">
        <f t="shared" si="73"/>
        <v>889.97222222222217</v>
      </c>
      <c r="AY144" s="28">
        <f t="shared" si="74"/>
        <v>780.43966351211509</v>
      </c>
      <c r="AZ144" s="35">
        <f t="shared" si="75"/>
        <v>926.56033648788491</v>
      </c>
      <c r="BA144" s="35">
        <f t="shared" si="76"/>
        <v>926.56033648788491</v>
      </c>
      <c r="BB144" s="35">
        <f t="shared" si="77"/>
        <v>858514.05715254252</v>
      </c>
      <c r="BC144" s="35">
        <f t="shared" si="78"/>
        <v>30065.188764701572</v>
      </c>
      <c r="BE144" s="37">
        <v>1</v>
      </c>
      <c r="BF144" s="37">
        <v>1</v>
      </c>
      <c r="BG144" s="37">
        <v>1</v>
      </c>
      <c r="BH144" s="37">
        <v>1</v>
      </c>
      <c r="BI144" s="37">
        <v>0</v>
      </c>
      <c r="BJ144" s="37">
        <v>1</v>
      </c>
      <c r="BK144" s="37">
        <v>1</v>
      </c>
      <c r="BL144" s="37">
        <v>0</v>
      </c>
      <c r="BM144" s="37">
        <v>1</v>
      </c>
      <c r="BN144" s="37">
        <v>4</v>
      </c>
      <c r="BO144" s="11">
        <f t="shared" si="79"/>
        <v>6</v>
      </c>
      <c r="BP144" s="11">
        <f t="shared" si="80"/>
        <v>6</v>
      </c>
      <c r="BQ144" s="11">
        <f t="shared" si="81"/>
        <v>6</v>
      </c>
      <c r="BR144" s="11">
        <f t="shared" si="82"/>
        <v>6</v>
      </c>
      <c r="BS144" s="11">
        <f t="shared" si="83"/>
        <v>6</v>
      </c>
      <c r="BT144" s="11">
        <f t="shared" si="84"/>
        <v>7</v>
      </c>
      <c r="BU144" s="11">
        <f t="shared" si="85"/>
        <v>6</v>
      </c>
      <c r="BV144" s="11">
        <f t="shared" si="86"/>
        <v>6</v>
      </c>
      <c r="BW144" s="11">
        <f t="shared" si="87"/>
        <v>6</v>
      </c>
      <c r="BX144" s="11">
        <f t="shared" si="88"/>
        <v>6</v>
      </c>
      <c r="BY144" s="35">
        <f t="shared" si="89"/>
        <v>1883.8695652173913</v>
      </c>
      <c r="BZ144" s="35">
        <f t="shared" si="90"/>
        <v>2135.1666666666665</v>
      </c>
      <c r="CA144" s="35">
        <f t="shared" si="91"/>
        <v>1415.8571428571429</v>
      </c>
      <c r="CB144" s="35">
        <f t="shared" si="92"/>
        <v>1210</v>
      </c>
      <c r="CC144" s="35">
        <f t="shared" si="93"/>
        <v>2206.8636363636365</v>
      </c>
      <c r="CD144" s="35">
        <f t="shared" si="94"/>
        <v>1904.0526315789473</v>
      </c>
      <c r="CE144" s="35">
        <f t="shared" si="95"/>
        <v>1210</v>
      </c>
      <c r="CF144" s="35">
        <f t="shared" si="96"/>
        <v>2294.5789473684213</v>
      </c>
      <c r="CG144" s="35">
        <f t="shared" si="97"/>
        <v>1803.9583333333333</v>
      </c>
      <c r="CH144" s="35">
        <f t="shared" si="98"/>
        <v>1952.125</v>
      </c>
      <c r="CI144" s="28">
        <f t="shared" si="99"/>
        <v>1801.6471923385539</v>
      </c>
      <c r="CJ144" s="35">
        <f t="shared" si="100"/>
        <v>-94.64719233855385</v>
      </c>
      <c r="CK144" s="35">
        <f t="shared" si="101"/>
        <v>94.64719233855385</v>
      </c>
      <c r="CL144" s="35">
        <f t="shared" si="102"/>
        <v>8958.091017571207</v>
      </c>
      <c r="CM144" s="35">
        <f t="shared" si="103"/>
        <v>30065.188764701572</v>
      </c>
    </row>
    <row r="145" spans="1:91" x14ac:dyDescent="0.3">
      <c r="A145" s="4" t="str">
        <f>DATASETS!A67</f>
        <v>R-6 MAGSAYSAY / AURORA BLVD.</v>
      </c>
      <c r="B145" s="4" t="str">
        <f>DATASETS!E67</f>
        <v>Training</v>
      </c>
      <c r="C145" s="9">
        <f>DATASETS!C67</f>
        <v>100608.5</v>
      </c>
      <c r="D145" s="4">
        <f>DATASETS!B67</f>
        <v>2017</v>
      </c>
      <c r="E145" s="6">
        <f>DATASETS!I67</f>
        <v>1707</v>
      </c>
      <c r="F145" s="9">
        <f>DATASETS!H67</f>
        <v>85</v>
      </c>
      <c r="G145" s="11">
        <f t="shared" si="105"/>
        <v>0</v>
      </c>
      <c r="H145" s="11">
        <f t="shared" si="105"/>
        <v>0</v>
      </c>
      <c r="I145" s="11">
        <f t="shared" si="105"/>
        <v>0</v>
      </c>
      <c r="J145" s="11">
        <f t="shared" si="105"/>
        <v>0</v>
      </c>
      <c r="K145" s="11">
        <f t="shared" si="105"/>
        <v>0</v>
      </c>
      <c r="L145" s="11">
        <f t="shared" si="105"/>
        <v>0</v>
      </c>
      <c r="M145" s="11">
        <f t="shared" si="105"/>
        <v>1</v>
      </c>
      <c r="N145" s="11">
        <f t="shared" si="105"/>
        <v>0</v>
      </c>
      <c r="O145" s="11">
        <f t="shared" si="105"/>
        <v>0</v>
      </c>
      <c r="P145" s="11">
        <f t="shared" si="105"/>
        <v>0</v>
      </c>
      <c r="Q145" s="11">
        <f t="shared" si="105"/>
        <v>0</v>
      </c>
      <c r="R145" s="11">
        <f t="shared" si="105"/>
        <v>0</v>
      </c>
      <c r="S145" s="11">
        <f t="shared" si="105"/>
        <v>0</v>
      </c>
      <c r="T145" s="6">
        <f>DATASETS!D67</f>
        <v>1769</v>
      </c>
      <c r="U145" s="37">
        <v>1</v>
      </c>
      <c r="V145" s="37">
        <v>1</v>
      </c>
      <c r="W145" s="37">
        <v>1</v>
      </c>
      <c r="X145" s="37">
        <v>1</v>
      </c>
      <c r="Y145" s="37">
        <v>2</v>
      </c>
      <c r="Z145" s="37">
        <v>1</v>
      </c>
      <c r="AA145" s="37">
        <v>1</v>
      </c>
      <c r="AB145" s="37">
        <v>1</v>
      </c>
      <c r="AC145" s="37">
        <v>1</v>
      </c>
      <c r="AD145" s="37">
        <v>0</v>
      </c>
      <c r="AE145" s="11">
        <f t="shared" si="54"/>
        <v>4</v>
      </c>
      <c r="AF145" s="11">
        <f t="shared" si="55"/>
        <v>3</v>
      </c>
      <c r="AG145" s="11">
        <f t="shared" si="56"/>
        <v>4</v>
      </c>
      <c r="AH145" s="11">
        <f t="shared" si="57"/>
        <v>3</v>
      </c>
      <c r="AI145" s="11">
        <f t="shared" si="58"/>
        <v>4</v>
      </c>
      <c r="AJ145" s="11">
        <f t="shared" si="59"/>
        <v>3</v>
      </c>
      <c r="AK145" s="11">
        <f t="shared" si="60"/>
        <v>4</v>
      </c>
      <c r="AL145" s="11">
        <f t="shared" si="61"/>
        <v>4</v>
      </c>
      <c r="AM145" s="11">
        <f t="shared" si="62"/>
        <v>4</v>
      </c>
      <c r="AN145" s="11">
        <f t="shared" si="63"/>
        <v>3</v>
      </c>
      <c r="AO145" s="35">
        <f t="shared" si="64"/>
        <v>920.9375</v>
      </c>
      <c r="AP145" s="35">
        <f t="shared" si="65"/>
        <v>879.5</v>
      </c>
      <c r="AQ145" s="35">
        <f t="shared" si="66"/>
        <v>800.71794871794873</v>
      </c>
      <c r="AR145" s="35">
        <f t="shared" si="67"/>
        <v>668.6</v>
      </c>
      <c r="AS145" s="35">
        <f t="shared" si="68"/>
        <v>938.71428571428567</v>
      </c>
      <c r="AT145" s="35">
        <f t="shared" si="69"/>
        <v>730.06451612903231</v>
      </c>
      <c r="AU145" s="35">
        <f t="shared" si="70"/>
        <v>763.24242424242425</v>
      </c>
      <c r="AV145" s="35">
        <f t="shared" si="71"/>
        <v>986.22580645161293</v>
      </c>
      <c r="AW145" s="35">
        <f t="shared" si="72"/>
        <v>838.3125</v>
      </c>
      <c r="AX145" s="35">
        <f t="shared" si="73"/>
        <v>889.97222222222217</v>
      </c>
      <c r="AY145" s="28">
        <f t="shared" si="74"/>
        <v>841.62872034775251</v>
      </c>
      <c r="AZ145" s="35">
        <f t="shared" si="75"/>
        <v>927.37127965224749</v>
      </c>
      <c r="BA145" s="35">
        <f t="shared" si="76"/>
        <v>927.37127965224749</v>
      </c>
      <c r="BB145" s="35">
        <f t="shared" si="77"/>
        <v>860017.49032384704</v>
      </c>
      <c r="BC145" s="35">
        <f t="shared" si="78"/>
        <v>12408.436627949441</v>
      </c>
      <c r="BE145" s="37">
        <v>1</v>
      </c>
      <c r="BF145" s="37">
        <v>1</v>
      </c>
      <c r="BG145" s="37">
        <v>1</v>
      </c>
      <c r="BH145" s="37">
        <v>1</v>
      </c>
      <c r="BI145" s="37">
        <v>2</v>
      </c>
      <c r="BJ145" s="37">
        <v>1</v>
      </c>
      <c r="BK145" s="37">
        <v>1</v>
      </c>
      <c r="BL145" s="37">
        <v>1</v>
      </c>
      <c r="BM145" s="37">
        <v>1</v>
      </c>
      <c r="BN145" s="37">
        <v>0</v>
      </c>
      <c r="BO145" s="11">
        <f t="shared" si="79"/>
        <v>6</v>
      </c>
      <c r="BP145" s="11">
        <f t="shared" si="80"/>
        <v>6</v>
      </c>
      <c r="BQ145" s="11">
        <f t="shared" si="81"/>
        <v>6</v>
      </c>
      <c r="BR145" s="11">
        <f t="shared" si="82"/>
        <v>6</v>
      </c>
      <c r="BS145" s="11">
        <f t="shared" si="83"/>
        <v>6</v>
      </c>
      <c r="BT145" s="11">
        <f t="shared" si="84"/>
        <v>7</v>
      </c>
      <c r="BU145" s="11">
        <f t="shared" si="85"/>
        <v>6</v>
      </c>
      <c r="BV145" s="11">
        <f t="shared" si="86"/>
        <v>6</v>
      </c>
      <c r="BW145" s="11">
        <f t="shared" si="87"/>
        <v>6</v>
      </c>
      <c r="BX145" s="11">
        <f t="shared" si="88"/>
        <v>6</v>
      </c>
      <c r="BY145" s="35">
        <f t="shared" si="89"/>
        <v>1883.8695652173913</v>
      </c>
      <c r="BZ145" s="35">
        <f t="shared" si="90"/>
        <v>2135.1666666666665</v>
      </c>
      <c r="CA145" s="35">
        <f t="shared" si="91"/>
        <v>1415.8571428571429</v>
      </c>
      <c r="CB145" s="35">
        <f t="shared" si="92"/>
        <v>1210</v>
      </c>
      <c r="CC145" s="35">
        <f t="shared" si="93"/>
        <v>2206.8636363636365</v>
      </c>
      <c r="CD145" s="35">
        <f t="shared" si="94"/>
        <v>1904.0526315789473</v>
      </c>
      <c r="CE145" s="35">
        <f t="shared" si="95"/>
        <v>1210</v>
      </c>
      <c r="CF145" s="35">
        <f t="shared" si="96"/>
        <v>2294.5789473684213</v>
      </c>
      <c r="CG145" s="35">
        <f t="shared" si="97"/>
        <v>1803.9583333333333</v>
      </c>
      <c r="CH145" s="35">
        <f t="shared" si="98"/>
        <v>1952.125</v>
      </c>
      <c r="CI145" s="28">
        <f t="shared" si="99"/>
        <v>1801.6471923385539</v>
      </c>
      <c r="CJ145" s="35">
        <f t="shared" si="100"/>
        <v>-32.64719233855385</v>
      </c>
      <c r="CK145" s="35">
        <f t="shared" si="101"/>
        <v>32.64719233855385</v>
      </c>
      <c r="CL145" s="35">
        <f t="shared" si="102"/>
        <v>1065.8391675905293</v>
      </c>
      <c r="CM145" s="35">
        <f t="shared" si="103"/>
        <v>12408.436627949441</v>
      </c>
    </row>
    <row r="146" spans="1:91" x14ac:dyDescent="0.3">
      <c r="A146" s="4" t="str">
        <f>DATASETS!A68</f>
        <v>R-6 MAGSAYSAY / AURORA BLVD.</v>
      </c>
      <c r="B146" s="4" t="str">
        <f>DATASETS!E68</f>
        <v>Training</v>
      </c>
      <c r="C146" s="9">
        <f>DATASETS!C68</f>
        <v>108595</v>
      </c>
      <c r="D146" s="4">
        <f>DATASETS!B68</f>
        <v>2018</v>
      </c>
      <c r="E146" s="6">
        <f>DATASETS!I68</f>
        <v>1769</v>
      </c>
      <c r="F146" s="9">
        <f>DATASETS!H68</f>
        <v>85</v>
      </c>
      <c r="G146" s="11">
        <f t="shared" si="105"/>
        <v>0</v>
      </c>
      <c r="H146" s="11">
        <f t="shared" si="105"/>
        <v>0</v>
      </c>
      <c r="I146" s="11">
        <f t="shared" si="105"/>
        <v>0</v>
      </c>
      <c r="J146" s="11">
        <f t="shared" si="105"/>
        <v>0</v>
      </c>
      <c r="K146" s="11">
        <f t="shared" si="105"/>
        <v>0</v>
      </c>
      <c r="L146" s="11">
        <f t="shared" si="105"/>
        <v>0</v>
      </c>
      <c r="M146" s="11">
        <f t="shared" si="105"/>
        <v>1</v>
      </c>
      <c r="N146" s="11">
        <f t="shared" si="105"/>
        <v>0</v>
      </c>
      <c r="O146" s="11">
        <f t="shared" si="105"/>
        <v>0</v>
      </c>
      <c r="P146" s="11">
        <f t="shared" si="105"/>
        <v>0</v>
      </c>
      <c r="Q146" s="11">
        <f t="shared" si="105"/>
        <v>0</v>
      </c>
      <c r="R146" s="11">
        <f t="shared" si="105"/>
        <v>0</v>
      </c>
      <c r="S146" s="11">
        <f t="shared" si="105"/>
        <v>0</v>
      </c>
      <c r="T146" s="6">
        <f>DATASETS!D68</f>
        <v>2068</v>
      </c>
      <c r="U146" s="37">
        <v>2</v>
      </c>
      <c r="V146" s="37">
        <v>2</v>
      </c>
      <c r="W146" s="37">
        <v>2</v>
      </c>
      <c r="X146" s="37">
        <v>0</v>
      </c>
      <c r="Y146" s="37">
        <v>1</v>
      </c>
      <c r="Z146" s="37">
        <v>0</v>
      </c>
      <c r="AA146" s="37">
        <v>0</v>
      </c>
      <c r="AB146" s="37">
        <v>2</v>
      </c>
      <c r="AC146" s="37">
        <v>2</v>
      </c>
      <c r="AD146" s="37">
        <v>2</v>
      </c>
      <c r="AE146" s="11">
        <f t="shared" si="54"/>
        <v>4</v>
      </c>
      <c r="AF146" s="11">
        <f t="shared" si="55"/>
        <v>3</v>
      </c>
      <c r="AG146" s="11">
        <f t="shared" si="56"/>
        <v>4</v>
      </c>
      <c r="AH146" s="11">
        <f t="shared" si="57"/>
        <v>3</v>
      </c>
      <c r="AI146" s="11">
        <f t="shared" si="58"/>
        <v>4</v>
      </c>
      <c r="AJ146" s="11">
        <f t="shared" si="59"/>
        <v>4</v>
      </c>
      <c r="AK146" s="11">
        <f t="shared" si="60"/>
        <v>4</v>
      </c>
      <c r="AL146" s="11">
        <f t="shared" si="61"/>
        <v>4</v>
      </c>
      <c r="AM146" s="11">
        <f t="shared" si="62"/>
        <v>4</v>
      </c>
      <c r="AN146" s="11">
        <f t="shared" si="63"/>
        <v>3</v>
      </c>
      <c r="AO146" s="35">
        <f t="shared" si="64"/>
        <v>920.9375</v>
      </c>
      <c r="AP146" s="35">
        <f t="shared" si="65"/>
        <v>879.5</v>
      </c>
      <c r="AQ146" s="35">
        <f t="shared" si="66"/>
        <v>800.71794871794873</v>
      </c>
      <c r="AR146" s="35">
        <f t="shared" si="67"/>
        <v>668.6</v>
      </c>
      <c r="AS146" s="35">
        <f t="shared" si="68"/>
        <v>938.71428571428567</v>
      </c>
      <c r="AT146" s="35">
        <f t="shared" si="69"/>
        <v>516.90476190476193</v>
      </c>
      <c r="AU146" s="35">
        <f t="shared" si="70"/>
        <v>763.24242424242425</v>
      </c>
      <c r="AV146" s="35">
        <f t="shared" si="71"/>
        <v>986.22580645161293</v>
      </c>
      <c r="AW146" s="35">
        <f t="shared" si="72"/>
        <v>838.3125</v>
      </c>
      <c r="AX146" s="35">
        <f t="shared" si="73"/>
        <v>889.97222222222217</v>
      </c>
      <c r="AY146" s="28">
        <f t="shared" si="74"/>
        <v>820.31274492532543</v>
      </c>
      <c r="AZ146" s="35">
        <f t="shared" si="75"/>
        <v>1247.6872550746746</v>
      </c>
      <c r="BA146" s="35">
        <f t="shared" si="76"/>
        <v>1247.6872550746746</v>
      </c>
      <c r="BB146" s="35">
        <f t="shared" si="77"/>
        <v>1556723.4864757759</v>
      </c>
      <c r="BC146" s="35">
        <f t="shared" si="78"/>
        <v>35196.325516838355</v>
      </c>
      <c r="BE146" s="37">
        <v>2</v>
      </c>
      <c r="BF146" s="37">
        <v>2</v>
      </c>
      <c r="BG146" s="37">
        <v>2</v>
      </c>
      <c r="BH146" s="37">
        <v>0</v>
      </c>
      <c r="BI146" s="37">
        <v>1</v>
      </c>
      <c r="BJ146" s="37">
        <v>0</v>
      </c>
      <c r="BK146" s="37">
        <v>0</v>
      </c>
      <c r="BL146" s="37">
        <v>2</v>
      </c>
      <c r="BM146" s="37">
        <v>2</v>
      </c>
      <c r="BN146" s="37">
        <v>2</v>
      </c>
      <c r="BO146" s="11">
        <f t="shared" si="79"/>
        <v>6</v>
      </c>
      <c r="BP146" s="11">
        <f t="shared" si="80"/>
        <v>6</v>
      </c>
      <c r="BQ146" s="11">
        <f t="shared" si="81"/>
        <v>6</v>
      </c>
      <c r="BR146" s="11">
        <f t="shared" si="82"/>
        <v>6</v>
      </c>
      <c r="BS146" s="11">
        <f t="shared" si="83"/>
        <v>6</v>
      </c>
      <c r="BT146" s="11">
        <f t="shared" si="84"/>
        <v>7</v>
      </c>
      <c r="BU146" s="11">
        <f t="shared" si="85"/>
        <v>6</v>
      </c>
      <c r="BV146" s="11">
        <f t="shared" si="86"/>
        <v>6</v>
      </c>
      <c r="BW146" s="11">
        <f t="shared" si="87"/>
        <v>6</v>
      </c>
      <c r="BX146" s="11">
        <f t="shared" si="88"/>
        <v>6</v>
      </c>
      <c r="BY146" s="35">
        <f t="shared" si="89"/>
        <v>1883.8695652173913</v>
      </c>
      <c r="BZ146" s="35">
        <f t="shared" si="90"/>
        <v>2135.1666666666665</v>
      </c>
      <c r="CA146" s="35">
        <f t="shared" si="91"/>
        <v>1415.8571428571429</v>
      </c>
      <c r="CB146" s="35">
        <f t="shared" si="92"/>
        <v>1210</v>
      </c>
      <c r="CC146" s="35">
        <f t="shared" si="93"/>
        <v>2206.8636363636365</v>
      </c>
      <c r="CD146" s="35">
        <f t="shared" si="94"/>
        <v>1904.0526315789473</v>
      </c>
      <c r="CE146" s="35">
        <f t="shared" si="95"/>
        <v>1210</v>
      </c>
      <c r="CF146" s="35">
        <f t="shared" si="96"/>
        <v>2294.5789473684213</v>
      </c>
      <c r="CG146" s="35">
        <f t="shared" si="97"/>
        <v>1803.9583333333333</v>
      </c>
      <c r="CH146" s="35">
        <f t="shared" si="98"/>
        <v>1952.125</v>
      </c>
      <c r="CI146" s="28">
        <f t="shared" si="99"/>
        <v>1801.6471923385539</v>
      </c>
      <c r="CJ146" s="35">
        <f t="shared" si="100"/>
        <v>266.35280766144615</v>
      </c>
      <c r="CK146" s="35">
        <f t="shared" si="101"/>
        <v>266.35280766144615</v>
      </c>
      <c r="CL146" s="35">
        <f t="shared" si="102"/>
        <v>70943.818149135332</v>
      </c>
      <c r="CM146" s="35">
        <f t="shared" si="103"/>
        <v>35196.325516838355</v>
      </c>
    </row>
    <row r="147" spans="1:91" x14ac:dyDescent="0.3">
      <c r="A147" s="4" t="str">
        <f>DATASETS!A69</f>
        <v>R-6 MAGSAYSAY / AURORA BLVD.</v>
      </c>
      <c r="B147" s="4" t="str">
        <f>DATASETS!E69</f>
        <v>Training</v>
      </c>
      <c r="C147" s="9">
        <f>DATASETS!C69</f>
        <v>120102.5</v>
      </c>
      <c r="D147" s="4">
        <f>DATASETS!B69</f>
        <v>2019</v>
      </c>
      <c r="E147" s="6">
        <f>DATASETS!I69</f>
        <v>2068</v>
      </c>
      <c r="F147" s="9">
        <f>DATASETS!H69</f>
        <v>85</v>
      </c>
      <c r="G147" s="11">
        <f t="shared" si="105"/>
        <v>0</v>
      </c>
      <c r="H147" s="11">
        <f t="shared" si="105"/>
        <v>0</v>
      </c>
      <c r="I147" s="11">
        <f t="shared" si="105"/>
        <v>0</v>
      </c>
      <c r="J147" s="11">
        <f t="shared" si="105"/>
        <v>0</v>
      </c>
      <c r="K147" s="11">
        <f t="shared" si="105"/>
        <v>0</v>
      </c>
      <c r="L147" s="11">
        <f t="shared" si="105"/>
        <v>0</v>
      </c>
      <c r="M147" s="11">
        <f t="shared" si="105"/>
        <v>1</v>
      </c>
      <c r="N147" s="11">
        <f t="shared" si="105"/>
        <v>0</v>
      </c>
      <c r="O147" s="11">
        <f t="shared" si="105"/>
        <v>0</v>
      </c>
      <c r="P147" s="11">
        <f t="shared" si="105"/>
        <v>0</v>
      </c>
      <c r="Q147" s="11">
        <f t="shared" si="105"/>
        <v>0</v>
      </c>
      <c r="R147" s="11">
        <f t="shared" si="105"/>
        <v>0</v>
      </c>
      <c r="S147" s="11">
        <f t="shared" si="105"/>
        <v>0</v>
      </c>
      <c r="T147" s="6">
        <f>DATASETS!D69</f>
        <v>2404</v>
      </c>
      <c r="U147" s="37">
        <v>0</v>
      </c>
      <c r="V147" s="37">
        <v>1</v>
      </c>
      <c r="W147" s="37">
        <v>0</v>
      </c>
      <c r="X147" s="37">
        <v>1</v>
      </c>
      <c r="Y147" s="37">
        <v>3</v>
      </c>
      <c r="Z147" s="37">
        <v>0</v>
      </c>
      <c r="AA147" s="37">
        <v>2</v>
      </c>
      <c r="AB147" s="37">
        <v>2</v>
      </c>
      <c r="AC147" s="37">
        <v>1</v>
      </c>
      <c r="AD147" s="37">
        <v>0</v>
      </c>
      <c r="AE147" s="11">
        <f t="shared" si="54"/>
        <v>4</v>
      </c>
      <c r="AF147" s="11">
        <f t="shared" si="55"/>
        <v>3</v>
      </c>
      <c r="AG147" s="11">
        <f t="shared" si="56"/>
        <v>4</v>
      </c>
      <c r="AH147" s="11">
        <f t="shared" si="57"/>
        <v>4</v>
      </c>
      <c r="AI147" s="11">
        <f t="shared" si="58"/>
        <v>6</v>
      </c>
      <c r="AJ147" s="11">
        <f t="shared" si="59"/>
        <v>4</v>
      </c>
      <c r="AK147" s="11">
        <f t="shared" si="60"/>
        <v>6</v>
      </c>
      <c r="AL147" s="11">
        <f t="shared" si="61"/>
        <v>4</v>
      </c>
      <c r="AM147" s="11">
        <f t="shared" si="62"/>
        <v>4</v>
      </c>
      <c r="AN147" s="11">
        <f t="shared" si="63"/>
        <v>4</v>
      </c>
      <c r="AO147" s="35">
        <f t="shared" si="64"/>
        <v>920.9375</v>
      </c>
      <c r="AP147" s="35">
        <f t="shared" si="65"/>
        <v>879.5</v>
      </c>
      <c r="AQ147" s="35">
        <f t="shared" si="66"/>
        <v>800.71794871794873</v>
      </c>
      <c r="AR147" s="35">
        <f t="shared" si="67"/>
        <v>1087.8888888888889</v>
      </c>
      <c r="AS147" s="35">
        <f t="shared" si="68"/>
        <v>1491.3571428571429</v>
      </c>
      <c r="AT147" s="35">
        <f t="shared" si="69"/>
        <v>516.90476190476193</v>
      </c>
      <c r="AU147" s="35">
        <f t="shared" si="70"/>
        <v>1434.4848484848485</v>
      </c>
      <c r="AV147" s="35">
        <f t="shared" si="71"/>
        <v>986.22580645161293</v>
      </c>
      <c r="AW147" s="35">
        <f t="shared" si="72"/>
        <v>838.3125</v>
      </c>
      <c r="AX147" s="35">
        <f t="shared" si="73"/>
        <v>556.0625</v>
      </c>
      <c r="AY147" s="28">
        <f t="shared" si="74"/>
        <v>951.23918973052025</v>
      </c>
      <c r="AZ147" s="35">
        <f t="shared" si="75"/>
        <v>1452.7608102694799</v>
      </c>
      <c r="BA147" s="35">
        <f t="shared" si="76"/>
        <v>1452.7608102694799</v>
      </c>
      <c r="BB147" s="35">
        <f t="shared" si="77"/>
        <v>2110513.9718548357</v>
      </c>
      <c r="BC147" s="35">
        <f t="shared" si="78"/>
        <v>274164.12038863322</v>
      </c>
      <c r="BE147" s="37">
        <v>0</v>
      </c>
      <c r="BF147" s="37">
        <v>1</v>
      </c>
      <c r="BG147" s="37">
        <v>0</v>
      </c>
      <c r="BH147" s="37">
        <v>1</v>
      </c>
      <c r="BI147" s="37">
        <v>3</v>
      </c>
      <c r="BJ147" s="37">
        <v>0</v>
      </c>
      <c r="BK147" s="37">
        <v>2</v>
      </c>
      <c r="BL147" s="37">
        <v>2</v>
      </c>
      <c r="BM147" s="37">
        <v>1</v>
      </c>
      <c r="BN147" s="37">
        <v>0</v>
      </c>
      <c r="BO147" s="11">
        <f t="shared" si="79"/>
        <v>6</v>
      </c>
      <c r="BP147" s="11">
        <f t="shared" si="80"/>
        <v>6</v>
      </c>
      <c r="BQ147" s="11">
        <f t="shared" si="81"/>
        <v>6</v>
      </c>
      <c r="BR147" s="11">
        <f t="shared" si="82"/>
        <v>7</v>
      </c>
      <c r="BS147" s="11">
        <f t="shared" si="83"/>
        <v>6</v>
      </c>
      <c r="BT147" s="11">
        <f t="shared" si="84"/>
        <v>7</v>
      </c>
      <c r="BU147" s="11">
        <f t="shared" si="85"/>
        <v>7</v>
      </c>
      <c r="BV147" s="11">
        <f t="shared" si="86"/>
        <v>6</v>
      </c>
      <c r="BW147" s="11">
        <f t="shared" si="87"/>
        <v>6</v>
      </c>
      <c r="BX147" s="11">
        <f t="shared" si="88"/>
        <v>6</v>
      </c>
      <c r="BY147" s="35">
        <f t="shared" si="89"/>
        <v>1883.8695652173913</v>
      </c>
      <c r="BZ147" s="35">
        <f t="shared" si="90"/>
        <v>2135.1666666666665</v>
      </c>
      <c r="CA147" s="35">
        <f t="shared" si="91"/>
        <v>1415.8571428571429</v>
      </c>
      <c r="CB147" s="35">
        <f t="shared" si="92"/>
        <v>2239.9655172413795</v>
      </c>
      <c r="CC147" s="35">
        <f t="shared" si="93"/>
        <v>2206.8636363636365</v>
      </c>
      <c r="CD147" s="35">
        <f t="shared" si="94"/>
        <v>1904.0526315789473</v>
      </c>
      <c r="CE147" s="35">
        <f t="shared" si="95"/>
        <v>2134.6666666666665</v>
      </c>
      <c r="CF147" s="35">
        <f t="shared" si="96"/>
        <v>2294.5789473684213</v>
      </c>
      <c r="CG147" s="35">
        <f t="shared" si="97"/>
        <v>1803.9583333333333</v>
      </c>
      <c r="CH147" s="35">
        <f t="shared" si="98"/>
        <v>1952.125</v>
      </c>
      <c r="CI147" s="28">
        <f t="shared" si="99"/>
        <v>1997.1104107293584</v>
      </c>
      <c r="CJ147" s="35">
        <f t="shared" si="100"/>
        <v>406.88958927064164</v>
      </c>
      <c r="CK147" s="35">
        <f t="shared" si="101"/>
        <v>406.88958927064164</v>
      </c>
      <c r="CL147" s="35">
        <f t="shared" si="102"/>
        <v>165559.13785683145</v>
      </c>
      <c r="CM147" s="35">
        <f t="shared" si="103"/>
        <v>274164.12038863322</v>
      </c>
    </row>
    <row r="148" spans="1:91" x14ac:dyDescent="0.3">
      <c r="A148" s="4" t="str">
        <f>DATASETS!A70</f>
        <v>R-6 MAGSAYSAY / AURORA BLVD.</v>
      </c>
      <c r="B148" s="4" t="str">
        <f>DATASETS!E70</f>
        <v>Training</v>
      </c>
      <c r="C148" s="9">
        <f>DATASETS!C70</f>
        <v>112368</v>
      </c>
      <c r="D148" s="4">
        <f>DATASETS!B70</f>
        <v>2020</v>
      </c>
      <c r="E148" s="6">
        <f>DATASETS!I70</f>
        <v>2404</v>
      </c>
      <c r="F148" s="9">
        <f>DATASETS!H70</f>
        <v>85</v>
      </c>
      <c r="G148" s="11">
        <f t="shared" si="105"/>
        <v>0</v>
      </c>
      <c r="H148" s="11">
        <f t="shared" si="105"/>
        <v>0</v>
      </c>
      <c r="I148" s="11">
        <f t="shared" si="105"/>
        <v>0</v>
      </c>
      <c r="J148" s="11">
        <f t="shared" si="105"/>
        <v>0</v>
      </c>
      <c r="K148" s="11">
        <f t="shared" si="105"/>
        <v>0</v>
      </c>
      <c r="L148" s="11">
        <f t="shared" si="105"/>
        <v>0</v>
      </c>
      <c r="M148" s="11">
        <f t="shared" si="105"/>
        <v>1</v>
      </c>
      <c r="N148" s="11">
        <f t="shared" si="105"/>
        <v>0</v>
      </c>
      <c r="O148" s="11">
        <f t="shared" si="105"/>
        <v>0</v>
      </c>
      <c r="P148" s="11">
        <f t="shared" si="105"/>
        <v>0</v>
      </c>
      <c r="Q148" s="11">
        <f t="shared" si="105"/>
        <v>0</v>
      </c>
      <c r="R148" s="11">
        <f t="shared" si="105"/>
        <v>0</v>
      </c>
      <c r="S148" s="11">
        <f t="shared" si="105"/>
        <v>0</v>
      </c>
      <c r="T148" s="6">
        <f>DATASETS!D70</f>
        <v>154</v>
      </c>
      <c r="U148" s="37">
        <v>0</v>
      </c>
      <c r="V148" s="37">
        <v>2</v>
      </c>
      <c r="W148" s="37">
        <v>1</v>
      </c>
      <c r="X148" s="37">
        <v>1</v>
      </c>
      <c r="Y148" s="37">
        <v>2</v>
      </c>
      <c r="Z148" s="37">
        <v>2</v>
      </c>
      <c r="AA148" s="37">
        <v>1</v>
      </c>
      <c r="AB148" s="37">
        <v>0</v>
      </c>
      <c r="AC148" s="37">
        <v>1</v>
      </c>
      <c r="AD148" s="37">
        <v>3</v>
      </c>
      <c r="AE148" s="11">
        <f t="shared" si="54"/>
        <v>4</v>
      </c>
      <c r="AF148" s="11">
        <f t="shared" si="55"/>
        <v>3</v>
      </c>
      <c r="AG148" s="11">
        <f t="shared" si="56"/>
        <v>4</v>
      </c>
      <c r="AH148" s="11">
        <f t="shared" si="57"/>
        <v>3</v>
      </c>
      <c r="AI148" s="11">
        <f t="shared" si="58"/>
        <v>4</v>
      </c>
      <c r="AJ148" s="11">
        <f t="shared" si="59"/>
        <v>4</v>
      </c>
      <c r="AK148" s="11">
        <f t="shared" si="60"/>
        <v>4</v>
      </c>
      <c r="AL148" s="11">
        <f t="shared" si="61"/>
        <v>4</v>
      </c>
      <c r="AM148" s="11">
        <f t="shared" si="62"/>
        <v>4</v>
      </c>
      <c r="AN148" s="11">
        <f t="shared" si="63"/>
        <v>4</v>
      </c>
      <c r="AO148" s="35">
        <f t="shared" si="64"/>
        <v>920.9375</v>
      </c>
      <c r="AP148" s="35">
        <f t="shared" si="65"/>
        <v>879.5</v>
      </c>
      <c r="AQ148" s="35">
        <f t="shared" si="66"/>
        <v>800.71794871794873</v>
      </c>
      <c r="AR148" s="35">
        <f t="shared" si="67"/>
        <v>668.6</v>
      </c>
      <c r="AS148" s="35">
        <f t="shared" si="68"/>
        <v>938.71428571428567</v>
      </c>
      <c r="AT148" s="35">
        <f t="shared" si="69"/>
        <v>516.90476190476193</v>
      </c>
      <c r="AU148" s="35">
        <f t="shared" si="70"/>
        <v>763.24242424242425</v>
      </c>
      <c r="AV148" s="35">
        <f t="shared" si="71"/>
        <v>986.22580645161293</v>
      </c>
      <c r="AW148" s="35">
        <f t="shared" si="72"/>
        <v>838.3125</v>
      </c>
      <c r="AX148" s="35">
        <f t="shared" si="73"/>
        <v>556.0625</v>
      </c>
      <c r="AY148" s="28">
        <f t="shared" si="74"/>
        <v>786.92177270310322</v>
      </c>
      <c r="AZ148" s="35">
        <f t="shared" si="75"/>
        <v>-632.92177270310322</v>
      </c>
      <c r="BA148" s="35">
        <f t="shared" si="76"/>
        <v>632.92177270310322</v>
      </c>
      <c r="BB148" s="35">
        <f t="shared" si="77"/>
        <v>400589.97036163864</v>
      </c>
      <c r="BC148" s="35">
        <f t="shared" si="78"/>
        <v>2980433.3511578636</v>
      </c>
      <c r="BE148" s="37">
        <v>0</v>
      </c>
      <c r="BF148" s="37">
        <v>2</v>
      </c>
      <c r="BG148" s="37">
        <v>1</v>
      </c>
      <c r="BH148" s="37">
        <v>1</v>
      </c>
      <c r="BI148" s="37">
        <v>2</v>
      </c>
      <c r="BJ148" s="37">
        <v>2</v>
      </c>
      <c r="BK148" s="37">
        <v>1</v>
      </c>
      <c r="BL148" s="37">
        <v>0</v>
      </c>
      <c r="BM148" s="37">
        <v>1</v>
      </c>
      <c r="BN148" s="37">
        <v>3</v>
      </c>
      <c r="BO148" s="11">
        <f t="shared" si="79"/>
        <v>6</v>
      </c>
      <c r="BP148" s="11">
        <f t="shared" si="80"/>
        <v>7</v>
      </c>
      <c r="BQ148" s="11">
        <f t="shared" si="81"/>
        <v>6</v>
      </c>
      <c r="BR148" s="11">
        <f t="shared" si="82"/>
        <v>6</v>
      </c>
      <c r="BS148" s="11">
        <f t="shared" si="83"/>
        <v>7</v>
      </c>
      <c r="BT148" s="11">
        <f t="shared" si="84"/>
        <v>7</v>
      </c>
      <c r="BU148" s="11">
        <f t="shared" si="85"/>
        <v>6</v>
      </c>
      <c r="BV148" s="11">
        <f t="shared" si="86"/>
        <v>7</v>
      </c>
      <c r="BW148" s="11">
        <f t="shared" si="87"/>
        <v>6</v>
      </c>
      <c r="BX148" s="11">
        <f t="shared" si="88"/>
        <v>6</v>
      </c>
      <c r="BY148" s="35">
        <f t="shared" si="89"/>
        <v>1883.8695652173913</v>
      </c>
      <c r="BZ148" s="35">
        <f t="shared" si="90"/>
        <v>1290.3333333333333</v>
      </c>
      <c r="CA148" s="35">
        <f t="shared" si="91"/>
        <v>1415.8571428571429</v>
      </c>
      <c r="CB148" s="35">
        <f t="shared" si="92"/>
        <v>1210</v>
      </c>
      <c r="CC148" s="35">
        <f t="shared" si="93"/>
        <v>1353.2222222222222</v>
      </c>
      <c r="CD148" s="35">
        <f t="shared" si="94"/>
        <v>1904.0526315789473</v>
      </c>
      <c r="CE148" s="35">
        <f t="shared" si="95"/>
        <v>1210</v>
      </c>
      <c r="CF148" s="35">
        <f t="shared" si="96"/>
        <v>1805.125</v>
      </c>
      <c r="CG148" s="35">
        <f t="shared" si="97"/>
        <v>1803.9583333333333</v>
      </c>
      <c r="CH148" s="35">
        <f t="shared" si="98"/>
        <v>1952.125</v>
      </c>
      <c r="CI148" s="28">
        <f t="shared" si="99"/>
        <v>1582.8543228542371</v>
      </c>
      <c r="CJ148" s="35">
        <f t="shared" si="100"/>
        <v>-1428.8543228542371</v>
      </c>
      <c r="CK148" s="35">
        <f t="shared" si="101"/>
        <v>1428.8543228542371</v>
      </c>
      <c r="CL148" s="35">
        <f t="shared" si="102"/>
        <v>2041624.6759392405</v>
      </c>
      <c r="CM148" s="35">
        <f t="shared" si="103"/>
        <v>2980433.3511578636</v>
      </c>
    </row>
    <row r="149" spans="1:91" x14ac:dyDescent="0.3">
      <c r="A149" s="4" t="str">
        <f>DATASETS!A71</f>
        <v>R-6 MAGSAYSAY / AURORA BLVD.</v>
      </c>
      <c r="B149" s="4" t="str">
        <f>DATASETS!E71</f>
        <v>Training</v>
      </c>
      <c r="C149" s="9">
        <f>DATASETS!C71</f>
        <v>120372.5</v>
      </c>
      <c r="D149" s="4">
        <f>DATASETS!B71</f>
        <v>2021</v>
      </c>
      <c r="E149" s="6">
        <f>DATASETS!I71</f>
        <v>154</v>
      </c>
      <c r="F149" s="9">
        <f>DATASETS!H71</f>
        <v>85</v>
      </c>
      <c r="G149" s="11">
        <f t="shared" si="105"/>
        <v>0</v>
      </c>
      <c r="H149" s="11">
        <f t="shared" si="105"/>
        <v>0</v>
      </c>
      <c r="I149" s="11">
        <f t="shared" si="105"/>
        <v>0</v>
      </c>
      <c r="J149" s="11">
        <f t="shared" si="105"/>
        <v>0</v>
      </c>
      <c r="K149" s="11">
        <f t="shared" si="105"/>
        <v>0</v>
      </c>
      <c r="L149" s="11">
        <f t="shared" si="105"/>
        <v>0</v>
      </c>
      <c r="M149" s="11">
        <f t="shared" si="105"/>
        <v>1</v>
      </c>
      <c r="N149" s="11">
        <f t="shared" si="105"/>
        <v>0</v>
      </c>
      <c r="O149" s="11">
        <f t="shared" si="105"/>
        <v>0</v>
      </c>
      <c r="P149" s="11">
        <f t="shared" si="105"/>
        <v>0</v>
      </c>
      <c r="Q149" s="11">
        <f t="shared" si="105"/>
        <v>0</v>
      </c>
      <c r="R149" s="11">
        <f t="shared" si="105"/>
        <v>0</v>
      </c>
      <c r="S149" s="11">
        <f t="shared" si="105"/>
        <v>0</v>
      </c>
      <c r="T149" s="6">
        <f>DATASETS!D71</f>
        <v>1362</v>
      </c>
      <c r="U149" s="37">
        <v>2</v>
      </c>
      <c r="V149" s="37">
        <v>2</v>
      </c>
      <c r="W149" s="37">
        <v>1</v>
      </c>
      <c r="X149" s="37">
        <v>0</v>
      </c>
      <c r="Y149" s="37">
        <v>0</v>
      </c>
      <c r="Z149" s="37">
        <v>1</v>
      </c>
      <c r="AA149" s="37">
        <v>2</v>
      </c>
      <c r="AB149" s="37">
        <v>0</v>
      </c>
      <c r="AC149" s="37">
        <v>0</v>
      </c>
      <c r="AD149" s="37">
        <v>0</v>
      </c>
      <c r="AE149" s="11">
        <f t="shared" si="54"/>
        <v>4</v>
      </c>
      <c r="AF149" s="11">
        <f t="shared" si="55"/>
        <v>3</v>
      </c>
      <c r="AG149" s="11">
        <f t="shared" si="56"/>
        <v>4</v>
      </c>
      <c r="AH149" s="11">
        <f t="shared" si="57"/>
        <v>4</v>
      </c>
      <c r="AI149" s="11">
        <f t="shared" si="58"/>
        <v>6</v>
      </c>
      <c r="AJ149" s="11">
        <f t="shared" si="59"/>
        <v>4</v>
      </c>
      <c r="AK149" s="11">
        <f t="shared" si="60"/>
        <v>6</v>
      </c>
      <c r="AL149" s="11">
        <f t="shared" si="61"/>
        <v>4</v>
      </c>
      <c r="AM149" s="11">
        <f t="shared" si="62"/>
        <v>4</v>
      </c>
      <c r="AN149" s="11">
        <f t="shared" si="63"/>
        <v>4</v>
      </c>
      <c r="AO149" s="35">
        <f t="shared" si="64"/>
        <v>920.9375</v>
      </c>
      <c r="AP149" s="35">
        <f t="shared" si="65"/>
        <v>879.5</v>
      </c>
      <c r="AQ149" s="35">
        <f t="shared" si="66"/>
        <v>800.71794871794873</v>
      </c>
      <c r="AR149" s="35">
        <f t="shared" si="67"/>
        <v>1087.8888888888889</v>
      </c>
      <c r="AS149" s="35">
        <f t="shared" si="68"/>
        <v>1491.3571428571429</v>
      </c>
      <c r="AT149" s="35">
        <f t="shared" si="69"/>
        <v>516.90476190476193</v>
      </c>
      <c r="AU149" s="35">
        <f t="shared" si="70"/>
        <v>1434.4848484848485</v>
      </c>
      <c r="AV149" s="35">
        <f t="shared" si="71"/>
        <v>986.22580645161293</v>
      </c>
      <c r="AW149" s="35">
        <f t="shared" si="72"/>
        <v>838.3125</v>
      </c>
      <c r="AX149" s="35">
        <f t="shared" si="73"/>
        <v>556.0625</v>
      </c>
      <c r="AY149" s="28">
        <f t="shared" si="74"/>
        <v>951.23918973052025</v>
      </c>
      <c r="AZ149" s="35">
        <f t="shared" si="75"/>
        <v>410.76081026947975</v>
      </c>
      <c r="BA149" s="35">
        <f t="shared" si="76"/>
        <v>410.76081026947975</v>
      </c>
      <c r="BB149" s="35">
        <f t="shared" si="77"/>
        <v>168724.44325323953</v>
      </c>
      <c r="BC149" s="35">
        <f t="shared" si="78"/>
        <v>268731.4708159836</v>
      </c>
      <c r="BE149" s="37">
        <v>2</v>
      </c>
      <c r="BF149" s="37">
        <v>2</v>
      </c>
      <c r="BG149" s="37">
        <v>1</v>
      </c>
      <c r="BH149" s="37">
        <v>0</v>
      </c>
      <c r="BI149" s="37">
        <v>0</v>
      </c>
      <c r="BJ149" s="37">
        <v>1</v>
      </c>
      <c r="BK149" s="37">
        <v>2</v>
      </c>
      <c r="BL149" s="37">
        <v>0</v>
      </c>
      <c r="BM149" s="37">
        <v>0</v>
      </c>
      <c r="BN149" s="37">
        <v>0</v>
      </c>
      <c r="BO149" s="11">
        <f t="shared" si="79"/>
        <v>3</v>
      </c>
      <c r="BP149" s="11">
        <f t="shared" si="80"/>
        <v>3</v>
      </c>
      <c r="BQ149" s="11">
        <f t="shared" si="81"/>
        <v>3</v>
      </c>
      <c r="BR149" s="11">
        <f t="shared" si="82"/>
        <v>3</v>
      </c>
      <c r="BS149" s="11">
        <f t="shared" si="83"/>
        <v>3</v>
      </c>
      <c r="BT149" s="11">
        <f t="shared" si="84"/>
        <v>3</v>
      </c>
      <c r="BU149" s="11">
        <f t="shared" si="85"/>
        <v>4</v>
      </c>
      <c r="BV149" s="11">
        <f t="shared" si="86"/>
        <v>3</v>
      </c>
      <c r="BW149" s="11">
        <f t="shared" si="87"/>
        <v>3</v>
      </c>
      <c r="BX149" s="11">
        <f t="shared" si="88"/>
        <v>3</v>
      </c>
      <c r="BY149" s="35">
        <f t="shared" si="89"/>
        <v>526.31578947368416</v>
      </c>
      <c r="BZ149" s="35">
        <f t="shared" si="90"/>
        <v>549.21428571428567</v>
      </c>
      <c r="CA149" s="35">
        <f t="shared" si="91"/>
        <v>431.78571428571428</v>
      </c>
      <c r="CB149" s="35">
        <f t="shared" si="92"/>
        <v>468.77777777777777</v>
      </c>
      <c r="CC149" s="35">
        <f t="shared" si="93"/>
        <v>493.23809523809524</v>
      </c>
      <c r="CD149" s="35">
        <f t="shared" si="94"/>
        <v>501.72972972972974</v>
      </c>
      <c r="CE149" s="35">
        <f t="shared" si="95"/>
        <v>1656.8</v>
      </c>
      <c r="CF149" s="35">
        <f t="shared" si="96"/>
        <v>454.56</v>
      </c>
      <c r="CG149" s="35">
        <f t="shared" si="97"/>
        <v>490.4848484848485</v>
      </c>
      <c r="CH149" s="35">
        <f t="shared" si="98"/>
        <v>453.52</v>
      </c>
      <c r="CI149" s="28">
        <f t="shared" si="99"/>
        <v>602.64262407041372</v>
      </c>
      <c r="CJ149" s="35">
        <f t="shared" si="100"/>
        <v>759.35737592958628</v>
      </c>
      <c r="CK149" s="35">
        <f t="shared" si="101"/>
        <v>759.35737592958628</v>
      </c>
      <c r="CL149" s="35">
        <f t="shared" si="102"/>
        <v>576623.62437866698</v>
      </c>
      <c r="CM149" s="35">
        <f t="shared" si="103"/>
        <v>268731.4708159836</v>
      </c>
    </row>
    <row r="150" spans="1:91" x14ac:dyDescent="0.3">
      <c r="A150" s="4" t="str">
        <f>DATASETS!A72</f>
        <v>R-6 MAGSAYSAY / AURORA BLVD.</v>
      </c>
      <c r="B150" s="4" t="str">
        <f>DATASETS!E72</f>
        <v>Training</v>
      </c>
      <c r="C150" s="9">
        <f>DATASETS!C72</f>
        <v>124064.5</v>
      </c>
      <c r="D150" s="4">
        <f>DATASETS!B72</f>
        <v>2022</v>
      </c>
      <c r="E150" s="6">
        <f>DATASETS!I72</f>
        <v>1362</v>
      </c>
      <c r="F150" s="9">
        <f>DATASETS!H72</f>
        <v>85</v>
      </c>
      <c r="G150" s="11">
        <f t="shared" ref="G150:S159" si="106">IF($A150=G$88,1,0)</f>
        <v>0</v>
      </c>
      <c r="H150" s="11">
        <f t="shared" si="106"/>
        <v>0</v>
      </c>
      <c r="I150" s="11">
        <f t="shared" si="106"/>
        <v>0</v>
      </c>
      <c r="J150" s="11">
        <f t="shared" si="106"/>
        <v>0</v>
      </c>
      <c r="K150" s="11">
        <f t="shared" si="106"/>
        <v>0</v>
      </c>
      <c r="L150" s="11">
        <f t="shared" si="106"/>
        <v>0</v>
      </c>
      <c r="M150" s="11">
        <f t="shared" si="106"/>
        <v>1</v>
      </c>
      <c r="N150" s="11">
        <f t="shared" si="106"/>
        <v>0</v>
      </c>
      <c r="O150" s="11">
        <f t="shared" si="106"/>
        <v>0</v>
      </c>
      <c r="P150" s="11">
        <f t="shared" si="106"/>
        <v>0</v>
      </c>
      <c r="Q150" s="11">
        <f t="shared" si="106"/>
        <v>0</v>
      </c>
      <c r="R150" s="11">
        <f t="shared" si="106"/>
        <v>0</v>
      </c>
      <c r="S150" s="11">
        <f t="shared" si="106"/>
        <v>0</v>
      </c>
      <c r="T150" s="6">
        <f>DATASETS!D72</f>
        <v>1070</v>
      </c>
      <c r="U150" s="37">
        <v>1</v>
      </c>
      <c r="V150" s="37">
        <v>0</v>
      </c>
      <c r="W150" s="37">
        <v>1</v>
      </c>
      <c r="X150" s="37">
        <v>1</v>
      </c>
      <c r="Y150" s="37">
        <v>2</v>
      </c>
      <c r="Z150" s="37">
        <v>0</v>
      </c>
      <c r="AA150" s="37">
        <v>1</v>
      </c>
      <c r="AB150" s="37">
        <v>0</v>
      </c>
      <c r="AC150" s="37">
        <v>1</v>
      </c>
      <c r="AD150" s="37">
        <v>3</v>
      </c>
      <c r="AE150" s="11">
        <f t="shared" si="54"/>
        <v>4</v>
      </c>
      <c r="AF150" s="11">
        <f t="shared" si="55"/>
        <v>4</v>
      </c>
      <c r="AG150" s="11">
        <f t="shared" si="56"/>
        <v>4</v>
      </c>
      <c r="AH150" s="11">
        <f t="shared" si="57"/>
        <v>4</v>
      </c>
      <c r="AI150" s="11">
        <f t="shared" si="58"/>
        <v>6</v>
      </c>
      <c r="AJ150" s="11">
        <f t="shared" si="59"/>
        <v>4</v>
      </c>
      <c r="AK150" s="11">
        <f t="shared" si="60"/>
        <v>6</v>
      </c>
      <c r="AL150" s="11">
        <f t="shared" si="61"/>
        <v>4</v>
      </c>
      <c r="AM150" s="11">
        <f t="shared" si="62"/>
        <v>4</v>
      </c>
      <c r="AN150" s="11">
        <f t="shared" si="63"/>
        <v>4</v>
      </c>
      <c r="AO150" s="35">
        <f t="shared" si="64"/>
        <v>920.9375</v>
      </c>
      <c r="AP150" s="35">
        <f t="shared" si="65"/>
        <v>450</v>
      </c>
      <c r="AQ150" s="35">
        <f t="shared" si="66"/>
        <v>800.71794871794873</v>
      </c>
      <c r="AR150" s="35">
        <f t="shared" si="67"/>
        <v>1087.8888888888889</v>
      </c>
      <c r="AS150" s="35">
        <f t="shared" si="68"/>
        <v>1491.3571428571429</v>
      </c>
      <c r="AT150" s="35">
        <f t="shared" si="69"/>
        <v>516.90476190476193</v>
      </c>
      <c r="AU150" s="35">
        <f t="shared" si="70"/>
        <v>1434.4848484848485</v>
      </c>
      <c r="AV150" s="35">
        <f t="shared" si="71"/>
        <v>986.22580645161293</v>
      </c>
      <c r="AW150" s="35">
        <f t="shared" si="72"/>
        <v>838.3125</v>
      </c>
      <c r="AX150" s="35">
        <f t="shared" si="73"/>
        <v>556.0625</v>
      </c>
      <c r="AY150" s="28">
        <f t="shared" si="74"/>
        <v>908.28918973052021</v>
      </c>
      <c r="AZ150" s="35">
        <f t="shared" si="75"/>
        <v>161.71081026947979</v>
      </c>
      <c r="BA150" s="35">
        <f t="shared" si="76"/>
        <v>161.71081026947979</v>
      </c>
      <c r="BB150" s="35">
        <f t="shared" si="77"/>
        <v>26150.38615801169</v>
      </c>
      <c r="BC150" s="35">
        <f t="shared" si="78"/>
        <v>656737.07765359036</v>
      </c>
      <c r="BE150" s="37">
        <v>1</v>
      </c>
      <c r="BF150" s="37">
        <v>0</v>
      </c>
      <c r="BG150" s="37">
        <v>1</v>
      </c>
      <c r="BH150" s="37">
        <v>1</v>
      </c>
      <c r="BI150" s="37">
        <v>2</v>
      </c>
      <c r="BJ150" s="37">
        <v>0</v>
      </c>
      <c r="BK150" s="37">
        <v>1</v>
      </c>
      <c r="BL150" s="37">
        <v>0</v>
      </c>
      <c r="BM150" s="37">
        <v>1</v>
      </c>
      <c r="BN150" s="37">
        <v>3</v>
      </c>
      <c r="BO150" s="11">
        <f t="shared" si="79"/>
        <v>6</v>
      </c>
      <c r="BP150" s="11">
        <f t="shared" si="80"/>
        <v>7</v>
      </c>
      <c r="BQ150" s="11">
        <f t="shared" si="81"/>
        <v>6</v>
      </c>
      <c r="BR150" s="11">
        <f t="shared" si="82"/>
        <v>4</v>
      </c>
      <c r="BS150" s="11">
        <f t="shared" si="83"/>
        <v>4</v>
      </c>
      <c r="BT150" s="11">
        <f t="shared" si="84"/>
        <v>6</v>
      </c>
      <c r="BU150" s="11">
        <f t="shared" si="85"/>
        <v>4</v>
      </c>
      <c r="BV150" s="11">
        <f t="shared" si="86"/>
        <v>4</v>
      </c>
      <c r="BW150" s="11">
        <f t="shared" si="87"/>
        <v>6</v>
      </c>
      <c r="BX150" s="11">
        <f t="shared" si="88"/>
        <v>4</v>
      </c>
      <c r="BY150" s="35">
        <f t="shared" si="89"/>
        <v>1883.8695652173913</v>
      </c>
      <c r="BZ150" s="35">
        <f t="shared" si="90"/>
        <v>1290.3333333333333</v>
      </c>
      <c r="CA150" s="35">
        <f t="shared" si="91"/>
        <v>1415.8571428571429</v>
      </c>
      <c r="CB150" s="35">
        <f t="shared" si="92"/>
        <v>1067.3953488372092</v>
      </c>
      <c r="CC150" s="35">
        <f t="shared" si="93"/>
        <v>1186.5882352941176</v>
      </c>
      <c r="CD150" s="35">
        <f t="shared" si="94"/>
        <v>1283.8095238095239</v>
      </c>
      <c r="CE150" s="35">
        <f t="shared" si="95"/>
        <v>1656.8</v>
      </c>
      <c r="CF150" s="35">
        <f t="shared" si="96"/>
        <v>1130.5</v>
      </c>
      <c r="CG150" s="35">
        <f t="shared" si="97"/>
        <v>1803.9583333333333</v>
      </c>
      <c r="CH150" s="35">
        <f t="shared" si="98"/>
        <v>1071.409090909091</v>
      </c>
      <c r="CI150" s="28">
        <f t="shared" si="99"/>
        <v>1379.0520573591143</v>
      </c>
      <c r="CJ150" s="35">
        <f t="shared" si="100"/>
        <v>-309.05205735911431</v>
      </c>
      <c r="CK150" s="35">
        <f t="shared" si="101"/>
        <v>309.05205735911431</v>
      </c>
      <c r="CL150" s="35">
        <f t="shared" si="102"/>
        <v>95513.174157901289</v>
      </c>
      <c r="CM150" s="35">
        <f t="shared" si="103"/>
        <v>656737.07765359036</v>
      </c>
    </row>
    <row r="151" spans="1:91" x14ac:dyDescent="0.3">
      <c r="A151" s="4" t="str">
        <f>DATASETS!A73</f>
        <v>R-6 MAGSAYSAY / AURORA BLVD.</v>
      </c>
      <c r="B151" s="4" t="str">
        <f>DATASETS!E73</f>
        <v>Training</v>
      </c>
      <c r="C151" s="9">
        <f>DATASETS!C73</f>
        <v>129922</v>
      </c>
      <c r="D151" s="4">
        <f>DATASETS!B73</f>
        <v>2023</v>
      </c>
      <c r="E151" s="6">
        <f>DATASETS!I73</f>
        <v>1070</v>
      </c>
      <c r="F151" s="9">
        <f>DATASETS!H73</f>
        <v>85</v>
      </c>
      <c r="G151" s="11">
        <f t="shared" si="106"/>
        <v>0</v>
      </c>
      <c r="H151" s="11">
        <f t="shared" si="106"/>
        <v>0</v>
      </c>
      <c r="I151" s="11">
        <f t="shared" si="106"/>
        <v>0</v>
      </c>
      <c r="J151" s="11">
        <f t="shared" si="106"/>
        <v>0</v>
      </c>
      <c r="K151" s="11">
        <f t="shared" si="106"/>
        <v>0</v>
      </c>
      <c r="L151" s="11">
        <f t="shared" si="106"/>
        <v>0</v>
      </c>
      <c r="M151" s="11">
        <f t="shared" si="106"/>
        <v>1</v>
      </c>
      <c r="N151" s="11">
        <f t="shared" si="106"/>
        <v>0</v>
      </c>
      <c r="O151" s="11">
        <f t="shared" si="106"/>
        <v>0</v>
      </c>
      <c r="P151" s="11">
        <f t="shared" si="106"/>
        <v>0</v>
      </c>
      <c r="Q151" s="11">
        <f t="shared" si="106"/>
        <v>0</v>
      </c>
      <c r="R151" s="11">
        <f t="shared" si="106"/>
        <v>0</v>
      </c>
      <c r="S151" s="11">
        <f t="shared" si="106"/>
        <v>0</v>
      </c>
      <c r="T151" s="6">
        <f>DATASETS!D73</f>
        <v>2245</v>
      </c>
      <c r="U151" s="37">
        <v>1</v>
      </c>
      <c r="V151" s="37">
        <v>4</v>
      </c>
      <c r="W151" s="37">
        <v>0</v>
      </c>
      <c r="X151" s="37">
        <v>2</v>
      </c>
      <c r="Y151" s="37">
        <v>2</v>
      </c>
      <c r="Z151" s="37">
        <v>3</v>
      </c>
      <c r="AA151" s="37">
        <v>2</v>
      </c>
      <c r="AB151" s="37">
        <v>2</v>
      </c>
      <c r="AC151" s="37">
        <v>1</v>
      </c>
      <c r="AD151" s="37">
        <v>1</v>
      </c>
      <c r="AE151" s="11">
        <f t="shared" si="54"/>
        <v>4</v>
      </c>
      <c r="AF151" s="11">
        <f t="shared" si="55"/>
        <v>6</v>
      </c>
      <c r="AG151" s="11">
        <f t="shared" si="56"/>
        <v>4</v>
      </c>
      <c r="AH151" s="11">
        <f t="shared" si="57"/>
        <v>6</v>
      </c>
      <c r="AI151" s="11">
        <f t="shared" si="58"/>
        <v>6</v>
      </c>
      <c r="AJ151" s="11">
        <f t="shared" si="59"/>
        <v>6</v>
      </c>
      <c r="AK151" s="11">
        <f t="shared" si="60"/>
        <v>6</v>
      </c>
      <c r="AL151" s="11">
        <f t="shared" si="61"/>
        <v>6</v>
      </c>
      <c r="AM151" s="11">
        <f t="shared" si="62"/>
        <v>6</v>
      </c>
      <c r="AN151" s="11">
        <f t="shared" si="63"/>
        <v>6</v>
      </c>
      <c r="AO151" s="35">
        <f t="shared" si="64"/>
        <v>920.9375</v>
      </c>
      <c r="AP151" s="35">
        <f t="shared" si="65"/>
        <v>1722.05</v>
      </c>
      <c r="AQ151" s="35">
        <f t="shared" si="66"/>
        <v>800.71794871794873</v>
      </c>
      <c r="AR151" s="35">
        <f t="shared" si="67"/>
        <v>1627.9428571428571</v>
      </c>
      <c r="AS151" s="35">
        <f t="shared" si="68"/>
        <v>1491.3571428571429</v>
      </c>
      <c r="AT151" s="35">
        <f t="shared" si="69"/>
        <v>1681.7307692307693</v>
      </c>
      <c r="AU151" s="35">
        <f t="shared" si="70"/>
        <v>1434.4848484848485</v>
      </c>
      <c r="AV151" s="35">
        <f t="shared" si="71"/>
        <v>1642.45</v>
      </c>
      <c r="AW151" s="35">
        <f t="shared" si="72"/>
        <v>1284.25</v>
      </c>
      <c r="AX151" s="35">
        <f t="shared" si="73"/>
        <v>1526.8421052631579</v>
      </c>
      <c r="AY151" s="28">
        <f t="shared" si="74"/>
        <v>1413.2763171696727</v>
      </c>
      <c r="AZ151" s="35">
        <f t="shared" si="75"/>
        <v>831.72368283032733</v>
      </c>
      <c r="BA151" s="35">
        <f t="shared" si="76"/>
        <v>831.72368283032733</v>
      </c>
      <c r="BB151" s="35">
        <f t="shared" si="77"/>
        <v>691764.28458084294</v>
      </c>
      <c r="BC151" s="35">
        <f t="shared" si="78"/>
        <v>132938.14602965888</v>
      </c>
      <c r="BE151" s="37">
        <v>1</v>
      </c>
      <c r="BF151" s="37">
        <v>4</v>
      </c>
      <c r="BG151" s="37">
        <v>0</v>
      </c>
      <c r="BH151" s="37">
        <v>2</v>
      </c>
      <c r="BI151" s="37">
        <v>2</v>
      </c>
      <c r="BJ151" s="37">
        <v>3</v>
      </c>
      <c r="BK151" s="37">
        <v>2</v>
      </c>
      <c r="BL151" s="37">
        <v>2</v>
      </c>
      <c r="BM151" s="37">
        <v>1</v>
      </c>
      <c r="BN151" s="37">
        <v>1</v>
      </c>
      <c r="BO151" s="11">
        <f t="shared" si="79"/>
        <v>4</v>
      </c>
      <c r="BP151" s="11">
        <f t="shared" si="80"/>
        <v>7</v>
      </c>
      <c r="BQ151" s="11">
        <f t="shared" si="81"/>
        <v>4</v>
      </c>
      <c r="BR151" s="11">
        <f t="shared" si="82"/>
        <v>4</v>
      </c>
      <c r="BS151" s="11">
        <f t="shared" si="83"/>
        <v>4</v>
      </c>
      <c r="BT151" s="11">
        <f t="shared" si="84"/>
        <v>6</v>
      </c>
      <c r="BU151" s="11">
        <f t="shared" si="85"/>
        <v>4</v>
      </c>
      <c r="BV151" s="11">
        <f t="shared" si="86"/>
        <v>4</v>
      </c>
      <c r="BW151" s="11">
        <f t="shared" si="87"/>
        <v>4</v>
      </c>
      <c r="BX151" s="11">
        <f t="shared" si="88"/>
        <v>4</v>
      </c>
      <c r="BY151" s="35">
        <f t="shared" si="89"/>
        <v>1064.1818181818182</v>
      </c>
      <c r="BZ151" s="35">
        <f t="shared" si="90"/>
        <v>1290.3333333333333</v>
      </c>
      <c r="CA151" s="35">
        <f t="shared" si="91"/>
        <v>1010.6551724137931</v>
      </c>
      <c r="CB151" s="35">
        <f t="shared" si="92"/>
        <v>1067.3953488372092</v>
      </c>
      <c r="CC151" s="35">
        <f t="shared" si="93"/>
        <v>1186.5882352941176</v>
      </c>
      <c r="CD151" s="35">
        <f t="shared" si="94"/>
        <v>1283.8095238095239</v>
      </c>
      <c r="CE151" s="35">
        <f t="shared" si="95"/>
        <v>1656.8</v>
      </c>
      <c r="CF151" s="35">
        <f t="shared" si="96"/>
        <v>1130.5</v>
      </c>
      <c r="CG151" s="35">
        <f t="shared" si="97"/>
        <v>1060.5135135135135</v>
      </c>
      <c r="CH151" s="35">
        <f t="shared" si="98"/>
        <v>1071.409090909091</v>
      </c>
      <c r="CI151" s="28">
        <f t="shared" si="99"/>
        <v>1182.2186036292399</v>
      </c>
      <c r="CJ151" s="35">
        <f t="shared" si="100"/>
        <v>1062.7813963707601</v>
      </c>
      <c r="CK151" s="35">
        <f t="shared" si="101"/>
        <v>1062.7813963707601</v>
      </c>
      <c r="CL151" s="35">
        <f t="shared" si="102"/>
        <v>1129504.2964717827</v>
      </c>
      <c r="CM151" s="35">
        <f t="shared" si="103"/>
        <v>132938.14602965888</v>
      </c>
    </row>
    <row r="152" spans="1:91" x14ac:dyDescent="0.3">
      <c r="A152" s="4" t="str">
        <f>DATASETS!A74</f>
        <v>R-6 MAGSAYSAY / AURORA BLVD.</v>
      </c>
      <c r="B152" s="4" t="str">
        <f>DATASETS!E74</f>
        <v>Training</v>
      </c>
      <c r="C152" s="9">
        <f>DATASETS!C74</f>
        <v>145562.5</v>
      </c>
      <c r="D152" s="4">
        <f>DATASETS!B74</f>
        <v>2024</v>
      </c>
      <c r="E152" s="6">
        <f>DATASETS!I74</f>
        <v>2245</v>
      </c>
      <c r="F152" s="9">
        <f>DATASETS!H74</f>
        <v>85</v>
      </c>
      <c r="G152" s="11">
        <f t="shared" si="106"/>
        <v>0</v>
      </c>
      <c r="H152" s="11">
        <f t="shared" si="106"/>
        <v>0</v>
      </c>
      <c r="I152" s="11">
        <f t="shared" si="106"/>
        <v>0</v>
      </c>
      <c r="J152" s="11">
        <f t="shared" si="106"/>
        <v>0</v>
      </c>
      <c r="K152" s="11">
        <f t="shared" si="106"/>
        <v>0</v>
      </c>
      <c r="L152" s="11">
        <f t="shared" si="106"/>
        <v>0</v>
      </c>
      <c r="M152" s="11">
        <f t="shared" si="106"/>
        <v>1</v>
      </c>
      <c r="N152" s="11">
        <f t="shared" si="106"/>
        <v>0</v>
      </c>
      <c r="O152" s="11">
        <f t="shared" si="106"/>
        <v>0</v>
      </c>
      <c r="P152" s="11">
        <f t="shared" si="106"/>
        <v>0</v>
      </c>
      <c r="Q152" s="11">
        <f t="shared" si="106"/>
        <v>0</v>
      </c>
      <c r="R152" s="11">
        <f t="shared" si="106"/>
        <v>0</v>
      </c>
      <c r="S152" s="11">
        <f t="shared" si="106"/>
        <v>0</v>
      </c>
      <c r="T152" s="6">
        <f>DATASETS!D74</f>
        <v>2505</v>
      </c>
      <c r="U152" s="37">
        <v>0</v>
      </c>
      <c r="V152" s="37">
        <v>0</v>
      </c>
      <c r="W152" s="37">
        <v>1</v>
      </c>
      <c r="X152" s="37">
        <v>4</v>
      </c>
      <c r="Y152" s="37">
        <v>4</v>
      </c>
      <c r="Z152" s="37">
        <v>0</v>
      </c>
      <c r="AA152" s="37">
        <v>3</v>
      </c>
      <c r="AB152" s="37">
        <v>1</v>
      </c>
      <c r="AC152" s="37">
        <v>0</v>
      </c>
      <c r="AD152" s="37">
        <v>2</v>
      </c>
      <c r="AE152" s="11">
        <f t="shared" si="54"/>
        <v>6</v>
      </c>
      <c r="AF152" s="11">
        <f t="shared" si="55"/>
        <v>6</v>
      </c>
      <c r="AG152" s="11">
        <f t="shared" si="56"/>
        <v>6</v>
      </c>
      <c r="AH152" s="11">
        <f t="shared" si="57"/>
        <v>6</v>
      </c>
      <c r="AI152" s="11">
        <f t="shared" si="58"/>
        <v>7</v>
      </c>
      <c r="AJ152" s="11">
        <f t="shared" si="59"/>
        <v>6</v>
      </c>
      <c r="AK152" s="11">
        <f t="shared" si="60"/>
        <v>6</v>
      </c>
      <c r="AL152" s="11">
        <f t="shared" si="61"/>
        <v>6</v>
      </c>
      <c r="AM152" s="11">
        <f t="shared" si="62"/>
        <v>6</v>
      </c>
      <c r="AN152" s="11">
        <f t="shared" si="63"/>
        <v>6</v>
      </c>
      <c r="AO152" s="35">
        <f t="shared" si="64"/>
        <v>1533.2941176470588</v>
      </c>
      <c r="AP152" s="35">
        <f t="shared" si="65"/>
        <v>1722.05</v>
      </c>
      <c r="AQ152" s="35">
        <f t="shared" si="66"/>
        <v>2078.2666666666669</v>
      </c>
      <c r="AR152" s="35">
        <f t="shared" si="67"/>
        <v>1627.9428571428571</v>
      </c>
      <c r="AS152" s="35">
        <f t="shared" si="68"/>
        <v>1820.9230769230769</v>
      </c>
      <c r="AT152" s="35">
        <f t="shared" si="69"/>
        <v>1681.7307692307693</v>
      </c>
      <c r="AU152" s="35">
        <f t="shared" si="70"/>
        <v>1434.4848484848485</v>
      </c>
      <c r="AV152" s="35">
        <f t="shared" si="71"/>
        <v>1642.45</v>
      </c>
      <c r="AW152" s="35">
        <f t="shared" si="72"/>
        <v>1284.25</v>
      </c>
      <c r="AX152" s="35">
        <f t="shared" si="73"/>
        <v>1526.8421052631579</v>
      </c>
      <c r="AY152" s="28">
        <f t="shared" si="74"/>
        <v>1635.2234441358437</v>
      </c>
      <c r="AZ152" s="35">
        <f t="shared" si="75"/>
        <v>869.77655586415631</v>
      </c>
      <c r="BA152" s="35">
        <f t="shared" si="76"/>
        <v>869.77655586415631</v>
      </c>
      <c r="BB152" s="35">
        <f t="shared" si="77"/>
        <v>756511.25713091379</v>
      </c>
      <c r="BC152" s="35">
        <f t="shared" si="78"/>
        <v>390133.70158521447</v>
      </c>
      <c r="BE152" s="37">
        <v>0</v>
      </c>
      <c r="BF152" s="37">
        <v>0</v>
      </c>
      <c r="BG152" s="37">
        <v>1</v>
      </c>
      <c r="BH152" s="37">
        <v>4</v>
      </c>
      <c r="BI152" s="37">
        <v>4</v>
      </c>
      <c r="BJ152" s="37">
        <v>0</v>
      </c>
      <c r="BK152" s="37">
        <v>3</v>
      </c>
      <c r="BL152" s="37">
        <v>1</v>
      </c>
      <c r="BM152" s="37">
        <v>0</v>
      </c>
      <c r="BN152" s="37">
        <v>2</v>
      </c>
      <c r="BO152" s="11">
        <f t="shared" si="79"/>
        <v>6</v>
      </c>
      <c r="BP152" s="11">
        <f t="shared" si="80"/>
        <v>7</v>
      </c>
      <c r="BQ152" s="11">
        <f t="shared" si="81"/>
        <v>7</v>
      </c>
      <c r="BR152" s="11">
        <f t="shared" si="82"/>
        <v>7</v>
      </c>
      <c r="BS152" s="11">
        <f t="shared" si="83"/>
        <v>6</v>
      </c>
      <c r="BT152" s="11">
        <f t="shared" si="84"/>
        <v>7</v>
      </c>
      <c r="BU152" s="11">
        <f t="shared" si="85"/>
        <v>7</v>
      </c>
      <c r="BV152" s="11">
        <f t="shared" si="86"/>
        <v>7</v>
      </c>
      <c r="BW152" s="11">
        <f t="shared" si="87"/>
        <v>6</v>
      </c>
      <c r="BX152" s="11">
        <f t="shared" si="88"/>
        <v>6</v>
      </c>
      <c r="BY152" s="35">
        <f t="shared" si="89"/>
        <v>1883.8695652173913</v>
      </c>
      <c r="BZ152" s="35">
        <f t="shared" si="90"/>
        <v>1290.3333333333333</v>
      </c>
      <c r="CA152" s="35">
        <f t="shared" si="91"/>
        <v>2109.6060606060605</v>
      </c>
      <c r="CB152" s="35">
        <f t="shared" si="92"/>
        <v>2239.9655172413795</v>
      </c>
      <c r="CC152" s="35">
        <f t="shared" si="93"/>
        <v>2206.8636363636365</v>
      </c>
      <c r="CD152" s="35">
        <f t="shared" si="94"/>
        <v>1904.0526315789473</v>
      </c>
      <c r="CE152" s="35">
        <f t="shared" si="95"/>
        <v>2134.6666666666665</v>
      </c>
      <c r="CF152" s="35">
        <f t="shared" si="96"/>
        <v>1805.125</v>
      </c>
      <c r="CG152" s="35">
        <f t="shared" si="97"/>
        <v>1803.9583333333333</v>
      </c>
      <c r="CH152" s="35">
        <f t="shared" si="98"/>
        <v>1952.125</v>
      </c>
      <c r="CI152" s="28">
        <f t="shared" si="99"/>
        <v>1933.0565744340747</v>
      </c>
      <c r="CJ152" s="35">
        <f t="shared" si="100"/>
        <v>571.94342556592528</v>
      </c>
      <c r="CK152" s="35">
        <f t="shared" si="101"/>
        <v>571.94342556592528</v>
      </c>
      <c r="CL152" s="35">
        <f t="shared" si="102"/>
        <v>327119.28204808512</v>
      </c>
      <c r="CM152" s="35">
        <f t="shared" si="103"/>
        <v>390133.70158521447</v>
      </c>
    </row>
    <row r="153" spans="1:91" x14ac:dyDescent="0.3">
      <c r="A153" s="4" t="str">
        <f>DATASETS!A76</f>
        <v>QUEZON AVE.</v>
      </c>
      <c r="B153" s="4" t="str">
        <f>DATASETS!E76</f>
        <v>Training</v>
      </c>
      <c r="C153" s="9">
        <f>DATASETS!C76</f>
        <v>187111</v>
      </c>
      <c r="D153" s="4">
        <f>DATASETS!B76</f>
        <v>2016</v>
      </c>
      <c r="E153" s="6">
        <f>DATASETS!I76</f>
        <v>1498</v>
      </c>
      <c r="F153" s="9">
        <f>DATASETS!H76</f>
        <v>61</v>
      </c>
      <c r="G153" s="11">
        <f t="shared" si="106"/>
        <v>0</v>
      </c>
      <c r="H153" s="11">
        <f t="shared" si="106"/>
        <v>0</v>
      </c>
      <c r="I153" s="11">
        <f t="shared" si="106"/>
        <v>0</v>
      </c>
      <c r="J153" s="11">
        <f t="shared" si="106"/>
        <v>0</v>
      </c>
      <c r="K153" s="11">
        <f t="shared" si="106"/>
        <v>0</v>
      </c>
      <c r="L153" s="11">
        <f t="shared" si="106"/>
        <v>0</v>
      </c>
      <c r="M153" s="11">
        <f t="shared" si="106"/>
        <v>0</v>
      </c>
      <c r="N153" s="11">
        <f t="shared" si="106"/>
        <v>1</v>
      </c>
      <c r="O153" s="11">
        <f t="shared" si="106"/>
        <v>0</v>
      </c>
      <c r="P153" s="11">
        <f t="shared" si="106"/>
        <v>0</v>
      </c>
      <c r="Q153" s="11">
        <f t="shared" si="106"/>
        <v>0</v>
      </c>
      <c r="R153" s="11">
        <f t="shared" si="106"/>
        <v>0</v>
      </c>
      <c r="S153" s="11">
        <f t="shared" si="106"/>
        <v>0</v>
      </c>
      <c r="T153" s="6">
        <f>DATASETS!D76</f>
        <v>1996</v>
      </c>
      <c r="U153" s="37">
        <v>1</v>
      </c>
      <c r="V153" s="37">
        <v>1</v>
      </c>
      <c r="W153" s="37">
        <v>1</v>
      </c>
      <c r="X153" s="37">
        <v>3</v>
      </c>
      <c r="Y153" s="37">
        <v>0</v>
      </c>
      <c r="Z153" s="37">
        <v>1</v>
      </c>
      <c r="AA153" s="37">
        <v>0</v>
      </c>
      <c r="AB153" s="37">
        <v>1</v>
      </c>
      <c r="AC153" s="37">
        <v>3</v>
      </c>
      <c r="AD153" s="37">
        <v>1</v>
      </c>
      <c r="AE153" s="11">
        <f t="shared" si="54"/>
        <v>6</v>
      </c>
      <c r="AF153" s="11">
        <f t="shared" si="55"/>
        <v>7</v>
      </c>
      <c r="AG153" s="11">
        <f t="shared" si="56"/>
        <v>6</v>
      </c>
      <c r="AH153" s="11">
        <f t="shared" si="57"/>
        <v>6</v>
      </c>
      <c r="AI153" s="11">
        <f t="shared" si="58"/>
        <v>7</v>
      </c>
      <c r="AJ153" s="11">
        <f t="shared" si="59"/>
        <v>6</v>
      </c>
      <c r="AK153" s="11">
        <f t="shared" si="60"/>
        <v>6</v>
      </c>
      <c r="AL153" s="11">
        <f t="shared" si="61"/>
        <v>6</v>
      </c>
      <c r="AM153" s="11">
        <f t="shared" si="62"/>
        <v>7</v>
      </c>
      <c r="AN153" s="11">
        <f t="shared" si="63"/>
        <v>7</v>
      </c>
      <c r="AO153" s="35">
        <f t="shared" si="64"/>
        <v>1533.2941176470588</v>
      </c>
      <c r="AP153" s="35">
        <f t="shared" si="65"/>
        <v>1396.0454545454545</v>
      </c>
      <c r="AQ153" s="35">
        <f t="shared" si="66"/>
        <v>2078.2666666666669</v>
      </c>
      <c r="AR153" s="35">
        <f t="shared" si="67"/>
        <v>1627.9428571428571</v>
      </c>
      <c r="AS153" s="35">
        <f t="shared" si="68"/>
        <v>1820.9230769230769</v>
      </c>
      <c r="AT153" s="35">
        <f t="shared" si="69"/>
        <v>1681.7307692307693</v>
      </c>
      <c r="AU153" s="35">
        <f t="shared" si="70"/>
        <v>1434.4848484848485</v>
      </c>
      <c r="AV153" s="35">
        <f t="shared" si="71"/>
        <v>1642.45</v>
      </c>
      <c r="AW153" s="35">
        <f t="shared" si="72"/>
        <v>1715.36</v>
      </c>
      <c r="AX153" s="35">
        <f t="shared" si="73"/>
        <v>1973.8571428571429</v>
      </c>
      <c r="AY153" s="28">
        <f t="shared" si="74"/>
        <v>1690.4354933497875</v>
      </c>
      <c r="AZ153" s="35">
        <f t="shared" si="75"/>
        <v>305.56450665021248</v>
      </c>
      <c r="BA153" s="35">
        <f t="shared" si="76"/>
        <v>305.56450665021248</v>
      </c>
      <c r="BB153" s="35">
        <f t="shared" si="77"/>
        <v>93369.667724387749</v>
      </c>
      <c r="BC153" s="35">
        <f t="shared" si="78"/>
        <v>13364.94090145373</v>
      </c>
      <c r="BE153" s="37">
        <v>1</v>
      </c>
      <c r="BF153" s="37">
        <v>1</v>
      </c>
      <c r="BG153" s="37">
        <v>1</v>
      </c>
      <c r="BH153" s="37">
        <v>3</v>
      </c>
      <c r="BI153" s="37">
        <v>0</v>
      </c>
      <c r="BJ153" s="37">
        <v>1</v>
      </c>
      <c r="BK153" s="37">
        <v>0</v>
      </c>
      <c r="BL153" s="37">
        <v>1</v>
      </c>
      <c r="BM153" s="37">
        <v>3</v>
      </c>
      <c r="BN153" s="37">
        <v>1</v>
      </c>
      <c r="BO153" s="11">
        <f t="shared" si="79"/>
        <v>6</v>
      </c>
      <c r="BP153" s="11">
        <f t="shared" si="80"/>
        <v>6</v>
      </c>
      <c r="BQ153" s="11">
        <f t="shared" si="81"/>
        <v>7</v>
      </c>
      <c r="BR153" s="11">
        <f t="shared" si="82"/>
        <v>7</v>
      </c>
      <c r="BS153" s="11">
        <f t="shared" si="83"/>
        <v>6</v>
      </c>
      <c r="BT153" s="11">
        <f t="shared" si="84"/>
        <v>7</v>
      </c>
      <c r="BU153" s="11">
        <f t="shared" si="85"/>
        <v>7</v>
      </c>
      <c r="BV153" s="11">
        <f t="shared" si="86"/>
        <v>6</v>
      </c>
      <c r="BW153" s="11">
        <f t="shared" si="87"/>
        <v>6</v>
      </c>
      <c r="BX153" s="11">
        <f t="shared" si="88"/>
        <v>6</v>
      </c>
      <c r="BY153" s="35">
        <f t="shared" si="89"/>
        <v>1883.8695652173913</v>
      </c>
      <c r="BZ153" s="35">
        <f t="shared" si="90"/>
        <v>2135.1666666666665</v>
      </c>
      <c r="CA153" s="35">
        <f t="shared" si="91"/>
        <v>2109.6060606060605</v>
      </c>
      <c r="CB153" s="35">
        <f t="shared" si="92"/>
        <v>2239.9655172413795</v>
      </c>
      <c r="CC153" s="35">
        <f t="shared" si="93"/>
        <v>2206.8636363636365</v>
      </c>
      <c r="CD153" s="35">
        <f t="shared" si="94"/>
        <v>1904.0526315789473</v>
      </c>
      <c r="CE153" s="35">
        <f t="shared" si="95"/>
        <v>2134.6666666666665</v>
      </c>
      <c r="CF153" s="35">
        <f t="shared" si="96"/>
        <v>2294.5789473684213</v>
      </c>
      <c r="CG153" s="35">
        <f t="shared" si="97"/>
        <v>1803.9583333333333</v>
      </c>
      <c r="CH153" s="35">
        <f t="shared" si="98"/>
        <v>1952.125</v>
      </c>
      <c r="CI153" s="28">
        <f t="shared" si="99"/>
        <v>2066.4853025042498</v>
      </c>
      <c r="CJ153" s="35">
        <f t="shared" si="100"/>
        <v>-70.48530250424983</v>
      </c>
      <c r="CK153" s="35">
        <f t="shared" si="101"/>
        <v>70.48530250424983</v>
      </c>
      <c r="CL153" s="35">
        <f t="shared" si="102"/>
        <v>4968.1778691156078</v>
      </c>
      <c r="CM153" s="35">
        <f t="shared" si="103"/>
        <v>13364.94090145373</v>
      </c>
    </row>
    <row r="154" spans="1:91" x14ac:dyDescent="0.3">
      <c r="A154" s="4" t="str">
        <f>DATASETS!A77</f>
        <v>QUEZON AVE.</v>
      </c>
      <c r="B154" s="4" t="str">
        <f>DATASETS!E77</f>
        <v>Training</v>
      </c>
      <c r="C154" s="9">
        <f>DATASETS!C77</f>
        <v>195335</v>
      </c>
      <c r="D154" s="4">
        <f>DATASETS!B77</f>
        <v>2017</v>
      </c>
      <c r="E154" s="6">
        <f>DATASETS!I77</f>
        <v>1996</v>
      </c>
      <c r="F154" s="9">
        <f>DATASETS!H77</f>
        <v>61</v>
      </c>
      <c r="G154" s="11">
        <f t="shared" si="106"/>
        <v>0</v>
      </c>
      <c r="H154" s="11">
        <f t="shared" si="106"/>
        <v>0</v>
      </c>
      <c r="I154" s="11">
        <f t="shared" si="106"/>
        <v>0</v>
      </c>
      <c r="J154" s="11">
        <f t="shared" si="106"/>
        <v>0</v>
      </c>
      <c r="K154" s="11">
        <f t="shared" si="106"/>
        <v>0</v>
      </c>
      <c r="L154" s="11">
        <f t="shared" si="106"/>
        <v>0</v>
      </c>
      <c r="M154" s="11">
        <f t="shared" si="106"/>
        <v>0</v>
      </c>
      <c r="N154" s="11">
        <f t="shared" si="106"/>
        <v>1</v>
      </c>
      <c r="O154" s="11">
        <f t="shared" si="106"/>
        <v>0</v>
      </c>
      <c r="P154" s="11">
        <f t="shared" si="106"/>
        <v>0</v>
      </c>
      <c r="Q154" s="11">
        <f t="shared" si="106"/>
        <v>0</v>
      </c>
      <c r="R154" s="11">
        <f t="shared" si="106"/>
        <v>0</v>
      </c>
      <c r="S154" s="11">
        <f t="shared" si="106"/>
        <v>0</v>
      </c>
      <c r="T154" s="6">
        <f>DATASETS!D77</f>
        <v>2029</v>
      </c>
      <c r="U154" s="37">
        <v>1</v>
      </c>
      <c r="V154" s="37">
        <v>1</v>
      </c>
      <c r="W154" s="37">
        <v>1</v>
      </c>
      <c r="X154" s="37">
        <v>0</v>
      </c>
      <c r="Y154" s="37">
        <v>1</v>
      </c>
      <c r="Z154" s="37">
        <v>0</v>
      </c>
      <c r="AA154" s="37">
        <v>0</v>
      </c>
      <c r="AB154" s="37">
        <v>4</v>
      </c>
      <c r="AC154" s="37">
        <v>0</v>
      </c>
      <c r="AD154" s="37">
        <v>1</v>
      </c>
      <c r="AE154" s="11">
        <f t="shared" ref="AE154:AE185" si="107">IF($C154&lt;=$C$222,IF($C154&lt;=$E$222,IF($C154&lt;=$G$222,3,4),IF($C154&lt;=$M$222,6,7)),IF($C154&lt;=$S$222,9,IF($C154&lt;=$W$222,11,12)))</f>
        <v>7</v>
      </c>
      <c r="AF154" s="11">
        <f t="shared" ref="AF154:AF185" si="108">IF($C154&lt;=$C$223,IF($C154&lt;=$E$223,IF($C154&lt;=$G$223,3,4),IF($C154&lt;=$M$223,6,7)),IF($C154&lt;=$S$223,IF($C154&lt;=$U$223,10,11),IF($C154&lt;=$AA$223,13,14)))</f>
        <v>7</v>
      </c>
      <c r="AG154" s="11">
        <f t="shared" ref="AG154:AG185" si="109">IF($C154&lt;=$C$224,IF($C154&lt;=$E$224,IF($C154&lt;=$G$224,3,4),IF($C154&lt;=$M$224,6,7)),IF($C154&lt;=$S$224,IF($C154&lt;=$U$224,10,11),IF($C154&lt;=$AA$224,13,14)))</f>
        <v>7</v>
      </c>
      <c r="AH154" s="11">
        <f t="shared" ref="AH154:AH185" si="110">IF($C154&lt;=$C$225,IF($C154&lt;=$E$225,IF($C154&lt;=$G$225,3,4),IF($C154&lt;=$M$225,6,7)),IF($C154&lt;=$S$225,IF($C154&lt;=$U$225,10,11),IF($C154&lt;=$AA$225,13,14)))</f>
        <v>6</v>
      </c>
      <c r="AI154" s="11">
        <f t="shared" ref="AI154:AI185" si="111">IF($C154&lt;=$C$226,IF($C154&lt;=$E$226,IF($C154&lt;=$G$226,3,4),IF($C154&lt;=$M$226,6,7)),IF($C154&lt;=$S$226,9,IF($C154&lt;=$W$226,11,12)))</f>
        <v>7</v>
      </c>
      <c r="AJ154" s="11">
        <f t="shared" ref="AJ154:AJ185" si="112">IF($C154&lt;=$C$227,IF($C154&lt;=$E$227,IF($C154&lt;=$G$227,3,4),IF($C154&lt;=$M$227,6,7)),IF($C154&lt;=$S$227,IF($C154&lt;=$U$227,10,11),IF($C154&lt;=$AA$227,13,14)))</f>
        <v>7</v>
      </c>
      <c r="AK154" s="11">
        <f t="shared" ref="AK154:AK185" si="113">IF($C154&lt;=$C$228,IF($C154&lt;=$E$228,IF($C154&lt;=$G$228,3,4),IF($C154&lt;=$M$228,6,7)),IF($C154&lt;=$S$228,9,IF($C154&lt;=$W$228,11,12)))</f>
        <v>7</v>
      </c>
      <c r="AL154" s="11">
        <f t="shared" ref="AL154:AL185" si="114">IF($C154&lt;=$C$229,IF($C154&lt;=$E$229,IF($C154&lt;=$G$229,3,4),IF($C154&lt;=$M$229,6,7)),IF($C154&lt;=$S$229,IF($C154&lt;=$U$229,10,11),IF($C154&lt;=$AA$229,13,14)))</f>
        <v>7</v>
      </c>
      <c r="AM154" s="11">
        <f t="shared" ref="AM154:AM185" si="115">IF($C154&lt;=$C$230,IF($C154&lt;=$E$230,IF($C154&lt;=$G$230,3,4),IF($C154&lt;=$M$230,6,7)),IF($C154&lt;=$S$230,9,IF($C154&lt;=$W$230,11,12)))</f>
        <v>7</v>
      </c>
      <c r="AN154" s="11">
        <f t="shared" ref="AN154:AN185" si="116">IF($C154&lt;=$C$231,IF($C154&lt;=$E$231,IF($C154&lt;=$G$231,3,4),IF($C154&lt;=$M$231,6,7)),IF($C154&lt;=$S$231,IF($C154&lt;=$U$231,10,11),IF($C154&lt;=$AA$231,13,14)))</f>
        <v>7</v>
      </c>
      <c r="AO154" s="35">
        <f t="shared" ref="AO154:AO185" si="117">INDEX($B$235:$P$235,1,AE154+1)</f>
        <v>1949.090909090909</v>
      </c>
      <c r="AP154" s="35">
        <f t="shared" ref="AP154:AP185" si="118">INDEX($B$236:$P$236,1,AF154+1)</f>
        <v>1396.0454545454545</v>
      </c>
      <c r="AQ154" s="35">
        <f t="shared" ref="AQ154:AQ185" si="119">INDEX($B$237:$P$237,1,AG154+1)</f>
        <v>1137.5999999999999</v>
      </c>
      <c r="AR154" s="35">
        <f t="shared" ref="AR154:AR185" si="120">INDEX($B$238:$P$238,1,AH154+1)</f>
        <v>1627.9428571428571</v>
      </c>
      <c r="AS154" s="35">
        <f t="shared" ref="AS154:AS185" si="121">INDEX($B$239:$P$239,1,AI154+1)</f>
        <v>1820.9230769230769</v>
      </c>
      <c r="AT154" s="35">
        <f t="shared" ref="AT154:AT185" si="122">INDEX($B$240:$P$240,1,AJ154+1)</f>
        <v>1187.4000000000001</v>
      </c>
      <c r="AU154" s="35">
        <f t="shared" ref="AU154:AU185" si="123">INDEX($B$241:$P$241,1,AK154+1)</f>
        <v>2250.25</v>
      </c>
      <c r="AV154" s="35">
        <f t="shared" ref="AV154:AV185" si="124">INDEX($B$242:$P$242,1,AL154+1)</f>
        <v>2257.4375</v>
      </c>
      <c r="AW154" s="35">
        <f t="shared" ref="AW154:AW185" si="125">INDEX($B$243:$P$243,1,AM154+1)</f>
        <v>1715.36</v>
      </c>
      <c r="AX154" s="35">
        <f t="shared" ref="AX154:AX185" si="126">INDEX($B$244:$P$244,1,AN154+1)</f>
        <v>1973.8571428571429</v>
      </c>
      <c r="AY154" s="28">
        <f t="shared" ref="AY154:AY185" si="127">AVERAGE(AO154:AX154)</f>
        <v>1731.5906940559441</v>
      </c>
      <c r="AZ154" s="35">
        <f t="shared" ref="AZ154:AZ185" si="128">$T154-AY154</f>
        <v>297.40930594405586</v>
      </c>
      <c r="BA154" s="35">
        <f t="shared" ref="BA154:BA185" si="129">ABS(AZ154)</f>
        <v>297.40930594405586</v>
      </c>
      <c r="BB154" s="35">
        <f t="shared" ref="BB154:BB185" si="130">AZ154^2</f>
        <v>88452.295262125015</v>
      </c>
      <c r="BC154" s="35">
        <f t="shared" ref="BC154:BC185" si="131">($T154-AVERAGE($T$90:$T$206))^2</f>
        <v>22083.992183505015</v>
      </c>
      <c r="BE154" s="37">
        <v>1</v>
      </c>
      <c r="BF154" s="37">
        <v>1</v>
      </c>
      <c r="BG154" s="37">
        <v>1</v>
      </c>
      <c r="BH154" s="37">
        <v>0</v>
      </c>
      <c r="BI154" s="37">
        <v>1</v>
      </c>
      <c r="BJ154" s="37">
        <v>0</v>
      </c>
      <c r="BK154" s="37">
        <v>0</v>
      </c>
      <c r="BL154" s="37">
        <v>4</v>
      </c>
      <c r="BM154" s="37">
        <v>0</v>
      </c>
      <c r="BN154" s="37">
        <v>1</v>
      </c>
      <c r="BO154" s="11">
        <f t="shared" ref="BO154:BO185" si="132">IF($E154&lt;=$C$250,IF($E154&lt;=$E$250,IF($E154&lt;=$G$250,3,4),IF($C154&lt;=$M$250,6,7)),IF($C154&lt;=$S$250,9,IF($D154&lt;=$W$250,11,12)))</f>
        <v>6</v>
      </c>
      <c r="BP154" s="11">
        <f t="shared" ref="BP154:BP185" si="133">IF($E154&lt;=$C$251,IF($E154&lt;=$E$251,IF($E154&lt;=$G$251,3,4),IF($D154&lt;=$M$251,6,7)),IF($E154&lt;=$S$251,IF($E154&lt;=$U$251,10,11),IF($C154&lt;=$AA$251,13,14)))</f>
        <v>6</v>
      </c>
      <c r="BQ154" s="11">
        <f t="shared" ref="BQ154:BQ185" si="134">IF($E154&lt;=$C$252,IF($E154&lt;=$E$252,IF($E154&lt;=$G$252,3,4),IF($C154&lt;=$M$252,6,7)),IF($E154&lt;=$S$252,9,IF($C154&lt;=$W$252,11,12)))</f>
        <v>7</v>
      </c>
      <c r="BR154" s="11">
        <f t="shared" ref="BR154:BR185" si="135">IF($E154&lt;=$C$253,IF($E154&lt;=$E$253,IF($E154&lt;=$G$253,3,4),IF($C154&lt;=$M$253,6,7)),IF($H154&lt;=$S$253,9,10))</f>
        <v>7</v>
      </c>
      <c r="BS154" s="11">
        <f t="shared" ref="BS154:BS185" si="136">IF($E154&lt;=$C$254,IF($E154&lt;=$E$254,IF($E154&lt;=$G$254,3,4),IF($E154&lt;=$M$254,6,7)),IF($C154&lt;=$S$254,9,10))</f>
        <v>6</v>
      </c>
      <c r="BT154" s="11">
        <f t="shared" ref="BT154:BT185" si="137">IF($E154&lt;=$C$255,IF($E154&lt;=$E$255,IF($E154&lt;=$G$255,3,4),IF($E154&lt;=$M$255,6,7)),IF($E154&lt;=$S$255,IF($E154&lt;=$U$255,10,11),12))</f>
        <v>7</v>
      </c>
      <c r="BU154" s="11">
        <f t="shared" ref="BU154:BU185" si="138">IF($E154&lt;=$C$256,IF($E154&lt;=$E$256,IF($M154&lt;=$G$256,3,4),IF($C154&lt;=$M$256,6,7)),IF($E154&lt;=$S$256,IF($E154&lt;=$U$256,10,11),IF($C154&lt;=$AA$256,13,14)))</f>
        <v>7</v>
      </c>
      <c r="BV154" s="11">
        <f t="shared" ref="BV154:BV185" si="139">IF($E154&lt;=$C$257,IF($E154&lt;=$E$257,IF($E154&lt;=$G$257,3,4),IF($D154&lt;=$M$257,6,7)),IF($E154&lt;=$S$257,IF($E154&lt;=$U$257,10,11),12))</f>
        <v>6</v>
      </c>
      <c r="BW154" s="11">
        <f t="shared" ref="BW154:BW185" si="140">IF($E154&lt;=$C$258,IF($E154&lt;=$E$258,IF($E154&lt;=$G$258,3,4),IF($C154&lt;=$M$258,6,7)),IF($E154&lt;=$S$258,9,10))</f>
        <v>6</v>
      </c>
      <c r="BX154" s="11">
        <f t="shared" ref="BX154:BX185" si="141">IF($E154&lt;=$C$259,IF($E154&lt;=$E$259,IF($E154&lt;=$G$259,3,4),IF($E154&lt;=$M$259,6,7)),IF($C154&lt;=$S$259,9,10))</f>
        <v>6</v>
      </c>
      <c r="BY154" s="35">
        <f t="shared" ref="BY154:BY185" si="142">INDEX($B$263:$P$263,1,BO154+1)</f>
        <v>1883.8695652173913</v>
      </c>
      <c r="BZ154" s="35">
        <f t="shared" ref="BZ154:BZ185" si="143">INDEX($B$264:$P$264,1,BP154+1)</f>
        <v>2135.1666666666665</v>
      </c>
      <c r="CA154" s="35">
        <f t="shared" ref="CA154:CA185" si="144">INDEX($B$265:$P$265,1,BQ154+1)</f>
        <v>2109.6060606060605</v>
      </c>
      <c r="CB154" s="35">
        <f t="shared" ref="CB154:CB185" si="145">INDEX($B$266:$P$266,1,BR154+1)</f>
        <v>2239.9655172413795</v>
      </c>
      <c r="CC154" s="35">
        <f t="shared" ref="CC154:CC185" si="146">INDEX($B$267:$P$267,1,BS154+1)</f>
        <v>2206.8636363636365</v>
      </c>
      <c r="CD154" s="35">
        <f t="shared" ref="CD154:CD185" si="147">INDEX($B$268:$P$268,1,BT154+1)</f>
        <v>1904.0526315789473</v>
      </c>
      <c r="CE154" s="35">
        <f t="shared" ref="CE154:CE185" si="148">INDEX($B$269:$P$269,1,BU154+1)</f>
        <v>2134.6666666666665</v>
      </c>
      <c r="CF154" s="35">
        <f t="shared" ref="CF154:CF185" si="149">INDEX($B$270:$P$270,1,BV154+1)</f>
        <v>2294.5789473684213</v>
      </c>
      <c r="CG154" s="35">
        <f t="shared" ref="CG154:CG185" si="150">INDEX($B$271:$P$271,1,BW154+1)</f>
        <v>1803.9583333333333</v>
      </c>
      <c r="CH154" s="35">
        <f t="shared" ref="CH154:CH185" si="151">INDEX($B$272:$P$272,1,BX154+1)</f>
        <v>1952.125</v>
      </c>
      <c r="CI154" s="28">
        <f t="shared" ref="CI154:CI185" si="152">AVERAGE(BY154:CH154)</f>
        <v>2066.4853025042498</v>
      </c>
      <c r="CJ154" s="35">
        <f t="shared" ref="CJ154:CJ185" si="153">$T154-CI154</f>
        <v>-37.48530250424983</v>
      </c>
      <c r="CK154" s="35">
        <f t="shared" ref="CK154:CK185" si="154">ABS(CJ154)</f>
        <v>37.48530250424983</v>
      </c>
      <c r="CL154" s="35">
        <f t="shared" ref="CL154:CL185" si="155">CJ154^2</f>
        <v>1405.1479038351185</v>
      </c>
      <c r="CM154" s="35">
        <f t="shared" ref="CM154:CM185" si="156">($T154-AVERAGE($T$90:$T$206))^2</f>
        <v>22083.992183505015</v>
      </c>
    </row>
    <row r="155" spans="1:91" x14ac:dyDescent="0.3">
      <c r="A155" s="4" t="str">
        <f>DATASETS!A78</f>
        <v>QUEZON AVE.</v>
      </c>
      <c r="B155" s="4" t="str">
        <f>DATASETS!E78</f>
        <v>Training</v>
      </c>
      <c r="C155" s="9">
        <f>DATASETS!C78</f>
        <v>204604</v>
      </c>
      <c r="D155" s="4">
        <f>DATASETS!B78</f>
        <v>2018</v>
      </c>
      <c r="E155" s="6">
        <f>DATASETS!I78</f>
        <v>2029</v>
      </c>
      <c r="F155" s="9">
        <f>DATASETS!H78</f>
        <v>61</v>
      </c>
      <c r="G155" s="11">
        <f t="shared" si="106"/>
        <v>0</v>
      </c>
      <c r="H155" s="11">
        <f t="shared" si="106"/>
        <v>0</v>
      </c>
      <c r="I155" s="11">
        <f t="shared" si="106"/>
        <v>0</v>
      </c>
      <c r="J155" s="11">
        <f t="shared" si="106"/>
        <v>0</v>
      </c>
      <c r="K155" s="11">
        <f t="shared" si="106"/>
        <v>0</v>
      </c>
      <c r="L155" s="11">
        <f t="shared" si="106"/>
        <v>0</v>
      </c>
      <c r="M155" s="11">
        <f t="shared" si="106"/>
        <v>0</v>
      </c>
      <c r="N155" s="11">
        <f t="shared" si="106"/>
        <v>1</v>
      </c>
      <c r="O155" s="11">
        <f t="shared" si="106"/>
        <v>0</v>
      </c>
      <c r="P155" s="11">
        <f t="shared" si="106"/>
        <v>0</v>
      </c>
      <c r="Q155" s="11">
        <f t="shared" si="106"/>
        <v>0</v>
      </c>
      <c r="R155" s="11">
        <f t="shared" si="106"/>
        <v>0</v>
      </c>
      <c r="S155" s="11">
        <f t="shared" si="106"/>
        <v>0</v>
      </c>
      <c r="T155" s="6">
        <f>DATASETS!D78</f>
        <v>2378</v>
      </c>
      <c r="U155" s="37">
        <v>0</v>
      </c>
      <c r="V155" s="37">
        <v>2</v>
      </c>
      <c r="W155" s="37">
        <v>0</v>
      </c>
      <c r="X155" s="37">
        <v>2</v>
      </c>
      <c r="Y155" s="37">
        <v>2</v>
      </c>
      <c r="Z155" s="37">
        <v>2</v>
      </c>
      <c r="AA155" s="37">
        <v>1</v>
      </c>
      <c r="AB155" s="37">
        <v>1</v>
      </c>
      <c r="AC155" s="37">
        <v>0</v>
      </c>
      <c r="AD155" s="37">
        <v>2</v>
      </c>
      <c r="AE155" s="11">
        <f t="shared" si="107"/>
        <v>7</v>
      </c>
      <c r="AF155" s="11">
        <f t="shared" si="108"/>
        <v>7</v>
      </c>
      <c r="AG155" s="11">
        <f t="shared" si="109"/>
        <v>10</v>
      </c>
      <c r="AH155" s="11">
        <f t="shared" si="110"/>
        <v>7</v>
      </c>
      <c r="AI155" s="11">
        <f t="shared" si="111"/>
        <v>9</v>
      </c>
      <c r="AJ155" s="11">
        <f t="shared" si="112"/>
        <v>10</v>
      </c>
      <c r="AK155" s="11">
        <f t="shared" si="113"/>
        <v>7</v>
      </c>
      <c r="AL155" s="11">
        <f t="shared" si="114"/>
        <v>7</v>
      </c>
      <c r="AM155" s="11">
        <f t="shared" si="115"/>
        <v>7</v>
      </c>
      <c r="AN155" s="11">
        <f t="shared" si="116"/>
        <v>7</v>
      </c>
      <c r="AO155" s="35">
        <f t="shared" si="117"/>
        <v>1949.090909090909</v>
      </c>
      <c r="AP155" s="35">
        <f t="shared" si="118"/>
        <v>1396.0454545454545</v>
      </c>
      <c r="AQ155" s="35">
        <f t="shared" si="119"/>
        <v>5339.5</v>
      </c>
      <c r="AR155" s="35">
        <f t="shared" si="120"/>
        <v>2223.8000000000002</v>
      </c>
      <c r="AS155" s="35">
        <f t="shared" si="121"/>
        <v>5477.5714285714284</v>
      </c>
      <c r="AT155" s="35">
        <f t="shared" si="122"/>
        <v>3806.2</v>
      </c>
      <c r="AU155" s="35">
        <f t="shared" si="123"/>
        <v>2250.25</v>
      </c>
      <c r="AV155" s="35">
        <f t="shared" si="124"/>
        <v>2257.4375</v>
      </c>
      <c r="AW155" s="35">
        <f t="shared" si="125"/>
        <v>1715.36</v>
      </c>
      <c r="AX155" s="35">
        <f t="shared" si="126"/>
        <v>1973.8571428571429</v>
      </c>
      <c r="AY155" s="28">
        <f t="shared" si="127"/>
        <v>2838.9112435064935</v>
      </c>
      <c r="AZ155" s="35">
        <f t="shared" si="128"/>
        <v>-460.91124350649352</v>
      </c>
      <c r="BA155" s="35">
        <f t="shared" si="129"/>
        <v>460.91124350649352</v>
      </c>
      <c r="BB155" s="35">
        <f t="shared" si="130"/>
        <v>212439.17439070216</v>
      </c>
      <c r="BC155" s="35">
        <f t="shared" si="131"/>
        <v>247612.56483307769</v>
      </c>
      <c r="BE155" s="37">
        <v>0</v>
      </c>
      <c r="BF155" s="37">
        <v>2</v>
      </c>
      <c r="BG155" s="37">
        <v>0</v>
      </c>
      <c r="BH155" s="37">
        <v>2</v>
      </c>
      <c r="BI155" s="37">
        <v>2</v>
      </c>
      <c r="BJ155" s="37">
        <v>2</v>
      </c>
      <c r="BK155" s="37">
        <v>1</v>
      </c>
      <c r="BL155" s="37">
        <v>1</v>
      </c>
      <c r="BM155" s="37">
        <v>0</v>
      </c>
      <c r="BN155" s="37">
        <v>2</v>
      </c>
      <c r="BO155" s="11">
        <f t="shared" si="132"/>
        <v>6</v>
      </c>
      <c r="BP155" s="11">
        <f t="shared" si="133"/>
        <v>6</v>
      </c>
      <c r="BQ155" s="11">
        <f t="shared" si="134"/>
        <v>7</v>
      </c>
      <c r="BR155" s="11">
        <f t="shared" si="135"/>
        <v>7</v>
      </c>
      <c r="BS155" s="11">
        <f t="shared" si="136"/>
        <v>6</v>
      </c>
      <c r="BT155" s="11">
        <f t="shared" si="137"/>
        <v>7</v>
      </c>
      <c r="BU155" s="11">
        <f t="shared" si="138"/>
        <v>7</v>
      </c>
      <c r="BV155" s="11">
        <f t="shared" si="139"/>
        <v>6</v>
      </c>
      <c r="BW155" s="11">
        <f t="shared" si="140"/>
        <v>6</v>
      </c>
      <c r="BX155" s="11">
        <f t="shared" si="141"/>
        <v>6</v>
      </c>
      <c r="BY155" s="35">
        <f t="shared" si="142"/>
        <v>1883.8695652173913</v>
      </c>
      <c r="BZ155" s="35">
        <f t="shared" si="143"/>
        <v>2135.1666666666665</v>
      </c>
      <c r="CA155" s="35">
        <f t="shared" si="144"/>
        <v>2109.6060606060605</v>
      </c>
      <c r="CB155" s="35">
        <f t="shared" si="145"/>
        <v>2239.9655172413795</v>
      </c>
      <c r="CC155" s="35">
        <f t="shared" si="146"/>
        <v>2206.8636363636365</v>
      </c>
      <c r="CD155" s="35">
        <f t="shared" si="147"/>
        <v>1904.0526315789473</v>
      </c>
      <c r="CE155" s="35">
        <f t="shared" si="148"/>
        <v>2134.6666666666665</v>
      </c>
      <c r="CF155" s="35">
        <f t="shared" si="149"/>
        <v>2294.5789473684213</v>
      </c>
      <c r="CG155" s="35">
        <f t="shared" si="150"/>
        <v>1803.9583333333333</v>
      </c>
      <c r="CH155" s="35">
        <f t="shared" si="151"/>
        <v>1952.125</v>
      </c>
      <c r="CI155" s="28">
        <f t="shared" si="152"/>
        <v>2066.4853025042498</v>
      </c>
      <c r="CJ155" s="35">
        <f t="shared" si="153"/>
        <v>311.51469749575017</v>
      </c>
      <c r="CK155" s="35">
        <f t="shared" si="154"/>
        <v>311.51469749575017</v>
      </c>
      <c r="CL155" s="35">
        <f t="shared" si="155"/>
        <v>97041.406755868738</v>
      </c>
      <c r="CM155" s="35">
        <f t="shared" si="156"/>
        <v>247612.56483307769</v>
      </c>
    </row>
    <row r="156" spans="1:91" x14ac:dyDescent="0.3">
      <c r="A156" s="4" t="str">
        <f>DATASETS!A79</f>
        <v>QUEZON AVE.</v>
      </c>
      <c r="B156" s="4" t="str">
        <f>DATASETS!E79</f>
        <v>Training</v>
      </c>
      <c r="C156" s="9">
        <f>DATASETS!C79</f>
        <v>230099</v>
      </c>
      <c r="D156" s="4">
        <f>DATASETS!B79</f>
        <v>2019</v>
      </c>
      <c r="E156" s="6">
        <f>DATASETS!I79</f>
        <v>2378</v>
      </c>
      <c r="F156" s="9">
        <f>DATASETS!H79</f>
        <v>61</v>
      </c>
      <c r="G156" s="11">
        <f t="shared" si="106"/>
        <v>0</v>
      </c>
      <c r="H156" s="11">
        <f t="shared" si="106"/>
        <v>0</v>
      </c>
      <c r="I156" s="11">
        <f t="shared" si="106"/>
        <v>0</v>
      </c>
      <c r="J156" s="11">
        <f t="shared" si="106"/>
        <v>0</v>
      </c>
      <c r="K156" s="11">
        <f t="shared" si="106"/>
        <v>0</v>
      </c>
      <c r="L156" s="11">
        <f t="shared" si="106"/>
        <v>0</v>
      </c>
      <c r="M156" s="11">
        <f t="shared" si="106"/>
        <v>0</v>
      </c>
      <c r="N156" s="11">
        <f t="shared" si="106"/>
        <v>1</v>
      </c>
      <c r="O156" s="11">
        <f t="shared" si="106"/>
        <v>0</v>
      </c>
      <c r="P156" s="11">
        <f t="shared" si="106"/>
        <v>0</v>
      </c>
      <c r="Q156" s="11">
        <f t="shared" si="106"/>
        <v>0</v>
      </c>
      <c r="R156" s="11">
        <f t="shared" si="106"/>
        <v>0</v>
      </c>
      <c r="S156" s="11">
        <f t="shared" si="106"/>
        <v>0</v>
      </c>
      <c r="T156" s="6">
        <f>DATASETS!D79</f>
        <v>2635</v>
      </c>
      <c r="U156" s="37">
        <v>1</v>
      </c>
      <c r="V156" s="37">
        <v>0</v>
      </c>
      <c r="W156" s="37">
        <v>1</v>
      </c>
      <c r="X156" s="37">
        <v>1</v>
      </c>
      <c r="Y156" s="37">
        <v>0</v>
      </c>
      <c r="Z156" s="37">
        <v>0</v>
      </c>
      <c r="AA156" s="37">
        <v>2</v>
      </c>
      <c r="AB156" s="37">
        <v>1</v>
      </c>
      <c r="AC156" s="37">
        <v>1</v>
      </c>
      <c r="AD156" s="37">
        <v>0</v>
      </c>
      <c r="AE156" s="11">
        <f t="shared" si="107"/>
        <v>11</v>
      </c>
      <c r="AF156" s="11">
        <f t="shared" si="108"/>
        <v>10</v>
      </c>
      <c r="AG156" s="11">
        <f t="shared" si="109"/>
        <v>11</v>
      </c>
      <c r="AH156" s="11">
        <f t="shared" si="110"/>
        <v>11</v>
      </c>
      <c r="AI156" s="11">
        <f t="shared" si="111"/>
        <v>11</v>
      </c>
      <c r="AJ156" s="11">
        <f t="shared" si="112"/>
        <v>13</v>
      </c>
      <c r="AK156" s="11">
        <f t="shared" si="113"/>
        <v>11</v>
      </c>
      <c r="AL156" s="11">
        <f t="shared" si="114"/>
        <v>11</v>
      </c>
      <c r="AM156" s="11">
        <f t="shared" si="115"/>
        <v>7</v>
      </c>
      <c r="AN156" s="11">
        <f t="shared" si="116"/>
        <v>10</v>
      </c>
      <c r="AO156" s="35">
        <f t="shared" si="117"/>
        <v>1013.2857142857143</v>
      </c>
      <c r="AP156" s="35">
        <f t="shared" si="118"/>
        <v>4547</v>
      </c>
      <c r="AQ156" s="35">
        <f t="shared" si="119"/>
        <v>953.16666666666663</v>
      </c>
      <c r="AR156" s="35">
        <f t="shared" si="120"/>
        <v>5356.5</v>
      </c>
      <c r="AS156" s="35">
        <f t="shared" si="121"/>
        <v>960.18181818181813</v>
      </c>
      <c r="AT156" s="35">
        <f t="shared" si="122"/>
        <v>5849.666666666667</v>
      </c>
      <c r="AU156" s="35">
        <f t="shared" si="123"/>
        <v>1263.8333333333333</v>
      </c>
      <c r="AV156" s="35">
        <f t="shared" si="124"/>
        <v>7225.2</v>
      </c>
      <c r="AW156" s="35">
        <f t="shared" si="125"/>
        <v>1715.36</v>
      </c>
      <c r="AX156" s="35">
        <f t="shared" si="126"/>
        <v>3516.5</v>
      </c>
      <c r="AY156" s="28">
        <f t="shared" si="127"/>
        <v>3240.06941991342</v>
      </c>
      <c r="AZ156" s="35">
        <f t="shared" si="128"/>
        <v>-605.06941991342001</v>
      </c>
      <c r="BA156" s="35">
        <f t="shared" si="129"/>
        <v>605.06941991342001</v>
      </c>
      <c r="BB156" s="35">
        <f t="shared" si="130"/>
        <v>366109.00291436259</v>
      </c>
      <c r="BC156" s="35">
        <f t="shared" si="131"/>
        <v>569431.47936299222</v>
      </c>
      <c r="BE156" s="37">
        <v>1</v>
      </c>
      <c r="BF156" s="37">
        <v>0</v>
      </c>
      <c r="BG156" s="37">
        <v>1</v>
      </c>
      <c r="BH156" s="37">
        <v>1</v>
      </c>
      <c r="BI156" s="37">
        <v>0</v>
      </c>
      <c r="BJ156" s="37">
        <v>0</v>
      </c>
      <c r="BK156" s="37">
        <v>2</v>
      </c>
      <c r="BL156" s="37">
        <v>1</v>
      </c>
      <c r="BM156" s="37">
        <v>1</v>
      </c>
      <c r="BN156" s="37">
        <v>0</v>
      </c>
      <c r="BO156" s="11">
        <f t="shared" si="132"/>
        <v>7</v>
      </c>
      <c r="BP156" s="11">
        <f t="shared" si="133"/>
        <v>6</v>
      </c>
      <c r="BQ156" s="11">
        <f t="shared" si="134"/>
        <v>7</v>
      </c>
      <c r="BR156" s="11">
        <f t="shared" si="135"/>
        <v>7</v>
      </c>
      <c r="BS156" s="11">
        <f t="shared" si="136"/>
        <v>7</v>
      </c>
      <c r="BT156" s="11">
        <f t="shared" si="137"/>
        <v>7</v>
      </c>
      <c r="BU156" s="11">
        <f t="shared" si="138"/>
        <v>7</v>
      </c>
      <c r="BV156" s="11">
        <f t="shared" si="139"/>
        <v>6</v>
      </c>
      <c r="BW156" s="11">
        <f t="shared" si="140"/>
        <v>6</v>
      </c>
      <c r="BX156" s="11">
        <f t="shared" si="141"/>
        <v>6</v>
      </c>
      <c r="BY156" s="35">
        <f t="shared" si="142"/>
        <v>2723.6666666666665</v>
      </c>
      <c r="BZ156" s="35">
        <f t="shared" si="143"/>
        <v>2135.1666666666665</v>
      </c>
      <c r="CA156" s="35">
        <f t="shared" si="144"/>
        <v>2109.6060606060605</v>
      </c>
      <c r="CB156" s="35">
        <f t="shared" si="145"/>
        <v>2239.9655172413795</v>
      </c>
      <c r="CC156" s="35">
        <f t="shared" si="146"/>
        <v>1353.2222222222222</v>
      </c>
      <c r="CD156" s="35">
        <f t="shared" si="147"/>
        <v>1904.0526315789473</v>
      </c>
      <c r="CE156" s="35">
        <f t="shared" si="148"/>
        <v>2134.6666666666665</v>
      </c>
      <c r="CF156" s="35">
        <f t="shared" si="149"/>
        <v>2294.5789473684213</v>
      </c>
      <c r="CG156" s="35">
        <f t="shared" si="150"/>
        <v>1803.9583333333333</v>
      </c>
      <c r="CH156" s="35">
        <f t="shared" si="151"/>
        <v>1952.125</v>
      </c>
      <c r="CI156" s="28">
        <f t="shared" si="152"/>
        <v>2065.1008712350363</v>
      </c>
      <c r="CJ156" s="35">
        <f t="shared" si="153"/>
        <v>569.89912876496373</v>
      </c>
      <c r="CK156" s="35">
        <f t="shared" si="154"/>
        <v>569.89912876496373</v>
      </c>
      <c r="CL156" s="35">
        <f t="shared" si="155"/>
        <v>324785.0169670647</v>
      </c>
      <c r="CM156" s="35">
        <f t="shared" si="156"/>
        <v>569431.47936299222</v>
      </c>
    </row>
    <row r="157" spans="1:91" x14ac:dyDescent="0.3">
      <c r="A157" s="4" t="str">
        <f>DATASETS!A80</f>
        <v>QUEZON AVE.</v>
      </c>
      <c r="B157" s="4" t="str">
        <f>DATASETS!E80</f>
        <v>Training</v>
      </c>
      <c r="C157" s="9">
        <f>DATASETS!C80</f>
        <v>237759</v>
      </c>
      <c r="D157" s="4">
        <f>DATASETS!B80</f>
        <v>2020</v>
      </c>
      <c r="E157" s="6">
        <f>DATASETS!I80</f>
        <v>2635</v>
      </c>
      <c r="F157" s="9">
        <f>DATASETS!H80</f>
        <v>61</v>
      </c>
      <c r="G157" s="11">
        <f t="shared" si="106"/>
        <v>0</v>
      </c>
      <c r="H157" s="11">
        <f t="shared" si="106"/>
        <v>0</v>
      </c>
      <c r="I157" s="11">
        <f t="shared" si="106"/>
        <v>0</v>
      </c>
      <c r="J157" s="11">
        <f t="shared" si="106"/>
        <v>0</v>
      </c>
      <c r="K157" s="11">
        <f t="shared" si="106"/>
        <v>0</v>
      </c>
      <c r="L157" s="11">
        <f t="shared" si="106"/>
        <v>0</v>
      </c>
      <c r="M157" s="11">
        <f t="shared" si="106"/>
        <v>0</v>
      </c>
      <c r="N157" s="11">
        <f t="shared" si="106"/>
        <v>1</v>
      </c>
      <c r="O157" s="11">
        <f t="shared" si="106"/>
        <v>0</v>
      </c>
      <c r="P157" s="11">
        <f t="shared" si="106"/>
        <v>0</v>
      </c>
      <c r="Q157" s="11">
        <f t="shared" si="106"/>
        <v>0</v>
      </c>
      <c r="R157" s="11">
        <f t="shared" si="106"/>
        <v>0</v>
      </c>
      <c r="S157" s="11">
        <f t="shared" si="106"/>
        <v>0</v>
      </c>
      <c r="T157" s="6">
        <f>DATASETS!D80</f>
        <v>1178</v>
      </c>
      <c r="U157" s="37">
        <v>0</v>
      </c>
      <c r="V157" s="37">
        <v>1</v>
      </c>
      <c r="W157" s="37">
        <v>0</v>
      </c>
      <c r="X157" s="37">
        <v>1</v>
      </c>
      <c r="Y157" s="37">
        <v>3</v>
      </c>
      <c r="Z157" s="37">
        <v>2</v>
      </c>
      <c r="AA157" s="37">
        <v>2</v>
      </c>
      <c r="AB157" s="37">
        <v>2</v>
      </c>
      <c r="AC157" s="37">
        <v>1</v>
      </c>
      <c r="AD157" s="37">
        <v>0</v>
      </c>
      <c r="AE157" s="11">
        <f t="shared" si="107"/>
        <v>11</v>
      </c>
      <c r="AF157" s="11">
        <f t="shared" si="108"/>
        <v>11</v>
      </c>
      <c r="AG157" s="11">
        <f t="shared" si="109"/>
        <v>13</v>
      </c>
      <c r="AH157" s="11">
        <f t="shared" si="110"/>
        <v>13</v>
      </c>
      <c r="AI157" s="11">
        <f t="shared" si="111"/>
        <v>11</v>
      </c>
      <c r="AJ157" s="11">
        <f t="shared" si="112"/>
        <v>13</v>
      </c>
      <c r="AK157" s="11">
        <f t="shared" si="113"/>
        <v>12</v>
      </c>
      <c r="AL157" s="11">
        <f t="shared" si="114"/>
        <v>13</v>
      </c>
      <c r="AM157" s="11">
        <f t="shared" si="115"/>
        <v>9</v>
      </c>
      <c r="AN157" s="11">
        <f t="shared" si="116"/>
        <v>11</v>
      </c>
      <c r="AO157" s="35">
        <f t="shared" si="117"/>
        <v>1013.2857142857143</v>
      </c>
      <c r="AP157" s="35">
        <f t="shared" si="118"/>
        <v>7272.4285714285716</v>
      </c>
      <c r="AQ157" s="35">
        <f t="shared" si="119"/>
        <v>6677.833333333333</v>
      </c>
      <c r="AR157" s="35">
        <f t="shared" si="120"/>
        <v>3359.2857142857142</v>
      </c>
      <c r="AS157" s="35">
        <f t="shared" si="121"/>
        <v>960.18181818181813</v>
      </c>
      <c r="AT157" s="35">
        <f t="shared" si="122"/>
        <v>5849.666666666667</v>
      </c>
      <c r="AU157" s="35">
        <f t="shared" si="123"/>
        <v>4402.375</v>
      </c>
      <c r="AV157" s="35">
        <f t="shared" si="124"/>
        <v>3066.2307692307691</v>
      </c>
      <c r="AW157" s="35">
        <f t="shared" si="125"/>
        <v>7189.666666666667</v>
      </c>
      <c r="AX157" s="35">
        <f t="shared" si="126"/>
        <v>6672.375</v>
      </c>
      <c r="AY157" s="28">
        <f t="shared" si="127"/>
        <v>4646.3329254079254</v>
      </c>
      <c r="AZ157" s="35">
        <f t="shared" si="128"/>
        <v>-3468.3329254079254</v>
      </c>
      <c r="BA157" s="35">
        <f t="shared" si="129"/>
        <v>3468.3329254079254</v>
      </c>
      <c r="BB157" s="35">
        <f t="shared" si="130"/>
        <v>12029333.281468697</v>
      </c>
      <c r="BC157" s="35">
        <f t="shared" si="131"/>
        <v>493356.15457666735</v>
      </c>
      <c r="BE157" s="37">
        <v>0</v>
      </c>
      <c r="BF157" s="37">
        <v>1</v>
      </c>
      <c r="BG157" s="37">
        <v>0</v>
      </c>
      <c r="BH157" s="37">
        <v>1</v>
      </c>
      <c r="BI157" s="37">
        <v>3</v>
      </c>
      <c r="BJ157" s="37">
        <v>2</v>
      </c>
      <c r="BK157" s="37">
        <v>2</v>
      </c>
      <c r="BL157" s="37">
        <v>2</v>
      </c>
      <c r="BM157" s="37">
        <v>1</v>
      </c>
      <c r="BN157" s="37">
        <v>0</v>
      </c>
      <c r="BO157" s="11">
        <f t="shared" si="132"/>
        <v>7</v>
      </c>
      <c r="BP157" s="11">
        <f t="shared" si="133"/>
        <v>7</v>
      </c>
      <c r="BQ157" s="11">
        <f t="shared" si="134"/>
        <v>7</v>
      </c>
      <c r="BR157" s="11">
        <f t="shared" si="135"/>
        <v>7</v>
      </c>
      <c r="BS157" s="11">
        <f t="shared" si="136"/>
        <v>7</v>
      </c>
      <c r="BT157" s="11">
        <f t="shared" si="137"/>
        <v>7</v>
      </c>
      <c r="BU157" s="11">
        <f t="shared" si="138"/>
        <v>7</v>
      </c>
      <c r="BV157" s="11">
        <f t="shared" si="139"/>
        <v>7</v>
      </c>
      <c r="BW157" s="11">
        <f t="shared" si="140"/>
        <v>6</v>
      </c>
      <c r="BX157" s="11">
        <f t="shared" si="141"/>
        <v>6</v>
      </c>
      <c r="BY157" s="35">
        <f t="shared" si="142"/>
        <v>2723.6666666666665</v>
      </c>
      <c r="BZ157" s="35">
        <f t="shared" si="143"/>
        <v>1290.3333333333333</v>
      </c>
      <c r="CA157" s="35">
        <f t="shared" si="144"/>
        <v>2109.6060606060605</v>
      </c>
      <c r="CB157" s="35">
        <f t="shared" si="145"/>
        <v>2239.9655172413795</v>
      </c>
      <c r="CC157" s="35">
        <f t="shared" si="146"/>
        <v>1353.2222222222222</v>
      </c>
      <c r="CD157" s="35">
        <f t="shared" si="147"/>
        <v>1904.0526315789473</v>
      </c>
      <c r="CE157" s="35">
        <f t="shared" si="148"/>
        <v>2134.6666666666665</v>
      </c>
      <c r="CF157" s="35">
        <f t="shared" si="149"/>
        <v>1805.125</v>
      </c>
      <c r="CG157" s="35">
        <f t="shared" si="150"/>
        <v>1803.9583333333333</v>
      </c>
      <c r="CH157" s="35">
        <f t="shared" si="151"/>
        <v>1952.125</v>
      </c>
      <c r="CI157" s="28">
        <f t="shared" si="152"/>
        <v>1931.6721431648609</v>
      </c>
      <c r="CJ157" s="35">
        <f t="shared" si="153"/>
        <v>-753.67214316486093</v>
      </c>
      <c r="CK157" s="35">
        <f t="shared" si="154"/>
        <v>753.67214316486093</v>
      </c>
      <c r="CL157" s="35">
        <f t="shared" si="155"/>
        <v>568021.69938271458</v>
      </c>
      <c r="CM157" s="35">
        <f t="shared" si="156"/>
        <v>493356.15457666735</v>
      </c>
    </row>
    <row r="158" spans="1:91" x14ac:dyDescent="0.3">
      <c r="A158" s="4" t="str">
        <f>DATASETS!A81</f>
        <v>QUEZON AVE.</v>
      </c>
      <c r="B158" s="4" t="str">
        <f>DATASETS!E81</f>
        <v>Training</v>
      </c>
      <c r="C158" s="9">
        <f>DATASETS!C81</f>
        <v>262128</v>
      </c>
      <c r="D158" s="4">
        <f>DATASETS!B81</f>
        <v>2021</v>
      </c>
      <c r="E158" s="6">
        <f>DATASETS!I81</f>
        <v>1178</v>
      </c>
      <c r="F158" s="9">
        <f>DATASETS!H81</f>
        <v>61</v>
      </c>
      <c r="G158" s="11">
        <f t="shared" si="106"/>
        <v>0</v>
      </c>
      <c r="H158" s="11">
        <f t="shared" si="106"/>
        <v>0</v>
      </c>
      <c r="I158" s="11">
        <f t="shared" si="106"/>
        <v>0</v>
      </c>
      <c r="J158" s="11">
        <f t="shared" si="106"/>
        <v>0</v>
      </c>
      <c r="K158" s="11">
        <f t="shared" si="106"/>
        <v>0</v>
      </c>
      <c r="L158" s="11">
        <f t="shared" si="106"/>
        <v>0</v>
      </c>
      <c r="M158" s="11">
        <f t="shared" si="106"/>
        <v>0</v>
      </c>
      <c r="N158" s="11">
        <f t="shared" si="106"/>
        <v>1</v>
      </c>
      <c r="O158" s="11">
        <f t="shared" si="106"/>
        <v>0</v>
      </c>
      <c r="P158" s="11">
        <f t="shared" si="106"/>
        <v>0</v>
      </c>
      <c r="Q158" s="11">
        <f t="shared" si="106"/>
        <v>0</v>
      </c>
      <c r="R158" s="11">
        <f t="shared" si="106"/>
        <v>0</v>
      </c>
      <c r="S158" s="11">
        <f t="shared" si="106"/>
        <v>0</v>
      </c>
      <c r="T158" s="6">
        <f>DATASETS!D81</f>
        <v>1753</v>
      </c>
      <c r="U158" s="37">
        <v>3</v>
      </c>
      <c r="V158" s="37">
        <v>0</v>
      </c>
      <c r="W158" s="37">
        <v>2</v>
      </c>
      <c r="X158" s="37">
        <v>0</v>
      </c>
      <c r="Y158" s="37">
        <v>2</v>
      </c>
      <c r="Z158" s="37">
        <v>0</v>
      </c>
      <c r="AA158" s="37">
        <v>0</v>
      </c>
      <c r="AB158" s="37">
        <v>2</v>
      </c>
      <c r="AC158" s="37">
        <v>0</v>
      </c>
      <c r="AD158" s="37">
        <v>0</v>
      </c>
      <c r="AE158" s="11">
        <f t="shared" si="107"/>
        <v>12</v>
      </c>
      <c r="AF158" s="11">
        <f t="shared" si="108"/>
        <v>14</v>
      </c>
      <c r="AG158" s="11">
        <f t="shared" si="109"/>
        <v>14</v>
      </c>
      <c r="AH158" s="11">
        <f t="shared" si="110"/>
        <v>14</v>
      </c>
      <c r="AI158" s="11">
        <f t="shared" si="111"/>
        <v>12</v>
      </c>
      <c r="AJ158" s="11">
        <f t="shared" si="112"/>
        <v>14</v>
      </c>
      <c r="AK158" s="11">
        <f t="shared" si="113"/>
        <v>12</v>
      </c>
      <c r="AL158" s="11">
        <f t="shared" si="114"/>
        <v>13</v>
      </c>
      <c r="AM158" s="11">
        <f t="shared" si="115"/>
        <v>11</v>
      </c>
      <c r="AN158" s="11">
        <f t="shared" si="116"/>
        <v>13</v>
      </c>
      <c r="AO158" s="35">
        <f t="shared" si="117"/>
        <v>3512.1428571428573</v>
      </c>
      <c r="AP158" s="35">
        <f t="shared" si="118"/>
        <v>4040.3636363636365</v>
      </c>
      <c r="AQ158" s="35">
        <f t="shared" si="119"/>
        <v>3393.8823529411766</v>
      </c>
      <c r="AR158" s="35">
        <f t="shared" si="120"/>
        <v>2684.8333333333335</v>
      </c>
      <c r="AS158" s="35">
        <f t="shared" si="121"/>
        <v>3307.5294117647059</v>
      </c>
      <c r="AT158" s="35">
        <f t="shared" si="122"/>
        <v>3280.125</v>
      </c>
      <c r="AU158" s="35">
        <f t="shared" si="123"/>
        <v>4402.375</v>
      </c>
      <c r="AV158" s="35">
        <f t="shared" si="124"/>
        <v>3066.2307692307691</v>
      </c>
      <c r="AW158" s="35">
        <f t="shared" si="125"/>
        <v>2801</v>
      </c>
      <c r="AX158" s="35">
        <f t="shared" si="126"/>
        <v>2367</v>
      </c>
      <c r="AY158" s="28">
        <f t="shared" si="127"/>
        <v>3285.5482360776477</v>
      </c>
      <c r="AZ158" s="35">
        <f t="shared" si="128"/>
        <v>-1532.5482360776477</v>
      </c>
      <c r="BA158" s="35">
        <f t="shared" si="129"/>
        <v>1532.5482360776477</v>
      </c>
      <c r="BB158" s="35">
        <f t="shared" si="130"/>
        <v>2348704.0959047093</v>
      </c>
      <c r="BC158" s="35">
        <f t="shared" si="131"/>
        <v>16229.017824530636</v>
      </c>
      <c r="BE158" s="37">
        <v>3</v>
      </c>
      <c r="BF158" s="37">
        <v>0</v>
      </c>
      <c r="BG158" s="37">
        <v>2</v>
      </c>
      <c r="BH158" s="37">
        <v>0</v>
      </c>
      <c r="BI158" s="37">
        <v>2</v>
      </c>
      <c r="BJ158" s="37">
        <v>0</v>
      </c>
      <c r="BK158" s="37">
        <v>0</v>
      </c>
      <c r="BL158" s="37">
        <v>2</v>
      </c>
      <c r="BM158" s="37">
        <v>0</v>
      </c>
      <c r="BN158" s="37">
        <v>0</v>
      </c>
      <c r="BO158" s="11">
        <f t="shared" si="132"/>
        <v>4</v>
      </c>
      <c r="BP158" s="11">
        <f t="shared" si="133"/>
        <v>7</v>
      </c>
      <c r="BQ158" s="11">
        <f t="shared" si="134"/>
        <v>4</v>
      </c>
      <c r="BR158" s="11">
        <f t="shared" si="135"/>
        <v>4</v>
      </c>
      <c r="BS158" s="11">
        <f t="shared" si="136"/>
        <v>4</v>
      </c>
      <c r="BT158" s="11">
        <f t="shared" si="137"/>
        <v>6</v>
      </c>
      <c r="BU158" s="11">
        <f t="shared" si="138"/>
        <v>3</v>
      </c>
      <c r="BV158" s="11">
        <f t="shared" si="139"/>
        <v>4</v>
      </c>
      <c r="BW158" s="11">
        <f t="shared" si="140"/>
        <v>4</v>
      </c>
      <c r="BX158" s="11">
        <f t="shared" si="141"/>
        <v>4</v>
      </c>
      <c r="BY158" s="35">
        <f t="shared" si="142"/>
        <v>1064.1818181818182</v>
      </c>
      <c r="BZ158" s="35">
        <f t="shared" si="143"/>
        <v>1290.3333333333333</v>
      </c>
      <c r="CA158" s="35">
        <f t="shared" si="144"/>
        <v>1010.6551724137931</v>
      </c>
      <c r="CB158" s="35">
        <f t="shared" si="145"/>
        <v>1067.3953488372092</v>
      </c>
      <c r="CC158" s="35">
        <f t="shared" si="146"/>
        <v>1186.5882352941176</v>
      </c>
      <c r="CD158" s="35">
        <f t="shared" si="147"/>
        <v>1283.8095238095239</v>
      </c>
      <c r="CE158" s="35">
        <f t="shared" si="148"/>
        <v>737.21875</v>
      </c>
      <c r="CF158" s="35">
        <f t="shared" si="149"/>
        <v>1130.5</v>
      </c>
      <c r="CG158" s="35">
        <f t="shared" si="150"/>
        <v>1060.5135135135135</v>
      </c>
      <c r="CH158" s="35">
        <f t="shared" si="151"/>
        <v>1071.409090909091</v>
      </c>
      <c r="CI158" s="28">
        <f t="shared" si="152"/>
        <v>1090.26047862924</v>
      </c>
      <c r="CJ158" s="35">
        <f t="shared" si="153"/>
        <v>662.73952137076003</v>
      </c>
      <c r="CK158" s="35">
        <f t="shared" si="154"/>
        <v>662.73952137076003</v>
      </c>
      <c r="CL158" s="35">
        <f t="shared" si="155"/>
        <v>439223.6731867441</v>
      </c>
      <c r="CM158" s="35">
        <f t="shared" si="156"/>
        <v>16229.017824530636</v>
      </c>
    </row>
    <row r="159" spans="1:91" x14ac:dyDescent="0.3">
      <c r="A159" s="4" t="str">
        <f>DATASETS!A82</f>
        <v>QUEZON AVE.</v>
      </c>
      <c r="B159" s="4" t="str">
        <f>DATASETS!E82</f>
        <v>Training</v>
      </c>
      <c r="C159" s="9">
        <f>DATASETS!C82</f>
        <v>280606</v>
      </c>
      <c r="D159" s="4">
        <f>DATASETS!B82</f>
        <v>2022</v>
      </c>
      <c r="E159" s="6">
        <f>DATASETS!I82</f>
        <v>1753</v>
      </c>
      <c r="F159" s="9">
        <f>DATASETS!H82</f>
        <v>61</v>
      </c>
      <c r="G159" s="11">
        <f t="shared" si="106"/>
        <v>0</v>
      </c>
      <c r="H159" s="11">
        <f t="shared" si="106"/>
        <v>0</v>
      </c>
      <c r="I159" s="11">
        <f t="shared" si="106"/>
        <v>0</v>
      </c>
      <c r="J159" s="11">
        <f t="shared" si="106"/>
        <v>0</v>
      </c>
      <c r="K159" s="11">
        <f t="shared" si="106"/>
        <v>0</v>
      </c>
      <c r="L159" s="11">
        <f t="shared" si="106"/>
        <v>0</v>
      </c>
      <c r="M159" s="11">
        <f t="shared" si="106"/>
        <v>0</v>
      </c>
      <c r="N159" s="11">
        <f t="shared" si="106"/>
        <v>1</v>
      </c>
      <c r="O159" s="11">
        <f t="shared" si="106"/>
        <v>0</v>
      </c>
      <c r="P159" s="11">
        <f t="shared" si="106"/>
        <v>0</v>
      </c>
      <c r="Q159" s="11">
        <f t="shared" si="106"/>
        <v>0</v>
      </c>
      <c r="R159" s="11">
        <f t="shared" si="106"/>
        <v>0</v>
      </c>
      <c r="S159" s="11">
        <f t="shared" si="106"/>
        <v>0</v>
      </c>
      <c r="T159" s="6">
        <f>DATASETS!D82</f>
        <v>1955</v>
      </c>
      <c r="U159" s="37">
        <v>0</v>
      </c>
      <c r="V159" s="37">
        <v>0</v>
      </c>
      <c r="W159" s="37">
        <v>2</v>
      </c>
      <c r="X159" s="37">
        <v>1</v>
      </c>
      <c r="Y159" s="37">
        <v>2</v>
      </c>
      <c r="Z159" s="37">
        <v>1</v>
      </c>
      <c r="AA159" s="37">
        <v>0</v>
      </c>
      <c r="AB159" s="37">
        <v>1</v>
      </c>
      <c r="AC159" s="37">
        <v>0</v>
      </c>
      <c r="AD159" s="37">
        <v>2</v>
      </c>
      <c r="AE159" s="11">
        <f t="shared" si="107"/>
        <v>12</v>
      </c>
      <c r="AF159" s="11">
        <f t="shared" si="108"/>
        <v>14</v>
      </c>
      <c r="AG159" s="11">
        <f t="shared" si="109"/>
        <v>14</v>
      </c>
      <c r="AH159" s="11">
        <f t="shared" si="110"/>
        <v>14</v>
      </c>
      <c r="AI159" s="11">
        <f t="shared" si="111"/>
        <v>12</v>
      </c>
      <c r="AJ159" s="11">
        <f t="shared" si="112"/>
        <v>14</v>
      </c>
      <c r="AK159" s="11">
        <f t="shared" si="113"/>
        <v>12</v>
      </c>
      <c r="AL159" s="11">
        <f t="shared" si="114"/>
        <v>13</v>
      </c>
      <c r="AM159" s="11">
        <f t="shared" si="115"/>
        <v>11</v>
      </c>
      <c r="AN159" s="11">
        <f t="shared" si="116"/>
        <v>13</v>
      </c>
      <c r="AO159" s="35">
        <f t="shared" si="117"/>
        <v>3512.1428571428573</v>
      </c>
      <c r="AP159" s="35">
        <f t="shared" si="118"/>
        <v>4040.3636363636365</v>
      </c>
      <c r="AQ159" s="35">
        <f t="shared" si="119"/>
        <v>3393.8823529411766</v>
      </c>
      <c r="AR159" s="35">
        <f t="shared" si="120"/>
        <v>2684.8333333333335</v>
      </c>
      <c r="AS159" s="35">
        <f t="shared" si="121"/>
        <v>3307.5294117647059</v>
      </c>
      <c r="AT159" s="35">
        <f t="shared" si="122"/>
        <v>3280.125</v>
      </c>
      <c r="AU159" s="35">
        <f t="shared" si="123"/>
        <v>4402.375</v>
      </c>
      <c r="AV159" s="35">
        <f t="shared" si="124"/>
        <v>3066.2307692307691</v>
      </c>
      <c r="AW159" s="35">
        <f t="shared" si="125"/>
        <v>2801</v>
      </c>
      <c r="AX159" s="35">
        <f t="shared" si="126"/>
        <v>2367</v>
      </c>
      <c r="AY159" s="28">
        <f t="shared" si="127"/>
        <v>3285.5482360776477</v>
      </c>
      <c r="AZ159" s="35">
        <f t="shared" si="128"/>
        <v>-1330.5482360776477</v>
      </c>
      <c r="BA159" s="35">
        <f t="shared" si="129"/>
        <v>1330.5482360776477</v>
      </c>
      <c r="BB159" s="35">
        <f t="shared" si="130"/>
        <v>1770358.6085293398</v>
      </c>
      <c r="BC159" s="35">
        <f t="shared" si="131"/>
        <v>5566.1802176930441</v>
      </c>
      <c r="BE159" s="37">
        <v>0</v>
      </c>
      <c r="BF159" s="37">
        <v>0</v>
      </c>
      <c r="BG159" s="37">
        <v>2</v>
      </c>
      <c r="BH159" s="37">
        <v>1</v>
      </c>
      <c r="BI159" s="37">
        <v>2</v>
      </c>
      <c r="BJ159" s="37">
        <v>1</v>
      </c>
      <c r="BK159" s="37">
        <v>0</v>
      </c>
      <c r="BL159" s="37">
        <v>1</v>
      </c>
      <c r="BM159" s="37">
        <v>0</v>
      </c>
      <c r="BN159" s="37">
        <v>2</v>
      </c>
      <c r="BO159" s="11">
        <f t="shared" si="132"/>
        <v>7</v>
      </c>
      <c r="BP159" s="11">
        <f t="shared" si="133"/>
        <v>7</v>
      </c>
      <c r="BQ159" s="11">
        <f t="shared" si="134"/>
        <v>7</v>
      </c>
      <c r="BR159" s="11">
        <f t="shared" si="135"/>
        <v>7</v>
      </c>
      <c r="BS159" s="11">
        <f t="shared" si="136"/>
        <v>6</v>
      </c>
      <c r="BT159" s="11">
        <f t="shared" si="137"/>
        <v>7</v>
      </c>
      <c r="BU159" s="11">
        <f t="shared" si="138"/>
        <v>7</v>
      </c>
      <c r="BV159" s="11">
        <f t="shared" si="139"/>
        <v>7</v>
      </c>
      <c r="BW159" s="11">
        <f t="shared" si="140"/>
        <v>7</v>
      </c>
      <c r="BX159" s="11">
        <f t="shared" si="141"/>
        <v>6</v>
      </c>
      <c r="BY159" s="35">
        <f t="shared" si="142"/>
        <v>2723.6666666666665</v>
      </c>
      <c r="BZ159" s="35">
        <f t="shared" si="143"/>
        <v>1290.3333333333333</v>
      </c>
      <c r="CA159" s="35">
        <f t="shared" si="144"/>
        <v>2109.6060606060605</v>
      </c>
      <c r="CB159" s="35">
        <f t="shared" si="145"/>
        <v>2239.9655172413795</v>
      </c>
      <c r="CC159" s="35">
        <f t="shared" si="146"/>
        <v>2206.8636363636365</v>
      </c>
      <c r="CD159" s="35">
        <f t="shared" si="147"/>
        <v>1904.0526315789473</v>
      </c>
      <c r="CE159" s="35">
        <f t="shared" si="148"/>
        <v>2134.6666666666665</v>
      </c>
      <c r="CF159" s="35">
        <f t="shared" si="149"/>
        <v>1805.125</v>
      </c>
      <c r="CG159" s="35">
        <f t="shared" si="150"/>
        <v>2852</v>
      </c>
      <c r="CH159" s="35">
        <f t="shared" si="151"/>
        <v>1952.125</v>
      </c>
      <c r="CI159" s="28">
        <f t="shared" si="152"/>
        <v>2121.8404512456691</v>
      </c>
      <c r="CJ159" s="35">
        <f t="shared" si="153"/>
        <v>-166.8404512456691</v>
      </c>
      <c r="CK159" s="35">
        <f t="shared" si="154"/>
        <v>166.8404512456691</v>
      </c>
      <c r="CL159" s="35">
        <f t="shared" si="155"/>
        <v>27835.736171858487</v>
      </c>
      <c r="CM159" s="35">
        <f t="shared" si="156"/>
        <v>5566.1802176930441</v>
      </c>
    </row>
    <row r="160" spans="1:91" x14ac:dyDescent="0.3">
      <c r="A160" s="4" t="str">
        <f>DATASETS!A83</f>
        <v>QUEZON AVE.</v>
      </c>
      <c r="B160" s="4" t="str">
        <f>DATASETS!E83</f>
        <v>Training</v>
      </c>
      <c r="C160" s="9">
        <f>DATASETS!C83</f>
        <v>312486</v>
      </c>
      <c r="D160" s="4">
        <f>DATASETS!B83</f>
        <v>2023</v>
      </c>
      <c r="E160" s="6">
        <f>DATASETS!I83</f>
        <v>1955</v>
      </c>
      <c r="F160" s="9">
        <f>DATASETS!H83</f>
        <v>61</v>
      </c>
      <c r="G160" s="11">
        <f t="shared" ref="G160:S169" si="157">IF($A160=G$88,1,0)</f>
        <v>0</v>
      </c>
      <c r="H160" s="11">
        <f t="shared" si="157"/>
        <v>0</v>
      </c>
      <c r="I160" s="11">
        <f t="shared" si="157"/>
        <v>0</v>
      </c>
      <c r="J160" s="11">
        <f t="shared" si="157"/>
        <v>0</v>
      </c>
      <c r="K160" s="11">
        <f t="shared" si="157"/>
        <v>0</v>
      </c>
      <c r="L160" s="11">
        <f t="shared" si="157"/>
        <v>0</v>
      </c>
      <c r="M160" s="11">
        <f t="shared" si="157"/>
        <v>0</v>
      </c>
      <c r="N160" s="11">
        <f t="shared" si="157"/>
        <v>1</v>
      </c>
      <c r="O160" s="11">
        <f t="shared" si="157"/>
        <v>0</v>
      </c>
      <c r="P160" s="11">
        <f t="shared" si="157"/>
        <v>0</v>
      </c>
      <c r="Q160" s="11">
        <f t="shared" si="157"/>
        <v>0</v>
      </c>
      <c r="R160" s="11">
        <f t="shared" si="157"/>
        <v>0</v>
      </c>
      <c r="S160" s="11">
        <f t="shared" si="157"/>
        <v>0</v>
      </c>
      <c r="T160" s="6">
        <f>DATASETS!D83</f>
        <v>2529</v>
      </c>
      <c r="U160" s="37">
        <v>2</v>
      </c>
      <c r="V160" s="37">
        <v>0</v>
      </c>
      <c r="W160" s="37">
        <v>2</v>
      </c>
      <c r="X160" s="37">
        <v>2</v>
      </c>
      <c r="Y160" s="37">
        <v>1</v>
      </c>
      <c r="Z160" s="37">
        <v>1</v>
      </c>
      <c r="AA160" s="37">
        <v>0</v>
      </c>
      <c r="AB160" s="37">
        <v>0</v>
      </c>
      <c r="AC160" s="37">
        <v>2</v>
      </c>
      <c r="AD160" s="37">
        <v>1</v>
      </c>
      <c r="AE160" s="11">
        <f t="shared" si="107"/>
        <v>12</v>
      </c>
      <c r="AF160" s="11">
        <f t="shared" si="108"/>
        <v>14</v>
      </c>
      <c r="AG160" s="11">
        <f t="shared" si="109"/>
        <v>14</v>
      </c>
      <c r="AH160" s="11">
        <f t="shared" si="110"/>
        <v>14</v>
      </c>
      <c r="AI160" s="11">
        <f t="shared" si="111"/>
        <v>12</v>
      </c>
      <c r="AJ160" s="11">
        <f t="shared" si="112"/>
        <v>14</v>
      </c>
      <c r="AK160" s="11">
        <f t="shared" si="113"/>
        <v>12</v>
      </c>
      <c r="AL160" s="11">
        <f t="shared" si="114"/>
        <v>14</v>
      </c>
      <c r="AM160" s="11">
        <f t="shared" si="115"/>
        <v>11</v>
      </c>
      <c r="AN160" s="11">
        <f t="shared" si="116"/>
        <v>14</v>
      </c>
      <c r="AO160" s="35">
        <f t="shared" si="117"/>
        <v>3512.1428571428573</v>
      </c>
      <c r="AP160" s="35">
        <f t="shared" si="118"/>
        <v>4040.3636363636365</v>
      </c>
      <c r="AQ160" s="35">
        <f t="shared" si="119"/>
        <v>3393.8823529411766</v>
      </c>
      <c r="AR160" s="35">
        <f t="shared" si="120"/>
        <v>2684.8333333333335</v>
      </c>
      <c r="AS160" s="35">
        <f t="shared" si="121"/>
        <v>3307.5294117647059</v>
      </c>
      <c r="AT160" s="35">
        <f t="shared" si="122"/>
        <v>3280.125</v>
      </c>
      <c r="AU160" s="35">
        <f t="shared" si="123"/>
        <v>4402.375</v>
      </c>
      <c r="AV160" s="35">
        <f t="shared" si="124"/>
        <v>4702.25</v>
      </c>
      <c r="AW160" s="35">
        <f t="shared" si="125"/>
        <v>2801</v>
      </c>
      <c r="AX160" s="35">
        <f t="shared" si="126"/>
        <v>3305.8571428571427</v>
      </c>
      <c r="AY160" s="28">
        <f t="shared" si="127"/>
        <v>3543.0358734402848</v>
      </c>
      <c r="AZ160" s="35">
        <f t="shared" si="128"/>
        <v>-1014.0358734402848</v>
      </c>
      <c r="BA160" s="35">
        <f t="shared" si="129"/>
        <v>1014.0358734402848</v>
      </c>
      <c r="BB160" s="35">
        <f t="shared" si="130"/>
        <v>1028268.7526238014</v>
      </c>
      <c r="BC160" s="35">
        <f t="shared" si="131"/>
        <v>420690.82979034266</v>
      </c>
      <c r="BE160" s="37">
        <v>2</v>
      </c>
      <c r="BF160" s="37">
        <v>0</v>
      </c>
      <c r="BG160" s="37">
        <v>2</v>
      </c>
      <c r="BH160" s="37">
        <v>2</v>
      </c>
      <c r="BI160" s="37">
        <v>1</v>
      </c>
      <c r="BJ160" s="37">
        <v>1</v>
      </c>
      <c r="BK160" s="37">
        <v>0</v>
      </c>
      <c r="BL160" s="37">
        <v>0</v>
      </c>
      <c r="BM160" s="37">
        <v>2</v>
      </c>
      <c r="BN160" s="37">
        <v>1</v>
      </c>
      <c r="BO160" s="11">
        <f t="shared" si="132"/>
        <v>7</v>
      </c>
      <c r="BP160" s="11">
        <f t="shared" si="133"/>
        <v>7</v>
      </c>
      <c r="BQ160" s="11">
        <f t="shared" si="134"/>
        <v>7</v>
      </c>
      <c r="BR160" s="11">
        <f t="shared" si="135"/>
        <v>7</v>
      </c>
      <c r="BS160" s="11">
        <f t="shared" si="136"/>
        <v>6</v>
      </c>
      <c r="BT160" s="11">
        <f t="shared" si="137"/>
        <v>7</v>
      </c>
      <c r="BU160" s="11">
        <f t="shared" si="138"/>
        <v>7</v>
      </c>
      <c r="BV160" s="11">
        <f t="shared" si="139"/>
        <v>7</v>
      </c>
      <c r="BW160" s="11">
        <f t="shared" si="140"/>
        <v>7</v>
      </c>
      <c r="BX160" s="11">
        <f t="shared" si="141"/>
        <v>6</v>
      </c>
      <c r="BY160" s="35">
        <f t="shared" si="142"/>
        <v>2723.6666666666665</v>
      </c>
      <c r="BZ160" s="35">
        <f t="shared" si="143"/>
        <v>1290.3333333333333</v>
      </c>
      <c r="CA160" s="35">
        <f t="shared" si="144"/>
        <v>2109.6060606060605</v>
      </c>
      <c r="CB160" s="35">
        <f t="shared" si="145"/>
        <v>2239.9655172413795</v>
      </c>
      <c r="CC160" s="35">
        <f t="shared" si="146"/>
        <v>2206.8636363636365</v>
      </c>
      <c r="CD160" s="35">
        <f t="shared" si="147"/>
        <v>1904.0526315789473</v>
      </c>
      <c r="CE160" s="35">
        <f t="shared" si="148"/>
        <v>2134.6666666666665</v>
      </c>
      <c r="CF160" s="35">
        <f t="shared" si="149"/>
        <v>1805.125</v>
      </c>
      <c r="CG160" s="35">
        <f t="shared" si="150"/>
        <v>2852</v>
      </c>
      <c r="CH160" s="35">
        <f t="shared" si="151"/>
        <v>1952.125</v>
      </c>
      <c r="CI160" s="28">
        <f t="shared" si="152"/>
        <v>2121.8404512456691</v>
      </c>
      <c r="CJ160" s="35">
        <f t="shared" si="153"/>
        <v>407.1595487543309</v>
      </c>
      <c r="CK160" s="35">
        <f t="shared" si="154"/>
        <v>407.1595487543309</v>
      </c>
      <c r="CL160" s="35">
        <f t="shared" si="155"/>
        <v>165778.89814183037</v>
      </c>
      <c r="CM160" s="35">
        <f t="shared" si="156"/>
        <v>420690.82979034266</v>
      </c>
    </row>
    <row r="161" spans="1:91" x14ac:dyDescent="0.3">
      <c r="A161" s="4" t="str">
        <f>DATASETS!A84</f>
        <v>QUEZON AVE.</v>
      </c>
      <c r="B161" s="4" t="str">
        <f>DATASETS!E84</f>
        <v>Training</v>
      </c>
      <c r="C161" s="9">
        <f>DATASETS!C84</f>
        <v>298680</v>
      </c>
      <c r="D161" s="4">
        <f>DATASETS!B84</f>
        <v>2024</v>
      </c>
      <c r="E161" s="6">
        <f>DATASETS!I84</f>
        <v>2529</v>
      </c>
      <c r="F161" s="9">
        <f>DATASETS!H84</f>
        <v>61</v>
      </c>
      <c r="G161" s="11">
        <f t="shared" si="157"/>
        <v>0</v>
      </c>
      <c r="H161" s="11">
        <f t="shared" si="157"/>
        <v>0</v>
      </c>
      <c r="I161" s="11">
        <f t="shared" si="157"/>
        <v>0</v>
      </c>
      <c r="J161" s="11">
        <f t="shared" si="157"/>
        <v>0</v>
      </c>
      <c r="K161" s="11">
        <f t="shared" si="157"/>
        <v>0</v>
      </c>
      <c r="L161" s="11">
        <f t="shared" si="157"/>
        <v>0</v>
      </c>
      <c r="M161" s="11">
        <f t="shared" si="157"/>
        <v>0</v>
      </c>
      <c r="N161" s="11">
        <f t="shared" si="157"/>
        <v>1</v>
      </c>
      <c r="O161" s="11">
        <f t="shared" si="157"/>
        <v>0</v>
      </c>
      <c r="P161" s="11">
        <f t="shared" si="157"/>
        <v>0</v>
      </c>
      <c r="Q161" s="11">
        <f t="shared" si="157"/>
        <v>0</v>
      </c>
      <c r="R161" s="11">
        <f t="shared" si="157"/>
        <v>0</v>
      </c>
      <c r="S161" s="11">
        <f t="shared" si="157"/>
        <v>0</v>
      </c>
      <c r="T161" s="6">
        <f>DATASETS!D84</f>
        <v>2883</v>
      </c>
      <c r="U161" s="37">
        <v>3</v>
      </c>
      <c r="V161" s="37">
        <v>1</v>
      </c>
      <c r="W161" s="37">
        <v>2</v>
      </c>
      <c r="X161" s="37">
        <v>1</v>
      </c>
      <c r="Y161" s="37">
        <v>1</v>
      </c>
      <c r="Z161" s="37">
        <v>0</v>
      </c>
      <c r="AA161" s="37">
        <v>2</v>
      </c>
      <c r="AB161" s="37">
        <v>1</v>
      </c>
      <c r="AC161" s="37">
        <v>1</v>
      </c>
      <c r="AD161" s="37">
        <v>1</v>
      </c>
      <c r="AE161" s="11">
        <f t="shared" si="107"/>
        <v>12</v>
      </c>
      <c r="AF161" s="11">
        <f t="shared" si="108"/>
        <v>14</v>
      </c>
      <c r="AG161" s="11">
        <f t="shared" si="109"/>
        <v>14</v>
      </c>
      <c r="AH161" s="11">
        <f t="shared" si="110"/>
        <v>14</v>
      </c>
      <c r="AI161" s="11">
        <f t="shared" si="111"/>
        <v>12</v>
      </c>
      <c r="AJ161" s="11">
        <f t="shared" si="112"/>
        <v>14</v>
      </c>
      <c r="AK161" s="11">
        <f t="shared" si="113"/>
        <v>12</v>
      </c>
      <c r="AL161" s="11">
        <f t="shared" si="114"/>
        <v>13</v>
      </c>
      <c r="AM161" s="11">
        <f t="shared" si="115"/>
        <v>11</v>
      </c>
      <c r="AN161" s="11">
        <f t="shared" si="116"/>
        <v>14</v>
      </c>
      <c r="AO161" s="35">
        <f t="shared" si="117"/>
        <v>3512.1428571428573</v>
      </c>
      <c r="AP161" s="35">
        <f t="shared" si="118"/>
        <v>4040.3636363636365</v>
      </c>
      <c r="AQ161" s="35">
        <f t="shared" si="119"/>
        <v>3393.8823529411766</v>
      </c>
      <c r="AR161" s="35">
        <f t="shared" si="120"/>
        <v>2684.8333333333335</v>
      </c>
      <c r="AS161" s="35">
        <f t="shared" si="121"/>
        <v>3307.5294117647059</v>
      </c>
      <c r="AT161" s="35">
        <f t="shared" si="122"/>
        <v>3280.125</v>
      </c>
      <c r="AU161" s="35">
        <f t="shared" si="123"/>
        <v>4402.375</v>
      </c>
      <c r="AV161" s="35">
        <f t="shared" si="124"/>
        <v>3066.2307692307691</v>
      </c>
      <c r="AW161" s="35">
        <f t="shared" si="125"/>
        <v>2801</v>
      </c>
      <c r="AX161" s="35">
        <f t="shared" si="126"/>
        <v>3305.8571428571427</v>
      </c>
      <c r="AY161" s="28">
        <f t="shared" si="127"/>
        <v>3379.4339503633623</v>
      </c>
      <c r="AZ161" s="35">
        <f t="shared" si="128"/>
        <v>-496.43395036336233</v>
      </c>
      <c r="BA161" s="35">
        <f t="shared" si="129"/>
        <v>496.43395036336233</v>
      </c>
      <c r="BB161" s="35">
        <f t="shared" si="130"/>
        <v>246446.6670733733</v>
      </c>
      <c r="BC161" s="35">
        <f t="shared" si="131"/>
        <v>1005220.4708159837</v>
      </c>
      <c r="BE161" s="37">
        <v>3</v>
      </c>
      <c r="BF161" s="37">
        <v>1</v>
      </c>
      <c r="BG161" s="37">
        <v>2</v>
      </c>
      <c r="BH161" s="37">
        <v>1</v>
      </c>
      <c r="BI161" s="37">
        <v>1</v>
      </c>
      <c r="BJ161" s="37">
        <v>0</v>
      </c>
      <c r="BK161" s="37">
        <v>2</v>
      </c>
      <c r="BL161" s="37">
        <v>1</v>
      </c>
      <c r="BM161" s="37">
        <v>1</v>
      </c>
      <c r="BN161" s="37">
        <v>1</v>
      </c>
      <c r="BO161" s="11">
        <f t="shared" si="132"/>
        <v>7</v>
      </c>
      <c r="BP161" s="11">
        <f t="shared" si="133"/>
        <v>7</v>
      </c>
      <c r="BQ161" s="11">
        <f t="shared" si="134"/>
        <v>7</v>
      </c>
      <c r="BR161" s="11">
        <f t="shared" si="135"/>
        <v>7</v>
      </c>
      <c r="BS161" s="11">
        <f t="shared" si="136"/>
        <v>7</v>
      </c>
      <c r="BT161" s="11">
        <f t="shared" si="137"/>
        <v>7</v>
      </c>
      <c r="BU161" s="11">
        <f t="shared" si="138"/>
        <v>7</v>
      </c>
      <c r="BV161" s="11">
        <f t="shared" si="139"/>
        <v>7</v>
      </c>
      <c r="BW161" s="11">
        <f t="shared" si="140"/>
        <v>7</v>
      </c>
      <c r="BX161" s="11">
        <f t="shared" si="141"/>
        <v>6</v>
      </c>
      <c r="BY161" s="35">
        <f t="shared" si="142"/>
        <v>2723.6666666666665</v>
      </c>
      <c r="BZ161" s="35">
        <f t="shared" si="143"/>
        <v>1290.3333333333333</v>
      </c>
      <c r="CA161" s="35">
        <f t="shared" si="144"/>
        <v>2109.6060606060605</v>
      </c>
      <c r="CB161" s="35">
        <f t="shared" si="145"/>
        <v>2239.9655172413795</v>
      </c>
      <c r="CC161" s="35">
        <f t="shared" si="146"/>
        <v>1353.2222222222222</v>
      </c>
      <c r="CD161" s="35">
        <f t="shared" si="147"/>
        <v>1904.0526315789473</v>
      </c>
      <c r="CE161" s="35">
        <f t="shared" si="148"/>
        <v>2134.6666666666665</v>
      </c>
      <c r="CF161" s="35">
        <f t="shared" si="149"/>
        <v>1805.125</v>
      </c>
      <c r="CG161" s="35">
        <f t="shared" si="150"/>
        <v>2852</v>
      </c>
      <c r="CH161" s="35">
        <f t="shared" si="151"/>
        <v>1952.125</v>
      </c>
      <c r="CI161" s="28">
        <f t="shared" si="152"/>
        <v>2036.4763098315277</v>
      </c>
      <c r="CJ161" s="35">
        <f t="shared" si="153"/>
        <v>846.52369016847229</v>
      </c>
      <c r="CK161" s="35">
        <f t="shared" si="154"/>
        <v>846.52369016847229</v>
      </c>
      <c r="CL161" s="35">
        <f t="shared" si="155"/>
        <v>716602.35801644763</v>
      </c>
      <c r="CM161" s="35">
        <f t="shared" si="156"/>
        <v>1005220.4708159837</v>
      </c>
    </row>
    <row r="162" spans="1:91" x14ac:dyDescent="0.3">
      <c r="A162" s="4" t="str">
        <f>DATASETS!A86</f>
        <v>COMMONWEALTH AVE.</v>
      </c>
      <c r="B162" s="4" t="str">
        <f>DATASETS!E86</f>
        <v>Training</v>
      </c>
      <c r="C162" s="9">
        <f>DATASETS!C86</f>
        <v>272255</v>
      </c>
      <c r="D162" s="4">
        <f>DATASETS!B86</f>
        <v>2016</v>
      </c>
      <c r="E162" s="6">
        <f>DATASETS!I86</f>
        <v>3158</v>
      </c>
      <c r="F162" s="9">
        <f>DATASETS!H86</f>
        <v>223.20000000000002</v>
      </c>
      <c r="G162" s="11">
        <f t="shared" si="157"/>
        <v>0</v>
      </c>
      <c r="H162" s="11">
        <f t="shared" si="157"/>
        <v>0</v>
      </c>
      <c r="I162" s="11">
        <f t="shared" si="157"/>
        <v>0</v>
      </c>
      <c r="J162" s="11">
        <f t="shared" si="157"/>
        <v>0</v>
      </c>
      <c r="K162" s="11">
        <f t="shared" si="157"/>
        <v>0</v>
      </c>
      <c r="L162" s="11">
        <f t="shared" si="157"/>
        <v>0</v>
      </c>
      <c r="M162" s="11">
        <f t="shared" si="157"/>
        <v>0</v>
      </c>
      <c r="N162" s="11">
        <f t="shared" si="157"/>
        <v>0</v>
      </c>
      <c r="O162" s="11">
        <f t="shared" si="157"/>
        <v>1</v>
      </c>
      <c r="P162" s="11">
        <f t="shared" si="157"/>
        <v>0</v>
      </c>
      <c r="Q162" s="11">
        <f t="shared" si="157"/>
        <v>0</v>
      </c>
      <c r="R162" s="11">
        <f t="shared" si="157"/>
        <v>0</v>
      </c>
      <c r="S162" s="11">
        <f t="shared" si="157"/>
        <v>0</v>
      </c>
      <c r="T162" s="6">
        <f>DATASETS!D86</f>
        <v>4032</v>
      </c>
      <c r="U162" s="37">
        <v>1</v>
      </c>
      <c r="V162" s="37">
        <v>3</v>
      </c>
      <c r="W162" s="37">
        <v>0</v>
      </c>
      <c r="X162" s="37">
        <v>1</v>
      </c>
      <c r="Y162" s="37">
        <v>0</v>
      </c>
      <c r="Z162" s="37">
        <v>1</v>
      </c>
      <c r="AA162" s="37">
        <v>2</v>
      </c>
      <c r="AB162" s="37">
        <v>0</v>
      </c>
      <c r="AC162" s="37">
        <v>0</v>
      </c>
      <c r="AD162" s="37">
        <v>0</v>
      </c>
      <c r="AE162" s="11">
        <f t="shared" si="107"/>
        <v>12</v>
      </c>
      <c r="AF162" s="11">
        <f t="shared" si="108"/>
        <v>14</v>
      </c>
      <c r="AG162" s="11">
        <f t="shared" si="109"/>
        <v>14</v>
      </c>
      <c r="AH162" s="11">
        <f t="shared" si="110"/>
        <v>14</v>
      </c>
      <c r="AI162" s="11">
        <f t="shared" si="111"/>
        <v>12</v>
      </c>
      <c r="AJ162" s="11">
        <f t="shared" si="112"/>
        <v>14</v>
      </c>
      <c r="AK162" s="11">
        <f t="shared" si="113"/>
        <v>12</v>
      </c>
      <c r="AL162" s="11">
        <f t="shared" si="114"/>
        <v>13</v>
      </c>
      <c r="AM162" s="11">
        <f t="shared" si="115"/>
        <v>11</v>
      </c>
      <c r="AN162" s="11">
        <f t="shared" si="116"/>
        <v>13</v>
      </c>
      <c r="AO162" s="35">
        <f t="shared" si="117"/>
        <v>3512.1428571428573</v>
      </c>
      <c r="AP162" s="35">
        <f t="shared" si="118"/>
        <v>4040.3636363636365</v>
      </c>
      <c r="AQ162" s="35">
        <f t="shared" si="119"/>
        <v>3393.8823529411766</v>
      </c>
      <c r="AR162" s="35">
        <f t="shared" si="120"/>
        <v>2684.8333333333335</v>
      </c>
      <c r="AS162" s="35">
        <f t="shared" si="121"/>
        <v>3307.5294117647059</v>
      </c>
      <c r="AT162" s="35">
        <f t="shared" si="122"/>
        <v>3280.125</v>
      </c>
      <c r="AU162" s="35">
        <f t="shared" si="123"/>
        <v>4402.375</v>
      </c>
      <c r="AV162" s="35">
        <f t="shared" si="124"/>
        <v>3066.2307692307691</v>
      </c>
      <c r="AW162" s="35">
        <f t="shared" si="125"/>
        <v>2801</v>
      </c>
      <c r="AX162" s="35">
        <f t="shared" si="126"/>
        <v>2367</v>
      </c>
      <c r="AY162" s="28">
        <f t="shared" si="127"/>
        <v>3285.5482360776477</v>
      </c>
      <c r="AZ162" s="35">
        <f t="shared" si="128"/>
        <v>746.45176392235226</v>
      </c>
      <c r="BA162" s="35">
        <f t="shared" si="129"/>
        <v>746.45176392235226</v>
      </c>
      <c r="BB162" s="35">
        <f t="shared" si="130"/>
        <v>557190.23586279107</v>
      </c>
      <c r="BC162" s="35">
        <f t="shared" si="131"/>
        <v>4629411.9836364975</v>
      </c>
      <c r="BE162" s="37">
        <v>1</v>
      </c>
      <c r="BF162" s="37">
        <v>3</v>
      </c>
      <c r="BG162" s="37">
        <v>0</v>
      </c>
      <c r="BH162" s="37">
        <v>1</v>
      </c>
      <c r="BI162" s="37">
        <v>0</v>
      </c>
      <c r="BJ162" s="37">
        <v>1</v>
      </c>
      <c r="BK162" s="37">
        <v>2</v>
      </c>
      <c r="BL162" s="37">
        <v>0</v>
      </c>
      <c r="BM162" s="37">
        <v>0</v>
      </c>
      <c r="BN162" s="37">
        <v>0</v>
      </c>
      <c r="BO162" s="11">
        <f t="shared" si="132"/>
        <v>11</v>
      </c>
      <c r="BP162" s="11">
        <f t="shared" si="133"/>
        <v>10</v>
      </c>
      <c r="BQ162" s="11">
        <f t="shared" si="134"/>
        <v>7</v>
      </c>
      <c r="BR162" s="11">
        <f t="shared" si="135"/>
        <v>9</v>
      </c>
      <c r="BS162" s="11">
        <f t="shared" si="136"/>
        <v>10</v>
      </c>
      <c r="BT162" s="11">
        <f t="shared" si="137"/>
        <v>10</v>
      </c>
      <c r="BU162" s="11">
        <f t="shared" si="138"/>
        <v>10</v>
      </c>
      <c r="BV162" s="11">
        <f t="shared" si="139"/>
        <v>10</v>
      </c>
      <c r="BW162" s="11">
        <f t="shared" si="140"/>
        <v>7</v>
      </c>
      <c r="BX162" s="11">
        <f t="shared" si="141"/>
        <v>7</v>
      </c>
      <c r="BY162" s="35">
        <f t="shared" si="142"/>
        <v>4669.25</v>
      </c>
      <c r="BZ162" s="35">
        <f t="shared" si="143"/>
        <v>4302</v>
      </c>
      <c r="CA162" s="35">
        <f t="shared" si="144"/>
        <v>2109.6060606060605</v>
      </c>
      <c r="CB162" s="35">
        <f t="shared" si="145"/>
        <v>4077.7142857142858</v>
      </c>
      <c r="CC162" s="35">
        <f t="shared" si="146"/>
        <v>4206.666666666667</v>
      </c>
      <c r="CD162" s="35">
        <f t="shared" si="147"/>
        <v>3645</v>
      </c>
      <c r="CE162" s="35">
        <f t="shared" si="148"/>
        <v>3776.5</v>
      </c>
      <c r="CF162" s="35">
        <f t="shared" si="149"/>
        <v>4504.5</v>
      </c>
      <c r="CG162" s="35">
        <f t="shared" si="150"/>
        <v>2852</v>
      </c>
      <c r="CH162" s="35">
        <f t="shared" si="151"/>
        <v>3729.6666666666665</v>
      </c>
      <c r="CI162" s="28">
        <f t="shared" si="152"/>
        <v>3787.2903679653673</v>
      </c>
      <c r="CJ162" s="35">
        <f t="shared" si="153"/>
        <v>244.7096320346327</v>
      </c>
      <c r="CK162" s="35">
        <f t="shared" si="154"/>
        <v>244.7096320346327</v>
      </c>
      <c r="CL162" s="35">
        <f t="shared" si="155"/>
        <v>59882.804010525339</v>
      </c>
      <c r="CM162" s="35">
        <f t="shared" si="156"/>
        <v>4629411.9836364975</v>
      </c>
    </row>
    <row r="163" spans="1:91" x14ac:dyDescent="0.3">
      <c r="A163" s="4" t="str">
        <f>DATASETS!A87</f>
        <v>COMMONWEALTH AVE.</v>
      </c>
      <c r="B163" s="4" t="str">
        <f>DATASETS!E87</f>
        <v>Training</v>
      </c>
      <c r="C163" s="9">
        <f>DATASETS!C87</f>
        <v>272720</v>
      </c>
      <c r="D163" s="4">
        <f>DATASETS!B87</f>
        <v>2017</v>
      </c>
      <c r="E163" s="6">
        <f>DATASETS!I87</f>
        <v>4032</v>
      </c>
      <c r="F163" s="9">
        <f>DATASETS!H87</f>
        <v>223.20000000000002</v>
      </c>
      <c r="G163" s="11">
        <f t="shared" si="157"/>
        <v>0</v>
      </c>
      <c r="H163" s="11">
        <f t="shared" si="157"/>
        <v>0</v>
      </c>
      <c r="I163" s="11">
        <f t="shared" si="157"/>
        <v>0</v>
      </c>
      <c r="J163" s="11">
        <f t="shared" si="157"/>
        <v>0</v>
      </c>
      <c r="K163" s="11">
        <f t="shared" si="157"/>
        <v>0</v>
      </c>
      <c r="L163" s="11">
        <f t="shared" si="157"/>
        <v>0</v>
      </c>
      <c r="M163" s="11">
        <f t="shared" si="157"/>
        <v>0</v>
      </c>
      <c r="N163" s="11">
        <f t="shared" si="157"/>
        <v>0</v>
      </c>
      <c r="O163" s="11">
        <f t="shared" si="157"/>
        <v>1</v>
      </c>
      <c r="P163" s="11">
        <f t="shared" si="157"/>
        <v>0</v>
      </c>
      <c r="Q163" s="11">
        <f t="shared" si="157"/>
        <v>0</v>
      </c>
      <c r="R163" s="11">
        <f t="shared" si="157"/>
        <v>0</v>
      </c>
      <c r="S163" s="11">
        <f t="shared" si="157"/>
        <v>0</v>
      </c>
      <c r="T163" s="6">
        <f>DATASETS!D87</f>
        <v>4649</v>
      </c>
      <c r="U163" s="37">
        <v>1</v>
      </c>
      <c r="V163" s="37">
        <v>2</v>
      </c>
      <c r="W163" s="37">
        <v>1</v>
      </c>
      <c r="X163" s="37">
        <v>0</v>
      </c>
      <c r="Y163" s="37">
        <v>0</v>
      </c>
      <c r="Z163" s="37">
        <v>1</v>
      </c>
      <c r="AA163" s="37">
        <v>1</v>
      </c>
      <c r="AB163" s="37">
        <v>2</v>
      </c>
      <c r="AC163" s="37">
        <v>0</v>
      </c>
      <c r="AD163" s="37">
        <v>1</v>
      </c>
      <c r="AE163" s="11">
        <f t="shared" si="107"/>
        <v>12</v>
      </c>
      <c r="AF163" s="11">
        <f t="shared" si="108"/>
        <v>14</v>
      </c>
      <c r="AG163" s="11">
        <f t="shared" si="109"/>
        <v>14</v>
      </c>
      <c r="AH163" s="11">
        <f t="shared" si="110"/>
        <v>14</v>
      </c>
      <c r="AI163" s="11">
        <f t="shared" si="111"/>
        <v>12</v>
      </c>
      <c r="AJ163" s="11">
        <f t="shared" si="112"/>
        <v>14</v>
      </c>
      <c r="AK163" s="11">
        <f t="shared" si="113"/>
        <v>12</v>
      </c>
      <c r="AL163" s="11">
        <f t="shared" si="114"/>
        <v>13</v>
      </c>
      <c r="AM163" s="11">
        <f t="shared" si="115"/>
        <v>11</v>
      </c>
      <c r="AN163" s="11">
        <f t="shared" si="116"/>
        <v>13</v>
      </c>
      <c r="AO163" s="35">
        <f t="shared" si="117"/>
        <v>3512.1428571428573</v>
      </c>
      <c r="AP163" s="35">
        <f t="shared" si="118"/>
        <v>4040.3636363636365</v>
      </c>
      <c r="AQ163" s="35">
        <f t="shared" si="119"/>
        <v>3393.8823529411766</v>
      </c>
      <c r="AR163" s="35">
        <f t="shared" si="120"/>
        <v>2684.8333333333335</v>
      </c>
      <c r="AS163" s="35">
        <f t="shared" si="121"/>
        <v>3307.5294117647059</v>
      </c>
      <c r="AT163" s="35">
        <f t="shared" si="122"/>
        <v>3280.125</v>
      </c>
      <c r="AU163" s="35">
        <f t="shared" si="123"/>
        <v>4402.375</v>
      </c>
      <c r="AV163" s="35">
        <f t="shared" si="124"/>
        <v>3066.2307692307691</v>
      </c>
      <c r="AW163" s="35">
        <f t="shared" si="125"/>
        <v>2801</v>
      </c>
      <c r="AX163" s="35">
        <f t="shared" si="126"/>
        <v>2367</v>
      </c>
      <c r="AY163" s="28">
        <f t="shared" si="127"/>
        <v>3285.5482360776477</v>
      </c>
      <c r="AZ163" s="35">
        <f t="shared" si="128"/>
        <v>1363.4517639223523</v>
      </c>
      <c r="BA163" s="35">
        <f t="shared" si="129"/>
        <v>1363.4517639223523</v>
      </c>
      <c r="BB163" s="35">
        <f t="shared" si="130"/>
        <v>1859000.7125429737</v>
      </c>
      <c r="BC163" s="35">
        <f t="shared" si="131"/>
        <v>7665183.8212433355</v>
      </c>
      <c r="BE163" s="37">
        <v>1</v>
      </c>
      <c r="BF163" s="37">
        <v>2</v>
      </c>
      <c r="BG163" s="37">
        <v>1</v>
      </c>
      <c r="BH163" s="37">
        <v>0</v>
      </c>
      <c r="BI163" s="37">
        <v>0</v>
      </c>
      <c r="BJ163" s="37">
        <v>1</v>
      </c>
      <c r="BK163" s="37">
        <v>1</v>
      </c>
      <c r="BL163" s="37">
        <v>2</v>
      </c>
      <c r="BM163" s="37">
        <v>0</v>
      </c>
      <c r="BN163" s="37">
        <v>1</v>
      </c>
      <c r="BO163" s="11">
        <f t="shared" si="132"/>
        <v>11</v>
      </c>
      <c r="BP163" s="11">
        <f t="shared" si="133"/>
        <v>10</v>
      </c>
      <c r="BQ163" s="11">
        <f t="shared" si="134"/>
        <v>9</v>
      </c>
      <c r="BR163" s="11">
        <f t="shared" si="135"/>
        <v>9</v>
      </c>
      <c r="BS163" s="11">
        <f t="shared" si="136"/>
        <v>10</v>
      </c>
      <c r="BT163" s="11">
        <f t="shared" si="137"/>
        <v>11</v>
      </c>
      <c r="BU163" s="11">
        <f t="shared" si="138"/>
        <v>11</v>
      </c>
      <c r="BV163" s="11">
        <f t="shared" si="139"/>
        <v>10</v>
      </c>
      <c r="BW163" s="11">
        <f t="shared" si="140"/>
        <v>9</v>
      </c>
      <c r="BX163" s="11">
        <f t="shared" si="141"/>
        <v>7</v>
      </c>
      <c r="BY163" s="35">
        <f t="shared" si="142"/>
        <v>4669.25</v>
      </c>
      <c r="BZ163" s="35">
        <f t="shared" si="143"/>
        <v>4302</v>
      </c>
      <c r="CA163" s="35">
        <f t="shared" si="144"/>
        <v>4575</v>
      </c>
      <c r="CB163" s="35">
        <f t="shared" si="145"/>
        <v>4077.7142857142858</v>
      </c>
      <c r="CC163" s="35">
        <f t="shared" si="146"/>
        <v>4206.666666666667</v>
      </c>
      <c r="CD163" s="35">
        <f t="shared" si="147"/>
        <v>4997.75</v>
      </c>
      <c r="CE163" s="35">
        <f t="shared" si="148"/>
        <v>5094.8</v>
      </c>
      <c r="CF163" s="35">
        <f t="shared" si="149"/>
        <v>4504.5</v>
      </c>
      <c r="CG163" s="35">
        <f t="shared" si="150"/>
        <v>5119.75</v>
      </c>
      <c r="CH163" s="35">
        <f t="shared" si="151"/>
        <v>3729.6666666666665</v>
      </c>
      <c r="CI163" s="28">
        <f t="shared" si="152"/>
        <v>4527.7097619047618</v>
      </c>
      <c r="CJ163" s="35">
        <f t="shared" si="153"/>
        <v>121.29023809523824</v>
      </c>
      <c r="CK163" s="35">
        <f t="shared" si="154"/>
        <v>121.29023809523824</v>
      </c>
      <c r="CL163" s="35">
        <f t="shared" si="155"/>
        <v>14711.32185719958</v>
      </c>
      <c r="CM163" s="35">
        <f t="shared" si="156"/>
        <v>7665183.8212433355</v>
      </c>
    </row>
    <row r="164" spans="1:91" x14ac:dyDescent="0.3">
      <c r="A164" s="4" t="str">
        <f>DATASETS!A88</f>
        <v>COMMONWEALTH AVE.</v>
      </c>
      <c r="B164" s="4" t="str">
        <f>DATASETS!E88</f>
        <v>Training</v>
      </c>
      <c r="C164" s="9">
        <f>DATASETS!C88</f>
        <v>244916</v>
      </c>
      <c r="D164" s="4">
        <f>DATASETS!B88</f>
        <v>2018</v>
      </c>
      <c r="E164" s="6">
        <f>DATASETS!I88</f>
        <v>4649</v>
      </c>
      <c r="F164" s="9">
        <f>DATASETS!H88</f>
        <v>223.20000000000002</v>
      </c>
      <c r="G164" s="11">
        <f t="shared" si="157"/>
        <v>0</v>
      </c>
      <c r="H164" s="11">
        <f t="shared" si="157"/>
        <v>0</v>
      </c>
      <c r="I164" s="11">
        <f t="shared" si="157"/>
        <v>0</v>
      </c>
      <c r="J164" s="11">
        <f t="shared" si="157"/>
        <v>0</v>
      </c>
      <c r="K164" s="11">
        <f t="shared" si="157"/>
        <v>0</v>
      </c>
      <c r="L164" s="11">
        <f t="shared" si="157"/>
        <v>0</v>
      </c>
      <c r="M164" s="11">
        <f t="shared" si="157"/>
        <v>0</v>
      </c>
      <c r="N164" s="11">
        <f t="shared" si="157"/>
        <v>0</v>
      </c>
      <c r="O164" s="11">
        <f t="shared" si="157"/>
        <v>1</v>
      </c>
      <c r="P164" s="11">
        <f t="shared" si="157"/>
        <v>0</v>
      </c>
      <c r="Q164" s="11">
        <f t="shared" si="157"/>
        <v>0</v>
      </c>
      <c r="R164" s="11">
        <f t="shared" si="157"/>
        <v>0</v>
      </c>
      <c r="S164" s="11">
        <f t="shared" si="157"/>
        <v>0</v>
      </c>
      <c r="T164" s="6">
        <f>DATASETS!D88</f>
        <v>5148</v>
      </c>
      <c r="U164" s="37">
        <v>2</v>
      </c>
      <c r="V164" s="37">
        <v>1</v>
      </c>
      <c r="W164" s="37">
        <v>3</v>
      </c>
      <c r="X164" s="37">
        <v>2</v>
      </c>
      <c r="Y164" s="37">
        <v>3</v>
      </c>
      <c r="Z164" s="37">
        <v>0</v>
      </c>
      <c r="AA164" s="37">
        <v>0</v>
      </c>
      <c r="AB164" s="37">
        <v>0</v>
      </c>
      <c r="AC164" s="37">
        <v>2</v>
      </c>
      <c r="AD164" s="37">
        <v>0</v>
      </c>
      <c r="AE164" s="11">
        <f t="shared" si="107"/>
        <v>12</v>
      </c>
      <c r="AF164" s="11">
        <f t="shared" si="108"/>
        <v>13</v>
      </c>
      <c r="AG164" s="11">
        <f t="shared" si="109"/>
        <v>13</v>
      </c>
      <c r="AH164" s="11">
        <f t="shared" si="110"/>
        <v>13</v>
      </c>
      <c r="AI164" s="11">
        <f t="shared" si="111"/>
        <v>12</v>
      </c>
      <c r="AJ164" s="11">
        <f t="shared" si="112"/>
        <v>14</v>
      </c>
      <c r="AK164" s="11">
        <f t="shared" si="113"/>
        <v>12</v>
      </c>
      <c r="AL164" s="11">
        <f t="shared" si="114"/>
        <v>13</v>
      </c>
      <c r="AM164" s="11">
        <f t="shared" si="115"/>
        <v>11</v>
      </c>
      <c r="AN164" s="11">
        <f t="shared" si="116"/>
        <v>11</v>
      </c>
      <c r="AO164" s="35">
        <f t="shared" si="117"/>
        <v>3512.1428571428573</v>
      </c>
      <c r="AP164" s="35">
        <f t="shared" si="118"/>
        <v>4972.333333333333</v>
      </c>
      <c r="AQ164" s="35">
        <f t="shared" si="119"/>
        <v>6677.833333333333</v>
      </c>
      <c r="AR164" s="35">
        <f t="shared" si="120"/>
        <v>3359.2857142857142</v>
      </c>
      <c r="AS164" s="35">
        <f t="shared" si="121"/>
        <v>3307.5294117647059</v>
      </c>
      <c r="AT164" s="35">
        <f t="shared" si="122"/>
        <v>3280.125</v>
      </c>
      <c r="AU164" s="35">
        <f t="shared" si="123"/>
        <v>4402.375</v>
      </c>
      <c r="AV164" s="35">
        <f t="shared" si="124"/>
        <v>3066.2307692307691</v>
      </c>
      <c r="AW164" s="35">
        <f t="shared" si="125"/>
        <v>2801</v>
      </c>
      <c r="AX164" s="35">
        <f t="shared" si="126"/>
        <v>6672.375</v>
      </c>
      <c r="AY164" s="28">
        <f t="shared" si="127"/>
        <v>4205.1230419090716</v>
      </c>
      <c r="AZ164" s="35">
        <f t="shared" si="128"/>
        <v>942.87695809092838</v>
      </c>
      <c r="BA164" s="35">
        <f t="shared" si="129"/>
        <v>942.87695809092838</v>
      </c>
      <c r="BB164" s="35">
        <f t="shared" si="130"/>
        <v>889016.95809880237</v>
      </c>
      <c r="BC164" s="35">
        <f t="shared" si="131"/>
        <v>10677254.44517496</v>
      </c>
      <c r="BE164" s="37">
        <v>2</v>
      </c>
      <c r="BF164" s="37">
        <v>1</v>
      </c>
      <c r="BG164" s="37">
        <v>3</v>
      </c>
      <c r="BH164" s="37">
        <v>2</v>
      </c>
      <c r="BI164" s="37">
        <v>3</v>
      </c>
      <c r="BJ164" s="37">
        <v>0</v>
      </c>
      <c r="BK164" s="37">
        <v>0</v>
      </c>
      <c r="BL164" s="37">
        <v>0</v>
      </c>
      <c r="BM164" s="37">
        <v>2</v>
      </c>
      <c r="BN164" s="37">
        <v>0</v>
      </c>
      <c r="BO164" s="11">
        <f t="shared" si="132"/>
        <v>9</v>
      </c>
      <c r="BP164" s="11">
        <f t="shared" si="133"/>
        <v>11</v>
      </c>
      <c r="BQ164" s="11">
        <f t="shared" si="134"/>
        <v>9</v>
      </c>
      <c r="BR164" s="11">
        <f t="shared" si="135"/>
        <v>9</v>
      </c>
      <c r="BS164" s="11">
        <f t="shared" si="136"/>
        <v>9</v>
      </c>
      <c r="BT164" s="11">
        <f t="shared" si="137"/>
        <v>11</v>
      </c>
      <c r="BU164" s="11">
        <f t="shared" si="138"/>
        <v>11</v>
      </c>
      <c r="BV164" s="11">
        <f t="shared" si="139"/>
        <v>11</v>
      </c>
      <c r="BW164" s="11">
        <f t="shared" si="140"/>
        <v>9</v>
      </c>
      <c r="BX164" s="11">
        <f t="shared" si="141"/>
        <v>7</v>
      </c>
      <c r="BY164" s="35">
        <f t="shared" si="142"/>
        <v>5918.4444444444443</v>
      </c>
      <c r="BZ164" s="35">
        <f t="shared" si="143"/>
        <v>5495</v>
      </c>
      <c r="CA164" s="35">
        <f t="shared" si="144"/>
        <v>4575</v>
      </c>
      <c r="CB164" s="35">
        <f t="shared" si="145"/>
        <v>4077.7142857142858</v>
      </c>
      <c r="CC164" s="35">
        <f t="shared" si="146"/>
        <v>6128.875</v>
      </c>
      <c r="CD164" s="35">
        <f t="shared" si="147"/>
        <v>4997.75</v>
      </c>
      <c r="CE164" s="35">
        <f t="shared" si="148"/>
        <v>5094.8</v>
      </c>
      <c r="CF164" s="35">
        <f t="shared" si="149"/>
        <v>5442.25</v>
      </c>
      <c r="CG164" s="35">
        <f t="shared" si="150"/>
        <v>5119.75</v>
      </c>
      <c r="CH164" s="35">
        <f t="shared" si="151"/>
        <v>3729.6666666666665</v>
      </c>
      <c r="CI164" s="28">
        <f t="shared" si="152"/>
        <v>5057.9250396825391</v>
      </c>
      <c r="CJ164" s="35">
        <f t="shared" si="153"/>
        <v>90.074960317460864</v>
      </c>
      <c r="CK164" s="35">
        <f t="shared" si="154"/>
        <v>90.074960317460864</v>
      </c>
      <c r="CL164" s="35">
        <f t="shared" si="155"/>
        <v>8113.4984761921496</v>
      </c>
      <c r="CM164" s="35">
        <f t="shared" si="156"/>
        <v>10677254.44517496</v>
      </c>
    </row>
    <row r="165" spans="1:91" x14ac:dyDescent="0.3">
      <c r="A165" s="4" t="str">
        <f>DATASETS!A89</f>
        <v>COMMONWEALTH AVE.</v>
      </c>
      <c r="B165" s="4" t="str">
        <f>DATASETS!E89</f>
        <v>Training</v>
      </c>
      <c r="C165" s="9">
        <f>DATASETS!C89</f>
        <v>317471</v>
      </c>
      <c r="D165" s="4">
        <f>DATASETS!B89</f>
        <v>2019</v>
      </c>
      <c r="E165" s="6">
        <f>DATASETS!I89</f>
        <v>5148</v>
      </c>
      <c r="F165" s="9">
        <f>DATASETS!H89</f>
        <v>223.20000000000002</v>
      </c>
      <c r="G165" s="11">
        <f t="shared" si="157"/>
        <v>0</v>
      </c>
      <c r="H165" s="11">
        <f t="shared" si="157"/>
        <v>0</v>
      </c>
      <c r="I165" s="11">
        <f t="shared" si="157"/>
        <v>0</v>
      </c>
      <c r="J165" s="11">
        <f t="shared" si="157"/>
        <v>0</v>
      </c>
      <c r="K165" s="11">
        <f t="shared" si="157"/>
        <v>0</v>
      </c>
      <c r="L165" s="11">
        <f t="shared" si="157"/>
        <v>0</v>
      </c>
      <c r="M165" s="11">
        <f t="shared" si="157"/>
        <v>0</v>
      </c>
      <c r="N165" s="11">
        <f t="shared" si="157"/>
        <v>0</v>
      </c>
      <c r="O165" s="11">
        <f t="shared" si="157"/>
        <v>1</v>
      </c>
      <c r="P165" s="11">
        <f t="shared" si="157"/>
        <v>0</v>
      </c>
      <c r="Q165" s="11">
        <f t="shared" si="157"/>
        <v>0</v>
      </c>
      <c r="R165" s="11">
        <f t="shared" si="157"/>
        <v>0</v>
      </c>
      <c r="S165" s="11">
        <f t="shared" si="157"/>
        <v>0</v>
      </c>
      <c r="T165" s="6">
        <f>DATASETS!D89</f>
        <v>4998</v>
      </c>
      <c r="U165" s="37">
        <v>2</v>
      </c>
      <c r="V165" s="37">
        <v>1</v>
      </c>
      <c r="W165" s="37">
        <v>0</v>
      </c>
      <c r="X165" s="37">
        <v>0</v>
      </c>
      <c r="Y165" s="37">
        <v>2</v>
      </c>
      <c r="Z165" s="37">
        <v>0</v>
      </c>
      <c r="AA165" s="37">
        <v>0</v>
      </c>
      <c r="AB165" s="37">
        <v>1</v>
      </c>
      <c r="AC165" s="37">
        <v>4</v>
      </c>
      <c r="AD165" s="37">
        <v>0</v>
      </c>
      <c r="AE165" s="11">
        <f t="shared" si="107"/>
        <v>12</v>
      </c>
      <c r="AF165" s="11">
        <f t="shared" si="108"/>
        <v>14</v>
      </c>
      <c r="AG165" s="11">
        <f t="shared" si="109"/>
        <v>14</v>
      </c>
      <c r="AH165" s="11">
        <f t="shared" si="110"/>
        <v>14</v>
      </c>
      <c r="AI165" s="11">
        <f t="shared" si="111"/>
        <v>12</v>
      </c>
      <c r="AJ165" s="11">
        <f t="shared" si="112"/>
        <v>14</v>
      </c>
      <c r="AK165" s="11">
        <f t="shared" si="113"/>
        <v>12</v>
      </c>
      <c r="AL165" s="11">
        <f t="shared" si="114"/>
        <v>14</v>
      </c>
      <c r="AM165" s="11">
        <f t="shared" si="115"/>
        <v>12</v>
      </c>
      <c r="AN165" s="11">
        <f t="shared" si="116"/>
        <v>14</v>
      </c>
      <c r="AO165" s="35">
        <f t="shared" si="117"/>
        <v>3512.1428571428573</v>
      </c>
      <c r="AP165" s="35">
        <f t="shared" si="118"/>
        <v>4040.3636363636365</v>
      </c>
      <c r="AQ165" s="35">
        <f t="shared" si="119"/>
        <v>3393.8823529411766</v>
      </c>
      <c r="AR165" s="35">
        <f t="shared" si="120"/>
        <v>2684.8333333333335</v>
      </c>
      <c r="AS165" s="35">
        <f t="shared" si="121"/>
        <v>3307.5294117647059</v>
      </c>
      <c r="AT165" s="35">
        <f t="shared" si="122"/>
        <v>3280.125</v>
      </c>
      <c r="AU165" s="35">
        <f t="shared" si="123"/>
        <v>4402.375</v>
      </c>
      <c r="AV165" s="35">
        <f t="shared" si="124"/>
        <v>4702.25</v>
      </c>
      <c r="AW165" s="35">
        <f t="shared" si="125"/>
        <v>5025.5555555555557</v>
      </c>
      <c r="AX165" s="35">
        <f t="shared" si="126"/>
        <v>3305.8571428571427</v>
      </c>
      <c r="AY165" s="28">
        <f t="shared" si="127"/>
        <v>3765.491428995841</v>
      </c>
      <c r="AZ165" s="35">
        <f t="shared" si="128"/>
        <v>1232.508571004159</v>
      </c>
      <c r="BA165" s="35">
        <f t="shared" si="129"/>
        <v>1232.508571004159</v>
      </c>
      <c r="BB165" s="35">
        <f t="shared" si="130"/>
        <v>1519077.3775987139</v>
      </c>
      <c r="BC165" s="35">
        <f t="shared" si="131"/>
        <v>9719472.3938929085</v>
      </c>
      <c r="BE165" s="37">
        <v>2</v>
      </c>
      <c r="BF165" s="37">
        <v>1</v>
      </c>
      <c r="BG165" s="37">
        <v>0</v>
      </c>
      <c r="BH165" s="37">
        <v>0</v>
      </c>
      <c r="BI165" s="37">
        <v>2</v>
      </c>
      <c r="BJ165" s="37">
        <v>0</v>
      </c>
      <c r="BK165" s="37">
        <v>0</v>
      </c>
      <c r="BL165" s="37">
        <v>1</v>
      </c>
      <c r="BM165" s="37">
        <v>4</v>
      </c>
      <c r="BN165" s="37">
        <v>0</v>
      </c>
      <c r="BO165" s="11">
        <f t="shared" si="132"/>
        <v>11</v>
      </c>
      <c r="BP165" s="11">
        <f t="shared" si="133"/>
        <v>11</v>
      </c>
      <c r="BQ165" s="11">
        <f t="shared" si="134"/>
        <v>12</v>
      </c>
      <c r="BR165" s="11">
        <f t="shared" si="135"/>
        <v>9</v>
      </c>
      <c r="BS165" s="11">
        <f t="shared" si="136"/>
        <v>10</v>
      </c>
      <c r="BT165" s="11">
        <f t="shared" si="137"/>
        <v>11</v>
      </c>
      <c r="BU165" s="11">
        <f t="shared" si="138"/>
        <v>11</v>
      </c>
      <c r="BV165" s="11">
        <f t="shared" si="139"/>
        <v>11</v>
      </c>
      <c r="BW165" s="11">
        <f t="shared" si="140"/>
        <v>9</v>
      </c>
      <c r="BX165" s="11">
        <f t="shared" si="141"/>
        <v>7</v>
      </c>
      <c r="BY165" s="35">
        <f t="shared" si="142"/>
        <v>4669.25</v>
      </c>
      <c r="BZ165" s="35">
        <f t="shared" si="143"/>
        <v>5495</v>
      </c>
      <c r="CA165" s="35">
        <f t="shared" si="144"/>
        <v>7604.25</v>
      </c>
      <c r="CB165" s="35">
        <f t="shared" si="145"/>
        <v>4077.7142857142858</v>
      </c>
      <c r="CC165" s="35">
        <f t="shared" si="146"/>
        <v>4206.666666666667</v>
      </c>
      <c r="CD165" s="35">
        <f t="shared" si="147"/>
        <v>4997.75</v>
      </c>
      <c r="CE165" s="35">
        <f t="shared" si="148"/>
        <v>5094.8</v>
      </c>
      <c r="CF165" s="35">
        <f t="shared" si="149"/>
        <v>5442.25</v>
      </c>
      <c r="CG165" s="35">
        <f t="shared" si="150"/>
        <v>5119.75</v>
      </c>
      <c r="CH165" s="35">
        <f t="shared" si="151"/>
        <v>3729.6666666666665</v>
      </c>
      <c r="CI165" s="28">
        <f t="shared" si="152"/>
        <v>5043.7097619047618</v>
      </c>
      <c r="CJ165" s="35">
        <f t="shared" si="153"/>
        <v>-45.709761904761763</v>
      </c>
      <c r="CK165" s="35">
        <f t="shared" si="154"/>
        <v>45.709761904761763</v>
      </c>
      <c r="CL165" s="35">
        <f t="shared" si="155"/>
        <v>2089.3823333900095</v>
      </c>
      <c r="CM165" s="35">
        <f t="shared" si="156"/>
        <v>9719472.3938929085</v>
      </c>
    </row>
    <row r="166" spans="1:91" x14ac:dyDescent="0.3">
      <c r="A166" s="4" t="str">
        <f>DATASETS!A90</f>
        <v>COMMONWEALTH AVE.</v>
      </c>
      <c r="B166" s="4" t="str">
        <f>DATASETS!E90</f>
        <v>Training</v>
      </c>
      <c r="C166" s="9">
        <f>DATASETS!C90</f>
        <v>282137</v>
      </c>
      <c r="D166" s="4">
        <f>DATASETS!B90</f>
        <v>2020</v>
      </c>
      <c r="E166" s="6">
        <f>DATASETS!I90</f>
        <v>4998</v>
      </c>
      <c r="F166" s="9">
        <f>DATASETS!H90</f>
        <v>223.20000000000002</v>
      </c>
      <c r="G166" s="11">
        <f t="shared" si="157"/>
        <v>0</v>
      </c>
      <c r="H166" s="11">
        <f t="shared" si="157"/>
        <v>0</v>
      </c>
      <c r="I166" s="11">
        <f t="shared" si="157"/>
        <v>0</v>
      </c>
      <c r="J166" s="11">
        <f t="shared" si="157"/>
        <v>0</v>
      </c>
      <c r="K166" s="11">
        <f t="shared" si="157"/>
        <v>0</v>
      </c>
      <c r="L166" s="11">
        <f t="shared" si="157"/>
        <v>0</v>
      </c>
      <c r="M166" s="11">
        <f t="shared" si="157"/>
        <v>0</v>
      </c>
      <c r="N166" s="11">
        <f t="shared" si="157"/>
        <v>0</v>
      </c>
      <c r="O166" s="11">
        <f t="shared" si="157"/>
        <v>1</v>
      </c>
      <c r="P166" s="11">
        <f t="shared" si="157"/>
        <v>0</v>
      </c>
      <c r="Q166" s="11">
        <f t="shared" si="157"/>
        <v>0</v>
      </c>
      <c r="R166" s="11">
        <f t="shared" si="157"/>
        <v>0</v>
      </c>
      <c r="S166" s="11">
        <f t="shared" si="157"/>
        <v>0</v>
      </c>
      <c r="T166" s="6">
        <f>DATASETS!D90</f>
        <v>3262</v>
      </c>
      <c r="U166" s="37">
        <v>1</v>
      </c>
      <c r="V166" s="37">
        <v>0</v>
      </c>
      <c r="W166" s="37">
        <v>3</v>
      </c>
      <c r="X166" s="37">
        <v>2</v>
      </c>
      <c r="Y166" s="37">
        <v>2</v>
      </c>
      <c r="Z166" s="37">
        <v>1</v>
      </c>
      <c r="AA166" s="37">
        <v>0</v>
      </c>
      <c r="AB166" s="37">
        <v>0</v>
      </c>
      <c r="AC166" s="37">
        <v>0</v>
      </c>
      <c r="AD166" s="37">
        <v>2</v>
      </c>
      <c r="AE166" s="11">
        <f t="shared" si="107"/>
        <v>12</v>
      </c>
      <c r="AF166" s="11">
        <f t="shared" si="108"/>
        <v>14</v>
      </c>
      <c r="AG166" s="11">
        <f t="shared" si="109"/>
        <v>14</v>
      </c>
      <c r="AH166" s="11">
        <f t="shared" si="110"/>
        <v>14</v>
      </c>
      <c r="AI166" s="11">
        <f t="shared" si="111"/>
        <v>12</v>
      </c>
      <c r="AJ166" s="11">
        <f t="shared" si="112"/>
        <v>14</v>
      </c>
      <c r="AK166" s="11">
        <f t="shared" si="113"/>
        <v>12</v>
      </c>
      <c r="AL166" s="11">
        <f t="shared" si="114"/>
        <v>13</v>
      </c>
      <c r="AM166" s="11">
        <f t="shared" si="115"/>
        <v>11</v>
      </c>
      <c r="AN166" s="11">
        <f t="shared" si="116"/>
        <v>14</v>
      </c>
      <c r="AO166" s="35">
        <f t="shared" si="117"/>
        <v>3512.1428571428573</v>
      </c>
      <c r="AP166" s="35">
        <f t="shared" si="118"/>
        <v>4040.3636363636365</v>
      </c>
      <c r="AQ166" s="35">
        <f t="shared" si="119"/>
        <v>3393.8823529411766</v>
      </c>
      <c r="AR166" s="35">
        <f t="shared" si="120"/>
        <v>2684.8333333333335</v>
      </c>
      <c r="AS166" s="35">
        <f t="shared" si="121"/>
        <v>3307.5294117647059</v>
      </c>
      <c r="AT166" s="35">
        <f t="shared" si="122"/>
        <v>3280.125</v>
      </c>
      <c r="AU166" s="35">
        <f t="shared" si="123"/>
        <v>4402.375</v>
      </c>
      <c r="AV166" s="35">
        <f t="shared" si="124"/>
        <v>3066.2307692307691</v>
      </c>
      <c r="AW166" s="35">
        <f t="shared" si="125"/>
        <v>2801</v>
      </c>
      <c r="AX166" s="35">
        <f t="shared" si="126"/>
        <v>3305.8571428571427</v>
      </c>
      <c r="AY166" s="28">
        <f t="shared" si="127"/>
        <v>3379.4339503633623</v>
      </c>
      <c r="AZ166" s="35">
        <f t="shared" si="128"/>
        <v>-117.43395036336233</v>
      </c>
      <c r="BA166" s="35">
        <f t="shared" si="129"/>
        <v>117.43395036336233</v>
      </c>
      <c r="BB166" s="35">
        <f t="shared" si="130"/>
        <v>13790.732697944648</v>
      </c>
      <c r="BC166" s="35">
        <f t="shared" si="131"/>
        <v>1908837.4537219666</v>
      </c>
      <c r="BE166" s="37">
        <v>1</v>
      </c>
      <c r="BF166" s="37">
        <v>0</v>
      </c>
      <c r="BG166" s="37">
        <v>3</v>
      </c>
      <c r="BH166" s="37">
        <v>2</v>
      </c>
      <c r="BI166" s="37">
        <v>2</v>
      </c>
      <c r="BJ166" s="37">
        <v>1</v>
      </c>
      <c r="BK166" s="37">
        <v>0</v>
      </c>
      <c r="BL166" s="37">
        <v>0</v>
      </c>
      <c r="BM166" s="37">
        <v>0</v>
      </c>
      <c r="BN166" s="37">
        <v>2</v>
      </c>
      <c r="BO166" s="11">
        <f t="shared" si="132"/>
        <v>12</v>
      </c>
      <c r="BP166" s="11">
        <f t="shared" si="133"/>
        <v>11</v>
      </c>
      <c r="BQ166" s="11">
        <f t="shared" si="134"/>
        <v>9</v>
      </c>
      <c r="BR166" s="11">
        <f t="shared" si="135"/>
        <v>9</v>
      </c>
      <c r="BS166" s="11">
        <f t="shared" si="136"/>
        <v>10</v>
      </c>
      <c r="BT166" s="11">
        <f t="shared" si="137"/>
        <v>11</v>
      </c>
      <c r="BU166" s="11">
        <f t="shared" si="138"/>
        <v>11</v>
      </c>
      <c r="BV166" s="11">
        <f t="shared" si="139"/>
        <v>11</v>
      </c>
      <c r="BW166" s="11">
        <f t="shared" si="140"/>
        <v>9</v>
      </c>
      <c r="BX166" s="11">
        <f t="shared" si="141"/>
        <v>7</v>
      </c>
      <c r="BY166" s="35">
        <f t="shared" si="142"/>
        <v>3616.75</v>
      </c>
      <c r="BZ166" s="35">
        <f t="shared" si="143"/>
        <v>5495</v>
      </c>
      <c r="CA166" s="35">
        <f t="shared" si="144"/>
        <v>4575</v>
      </c>
      <c r="CB166" s="35">
        <f t="shared" si="145"/>
        <v>4077.7142857142858</v>
      </c>
      <c r="CC166" s="35">
        <f t="shared" si="146"/>
        <v>4206.666666666667</v>
      </c>
      <c r="CD166" s="35">
        <f t="shared" si="147"/>
        <v>4997.75</v>
      </c>
      <c r="CE166" s="35">
        <f t="shared" si="148"/>
        <v>5094.8</v>
      </c>
      <c r="CF166" s="35">
        <f t="shared" si="149"/>
        <v>5442.25</v>
      </c>
      <c r="CG166" s="35">
        <f t="shared" si="150"/>
        <v>5119.75</v>
      </c>
      <c r="CH166" s="35">
        <f t="shared" si="151"/>
        <v>3729.6666666666665</v>
      </c>
      <c r="CI166" s="28">
        <f t="shared" si="152"/>
        <v>4635.5347619047616</v>
      </c>
      <c r="CJ166" s="35">
        <f t="shared" si="153"/>
        <v>-1373.5347619047616</v>
      </c>
      <c r="CK166" s="35">
        <f t="shared" si="154"/>
        <v>1373.5347619047616</v>
      </c>
      <c r="CL166" s="35">
        <f t="shared" si="155"/>
        <v>1886597.7421607701</v>
      </c>
      <c r="CM166" s="35">
        <f t="shared" si="156"/>
        <v>1908837.4537219666</v>
      </c>
    </row>
    <row r="167" spans="1:91" x14ac:dyDescent="0.3">
      <c r="A167" s="4" t="str">
        <f>DATASETS!A91</f>
        <v>COMMONWEALTH AVE.</v>
      </c>
      <c r="B167" s="4" t="str">
        <f>DATASETS!E91</f>
        <v>Training</v>
      </c>
      <c r="C167" s="9">
        <f>DATASETS!C91</f>
        <v>302316</v>
      </c>
      <c r="D167" s="4">
        <f>DATASETS!B91</f>
        <v>2021</v>
      </c>
      <c r="E167" s="6">
        <f>DATASETS!I91</f>
        <v>3262</v>
      </c>
      <c r="F167" s="9">
        <f>DATASETS!H91</f>
        <v>223.20000000000002</v>
      </c>
      <c r="G167" s="11">
        <f t="shared" si="157"/>
        <v>0</v>
      </c>
      <c r="H167" s="11">
        <f t="shared" si="157"/>
        <v>0</v>
      </c>
      <c r="I167" s="11">
        <f t="shared" si="157"/>
        <v>0</v>
      </c>
      <c r="J167" s="11">
        <f t="shared" si="157"/>
        <v>0</v>
      </c>
      <c r="K167" s="11">
        <f t="shared" si="157"/>
        <v>0</v>
      </c>
      <c r="L167" s="11">
        <f t="shared" si="157"/>
        <v>0</v>
      </c>
      <c r="M167" s="11">
        <f t="shared" si="157"/>
        <v>0</v>
      </c>
      <c r="N167" s="11">
        <f t="shared" si="157"/>
        <v>0</v>
      </c>
      <c r="O167" s="11">
        <f t="shared" si="157"/>
        <v>1</v>
      </c>
      <c r="P167" s="11">
        <f t="shared" si="157"/>
        <v>0</v>
      </c>
      <c r="Q167" s="11">
        <f t="shared" si="157"/>
        <v>0</v>
      </c>
      <c r="R167" s="11">
        <f t="shared" si="157"/>
        <v>0</v>
      </c>
      <c r="S167" s="11">
        <f t="shared" si="157"/>
        <v>0</v>
      </c>
      <c r="T167" s="6">
        <f>DATASETS!D91</f>
        <v>3057</v>
      </c>
      <c r="U167" s="37">
        <v>2</v>
      </c>
      <c r="V167" s="37">
        <v>0</v>
      </c>
      <c r="W167" s="37">
        <v>0</v>
      </c>
      <c r="X167" s="37">
        <v>0</v>
      </c>
      <c r="Y167" s="37">
        <v>0</v>
      </c>
      <c r="Z167" s="37">
        <v>1</v>
      </c>
      <c r="AA167" s="37">
        <v>1</v>
      </c>
      <c r="AB167" s="37">
        <v>0</v>
      </c>
      <c r="AC167" s="37">
        <v>3</v>
      </c>
      <c r="AD167" s="37">
        <v>2</v>
      </c>
      <c r="AE167" s="11">
        <f t="shared" si="107"/>
        <v>12</v>
      </c>
      <c r="AF167" s="11">
        <f t="shared" si="108"/>
        <v>14</v>
      </c>
      <c r="AG167" s="11">
        <f t="shared" si="109"/>
        <v>14</v>
      </c>
      <c r="AH167" s="11">
        <f t="shared" si="110"/>
        <v>14</v>
      </c>
      <c r="AI167" s="11">
        <f t="shared" si="111"/>
        <v>12</v>
      </c>
      <c r="AJ167" s="11">
        <f t="shared" si="112"/>
        <v>14</v>
      </c>
      <c r="AK167" s="11">
        <f t="shared" si="113"/>
        <v>12</v>
      </c>
      <c r="AL167" s="11">
        <f t="shared" si="114"/>
        <v>13</v>
      </c>
      <c r="AM167" s="11">
        <f t="shared" si="115"/>
        <v>11</v>
      </c>
      <c r="AN167" s="11">
        <f t="shared" si="116"/>
        <v>14</v>
      </c>
      <c r="AO167" s="35">
        <f t="shared" si="117"/>
        <v>3512.1428571428573</v>
      </c>
      <c r="AP167" s="35">
        <f t="shared" si="118"/>
        <v>4040.3636363636365</v>
      </c>
      <c r="AQ167" s="35">
        <f t="shared" si="119"/>
        <v>3393.8823529411766</v>
      </c>
      <c r="AR167" s="35">
        <f t="shared" si="120"/>
        <v>2684.8333333333335</v>
      </c>
      <c r="AS167" s="35">
        <f t="shared" si="121"/>
        <v>3307.5294117647059</v>
      </c>
      <c r="AT167" s="35">
        <f t="shared" si="122"/>
        <v>3280.125</v>
      </c>
      <c r="AU167" s="35">
        <f t="shared" si="123"/>
        <v>4402.375</v>
      </c>
      <c r="AV167" s="35">
        <f t="shared" si="124"/>
        <v>3066.2307692307691</v>
      </c>
      <c r="AW167" s="35">
        <f t="shared" si="125"/>
        <v>2801</v>
      </c>
      <c r="AX167" s="35">
        <f t="shared" si="126"/>
        <v>3305.8571428571427</v>
      </c>
      <c r="AY167" s="28">
        <f t="shared" si="127"/>
        <v>3379.4339503633623</v>
      </c>
      <c r="AZ167" s="35">
        <f t="shared" si="128"/>
        <v>-322.43395036336233</v>
      </c>
      <c r="BA167" s="35">
        <f t="shared" si="129"/>
        <v>322.43395036336233</v>
      </c>
      <c r="BB167" s="35">
        <f t="shared" si="130"/>
        <v>103963.65234692321</v>
      </c>
      <c r="BC167" s="35">
        <f t="shared" si="131"/>
        <v>1384403.6503031631</v>
      </c>
      <c r="BE167" s="37">
        <v>2</v>
      </c>
      <c r="BF167" s="37">
        <v>0</v>
      </c>
      <c r="BG167" s="37">
        <v>0</v>
      </c>
      <c r="BH167" s="37">
        <v>0</v>
      </c>
      <c r="BI167" s="37">
        <v>0</v>
      </c>
      <c r="BJ167" s="37">
        <v>1</v>
      </c>
      <c r="BK167" s="37">
        <v>1</v>
      </c>
      <c r="BL167" s="37">
        <v>0</v>
      </c>
      <c r="BM167" s="37">
        <v>3</v>
      </c>
      <c r="BN167" s="37">
        <v>2</v>
      </c>
      <c r="BO167" s="11">
        <f t="shared" si="132"/>
        <v>12</v>
      </c>
      <c r="BP167" s="11">
        <f t="shared" si="133"/>
        <v>10</v>
      </c>
      <c r="BQ167" s="11">
        <f t="shared" si="134"/>
        <v>7</v>
      </c>
      <c r="BR167" s="11">
        <f t="shared" si="135"/>
        <v>9</v>
      </c>
      <c r="BS167" s="11">
        <f t="shared" si="136"/>
        <v>10</v>
      </c>
      <c r="BT167" s="11">
        <f t="shared" si="137"/>
        <v>10</v>
      </c>
      <c r="BU167" s="11">
        <f t="shared" si="138"/>
        <v>10</v>
      </c>
      <c r="BV167" s="11">
        <f t="shared" si="139"/>
        <v>10</v>
      </c>
      <c r="BW167" s="11">
        <f t="shared" si="140"/>
        <v>7</v>
      </c>
      <c r="BX167" s="11">
        <f t="shared" si="141"/>
        <v>7</v>
      </c>
      <c r="BY167" s="35">
        <f t="shared" si="142"/>
        <v>3616.75</v>
      </c>
      <c r="BZ167" s="35">
        <f t="shared" si="143"/>
        <v>4302</v>
      </c>
      <c r="CA167" s="35">
        <f t="shared" si="144"/>
        <v>2109.6060606060605</v>
      </c>
      <c r="CB167" s="35">
        <f t="shared" si="145"/>
        <v>4077.7142857142858</v>
      </c>
      <c r="CC167" s="35">
        <f t="shared" si="146"/>
        <v>4206.666666666667</v>
      </c>
      <c r="CD167" s="35">
        <f t="shared" si="147"/>
        <v>3645</v>
      </c>
      <c r="CE167" s="35">
        <f t="shared" si="148"/>
        <v>3776.5</v>
      </c>
      <c r="CF167" s="35">
        <f t="shared" si="149"/>
        <v>4504.5</v>
      </c>
      <c r="CG167" s="35">
        <f t="shared" si="150"/>
        <v>2852</v>
      </c>
      <c r="CH167" s="35">
        <f t="shared" si="151"/>
        <v>3729.6666666666665</v>
      </c>
      <c r="CI167" s="28">
        <f t="shared" si="152"/>
        <v>3682.0403679653673</v>
      </c>
      <c r="CJ167" s="35">
        <f t="shared" si="153"/>
        <v>-625.0403679653673</v>
      </c>
      <c r="CK167" s="35">
        <f t="shared" si="154"/>
        <v>625.0403679653673</v>
      </c>
      <c r="CL167" s="35">
        <f t="shared" si="155"/>
        <v>390675.46158628177</v>
      </c>
      <c r="CM167" s="35">
        <f t="shared" si="156"/>
        <v>1384403.6503031631</v>
      </c>
    </row>
    <row r="168" spans="1:91" x14ac:dyDescent="0.3">
      <c r="A168" s="4" t="str">
        <f>DATASETS!A92</f>
        <v>COMMONWEALTH AVE.</v>
      </c>
      <c r="B168" s="4" t="str">
        <f>DATASETS!E92</f>
        <v>Training</v>
      </c>
      <c r="C168" s="9">
        <f>DATASETS!C92</f>
        <v>346184</v>
      </c>
      <c r="D168" s="4">
        <f>DATASETS!B92</f>
        <v>2022</v>
      </c>
      <c r="E168" s="6">
        <f>DATASETS!I92</f>
        <v>3057</v>
      </c>
      <c r="F168" s="9">
        <f>DATASETS!H92</f>
        <v>223.20000000000002</v>
      </c>
      <c r="G168" s="11">
        <f t="shared" si="157"/>
        <v>0</v>
      </c>
      <c r="H168" s="11">
        <f t="shared" si="157"/>
        <v>0</v>
      </c>
      <c r="I168" s="11">
        <f t="shared" si="157"/>
        <v>0</v>
      </c>
      <c r="J168" s="11">
        <f t="shared" si="157"/>
        <v>0</v>
      </c>
      <c r="K168" s="11">
        <f t="shared" si="157"/>
        <v>0</v>
      </c>
      <c r="L168" s="11">
        <f t="shared" si="157"/>
        <v>0</v>
      </c>
      <c r="M168" s="11">
        <f t="shared" si="157"/>
        <v>0</v>
      </c>
      <c r="N168" s="11">
        <f t="shared" si="157"/>
        <v>0</v>
      </c>
      <c r="O168" s="11">
        <f t="shared" si="157"/>
        <v>1</v>
      </c>
      <c r="P168" s="11">
        <f t="shared" si="157"/>
        <v>0</v>
      </c>
      <c r="Q168" s="11">
        <f t="shared" si="157"/>
        <v>0</v>
      </c>
      <c r="R168" s="11">
        <f t="shared" si="157"/>
        <v>0</v>
      </c>
      <c r="S168" s="11">
        <f t="shared" si="157"/>
        <v>0</v>
      </c>
      <c r="T168" s="6">
        <f>DATASETS!D92</f>
        <v>3846</v>
      </c>
      <c r="U168" s="37">
        <v>0</v>
      </c>
      <c r="V168" s="37">
        <v>1</v>
      </c>
      <c r="W168" s="37">
        <v>0</v>
      </c>
      <c r="X168" s="37">
        <v>2</v>
      </c>
      <c r="Y168" s="37">
        <v>1</v>
      </c>
      <c r="Z168" s="37">
        <v>1</v>
      </c>
      <c r="AA168" s="37">
        <v>3</v>
      </c>
      <c r="AB168" s="37">
        <v>1</v>
      </c>
      <c r="AC168" s="37">
        <v>0</v>
      </c>
      <c r="AD168" s="37">
        <v>0</v>
      </c>
      <c r="AE168" s="11">
        <f t="shared" si="107"/>
        <v>12</v>
      </c>
      <c r="AF168" s="11">
        <f t="shared" si="108"/>
        <v>14</v>
      </c>
      <c r="AG168" s="11">
        <f t="shared" si="109"/>
        <v>14</v>
      </c>
      <c r="AH168" s="11">
        <f t="shared" si="110"/>
        <v>14</v>
      </c>
      <c r="AI168" s="11">
        <f t="shared" si="111"/>
        <v>12</v>
      </c>
      <c r="AJ168" s="11">
        <f t="shared" si="112"/>
        <v>14</v>
      </c>
      <c r="AK168" s="11">
        <f t="shared" si="113"/>
        <v>12</v>
      </c>
      <c r="AL168" s="11">
        <f t="shared" si="114"/>
        <v>14</v>
      </c>
      <c r="AM168" s="11">
        <f t="shared" si="115"/>
        <v>12</v>
      </c>
      <c r="AN168" s="11">
        <f t="shared" si="116"/>
        <v>14</v>
      </c>
      <c r="AO168" s="35">
        <f t="shared" si="117"/>
        <v>3512.1428571428573</v>
      </c>
      <c r="AP168" s="35">
        <f t="shared" si="118"/>
        <v>4040.3636363636365</v>
      </c>
      <c r="AQ168" s="35">
        <f t="shared" si="119"/>
        <v>3393.8823529411766</v>
      </c>
      <c r="AR168" s="35">
        <f t="shared" si="120"/>
        <v>2684.8333333333335</v>
      </c>
      <c r="AS168" s="35">
        <f t="shared" si="121"/>
        <v>3307.5294117647059</v>
      </c>
      <c r="AT168" s="35">
        <f t="shared" si="122"/>
        <v>3280.125</v>
      </c>
      <c r="AU168" s="35">
        <f t="shared" si="123"/>
        <v>4402.375</v>
      </c>
      <c r="AV168" s="35">
        <f t="shared" si="124"/>
        <v>4702.25</v>
      </c>
      <c r="AW168" s="35">
        <f t="shared" si="125"/>
        <v>5025.5555555555557</v>
      </c>
      <c r="AX168" s="35">
        <f t="shared" si="126"/>
        <v>3305.8571428571427</v>
      </c>
      <c r="AY168" s="28">
        <f t="shared" si="127"/>
        <v>3765.491428995841</v>
      </c>
      <c r="AZ168" s="35">
        <f t="shared" si="128"/>
        <v>80.508571004158966</v>
      </c>
      <c r="BA168" s="35">
        <f t="shared" si="129"/>
        <v>80.508571004158966</v>
      </c>
      <c r="BB168" s="35">
        <f t="shared" si="130"/>
        <v>6481.6300051317057</v>
      </c>
      <c r="BC168" s="35">
        <f t="shared" si="131"/>
        <v>3863610.2400467531</v>
      </c>
      <c r="BE168" s="37">
        <v>0</v>
      </c>
      <c r="BF168" s="37">
        <v>1</v>
      </c>
      <c r="BG168" s="37">
        <v>0</v>
      </c>
      <c r="BH168" s="37">
        <v>2</v>
      </c>
      <c r="BI168" s="37">
        <v>1</v>
      </c>
      <c r="BJ168" s="37">
        <v>1</v>
      </c>
      <c r="BK168" s="37">
        <v>3</v>
      </c>
      <c r="BL168" s="37">
        <v>1</v>
      </c>
      <c r="BM168" s="37">
        <v>0</v>
      </c>
      <c r="BN168" s="37">
        <v>0</v>
      </c>
      <c r="BO168" s="11">
        <f t="shared" si="132"/>
        <v>12</v>
      </c>
      <c r="BP168" s="11">
        <f t="shared" si="133"/>
        <v>10</v>
      </c>
      <c r="BQ168" s="11">
        <f t="shared" si="134"/>
        <v>7</v>
      </c>
      <c r="BR168" s="11">
        <f t="shared" si="135"/>
        <v>9</v>
      </c>
      <c r="BS168" s="11">
        <f t="shared" si="136"/>
        <v>10</v>
      </c>
      <c r="BT168" s="11">
        <f t="shared" si="137"/>
        <v>10</v>
      </c>
      <c r="BU168" s="11">
        <f t="shared" si="138"/>
        <v>10</v>
      </c>
      <c r="BV168" s="11">
        <f t="shared" si="139"/>
        <v>10</v>
      </c>
      <c r="BW168" s="11">
        <f t="shared" si="140"/>
        <v>7</v>
      </c>
      <c r="BX168" s="11">
        <f t="shared" si="141"/>
        <v>6</v>
      </c>
      <c r="BY168" s="35">
        <f t="shared" si="142"/>
        <v>3616.75</v>
      </c>
      <c r="BZ168" s="35">
        <f t="shared" si="143"/>
        <v>4302</v>
      </c>
      <c r="CA168" s="35">
        <f t="shared" si="144"/>
        <v>2109.6060606060605</v>
      </c>
      <c r="CB168" s="35">
        <f t="shared" si="145"/>
        <v>4077.7142857142858</v>
      </c>
      <c r="CC168" s="35">
        <f t="shared" si="146"/>
        <v>4206.666666666667</v>
      </c>
      <c r="CD168" s="35">
        <f t="shared" si="147"/>
        <v>3645</v>
      </c>
      <c r="CE168" s="35">
        <f t="shared" si="148"/>
        <v>3776.5</v>
      </c>
      <c r="CF168" s="35">
        <f t="shared" si="149"/>
        <v>4504.5</v>
      </c>
      <c r="CG168" s="35">
        <f t="shared" si="150"/>
        <v>2852</v>
      </c>
      <c r="CH168" s="35">
        <f t="shared" si="151"/>
        <v>1952.125</v>
      </c>
      <c r="CI168" s="28">
        <f t="shared" si="152"/>
        <v>3504.2862012987011</v>
      </c>
      <c r="CJ168" s="35">
        <f t="shared" si="153"/>
        <v>341.71379870129886</v>
      </c>
      <c r="CK168" s="35">
        <f t="shared" si="154"/>
        <v>341.71379870129886</v>
      </c>
      <c r="CL168" s="35">
        <f t="shared" si="155"/>
        <v>116768.3202228718</v>
      </c>
      <c r="CM168" s="35">
        <f t="shared" si="156"/>
        <v>3863610.2400467531</v>
      </c>
    </row>
    <row r="169" spans="1:91" x14ac:dyDescent="0.3">
      <c r="A169" s="4" t="str">
        <f>DATASETS!A93</f>
        <v>COMMONWEALTH AVE.</v>
      </c>
      <c r="B169" s="4" t="str">
        <f>DATASETS!E93</f>
        <v>Training</v>
      </c>
      <c r="C169" s="9">
        <f>DATASETS!C93</f>
        <v>407988</v>
      </c>
      <c r="D169" s="4">
        <f>DATASETS!B93</f>
        <v>2023</v>
      </c>
      <c r="E169" s="6">
        <f>DATASETS!I93</f>
        <v>3846</v>
      </c>
      <c r="F169" s="9">
        <f>DATASETS!H93</f>
        <v>223.20000000000002</v>
      </c>
      <c r="G169" s="11">
        <f t="shared" si="157"/>
        <v>0</v>
      </c>
      <c r="H169" s="11">
        <f t="shared" si="157"/>
        <v>0</v>
      </c>
      <c r="I169" s="11">
        <f t="shared" si="157"/>
        <v>0</v>
      </c>
      <c r="J169" s="11">
        <f t="shared" si="157"/>
        <v>0</v>
      </c>
      <c r="K169" s="11">
        <f t="shared" si="157"/>
        <v>0</v>
      </c>
      <c r="L169" s="11">
        <f t="shared" si="157"/>
        <v>0</v>
      </c>
      <c r="M169" s="11">
        <f t="shared" si="157"/>
        <v>0</v>
      </c>
      <c r="N169" s="11">
        <f t="shared" si="157"/>
        <v>0</v>
      </c>
      <c r="O169" s="11">
        <f t="shared" si="157"/>
        <v>1</v>
      </c>
      <c r="P169" s="11">
        <f t="shared" si="157"/>
        <v>0</v>
      </c>
      <c r="Q169" s="11">
        <f t="shared" si="157"/>
        <v>0</v>
      </c>
      <c r="R169" s="11">
        <f t="shared" si="157"/>
        <v>0</v>
      </c>
      <c r="S169" s="11">
        <f t="shared" si="157"/>
        <v>0</v>
      </c>
      <c r="T169" s="6">
        <f>DATASETS!D93</f>
        <v>4874</v>
      </c>
      <c r="U169" s="37">
        <v>0</v>
      </c>
      <c r="V169" s="37">
        <v>1</v>
      </c>
      <c r="W169" s="37">
        <v>2</v>
      </c>
      <c r="X169" s="37">
        <v>0</v>
      </c>
      <c r="Y169" s="37">
        <v>1</v>
      </c>
      <c r="Z169" s="37">
        <v>3</v>
      </c>
      <c r="AA169" s="37">
        <v>1</v>
      </c>
      <c r="AB169" s="37">
        <v>1</v>
      </c>
      <c r="AC169" s="37">
        <v>1</v>
      </c>
      <c r="AD169" s="37">
        <v>0</v>
      </c>
      <c r="AE169" s="11">
        <f t="shared" si="107"/>
        <v>12</v>
      </c>
      <c r="AF169" s="11">
        <f t="shared" si="108"/>
        <v>14</v>
      </c>
      <c r="AG169" s="11">
        <f t="shared" si="109"/>
        <v>14</v>
      </c>
      <c r="AH169" s="11">
        <f t="shared" si="110"/>
        <v>14</v>
      </c>
      <c r="AI169" s="11">
        <f t="shared" si="111"/>
        <v>12</v>
      </c>
      <c r="AJ169" s="11">
        <f t="shared" si="112"/>
        <v>14</v>
      </c>
      <c r="AK169" s="11">
        <f t="shared" si="113"/>
        <v>12</v>
      </c>
      <c r="AL169" s="11">
        <f t="shared" si="114"/>
        <v>14</v>
      </c>
      <c r="AM169" s="11">
        <f t="shared" si="115"/>
        <v>12</v>
      </c>
      <c r="AN169" s="11">
        <f t="shared" si="116"/>
        <v>14</v>
      </c>
      <c r="AO169" s="35">
        <f t="shared" si="117"/>
        <v>3512.1428571428573</v>
      </c>
      <c r="AP169" s="35">
        <f t="shared" si="118"/>
        <v>4040.3636363636365</v>
      </c>
      <c r="AQ169" s="35">
        <f t="shared" si="119"/>
        <v>3393.8823529411766</v>
      </c>
      <c r="AR169" s="35">
        <f t="shared" si="120"/>
        <v>2684.8333333333335</v>
      </c>
      <c r="AS169" s="35">
        <f t="shared" si="121"/>
        <v>3307.5294117647059</v>
      </c>
      <c r="AT169" s="35">
        <f t="shared" si="122"/>
        <v>3280.125</v>
      </c>
      <c r="AU169" s="35">
        <f t="shared" si="123"/>
        <v>4402.375</v>
      </c>
      <c r="AV169" s="35">
        <f t="shared" si="124"/>
        <v>4702.25</v>
      </c>
      <c r="AW169" s="35">
        <f t="shared" si="125"/>
        <v>5025.5555555555557</v>
      </c>
      <c r="AX169" s="35">
        <f t="shared" si="126"/>
        <v>3305.8571428571427</v>
      </c>
      <c r="AY169" s="28">
        <f t="shared" si="127"/>
        <v>3765.491428995841</v>
      </c>
      <c r="AZ169" s="35">
        <f t="shared" si="128"/>
        <v>1108.508571004159</v>
      </c>
      <c r="BA169" s="35">
        <f t="shared" si="129"/>
        <v>1108.508571004159</v>
      </c>
      <c r="BB169" s="35">
        <f t="shared" si="130"/>
        <v>1228791.2519896824</v>
      </c>
      <c r="BC169" s="35">
        <f t="shared" si="131"/>
        <v>8961681.8981664125</v>
      </c>
      <c r="BE169" s="37">
        <v>0</v>
      </c>
      <c r="BF169" s="37">
        <v>1</v>
      </c>
      <c r="BG169" s="37">
        <v>2</v>
      </c>
      <c r="BH169" s="37">
        <v>0</v>
      </c>
      <c r="BI169" s="37">
        <v>1</v>
      </c>
      <c r="BJ169" s="37">
        <v>3</v>
      </c>
      <c r="BK169" s="37">
        <v>1</v>
      </c>
      <c r="BL169" s="37">
        <v>1</v>
      </c>
      <c r="BM169" s="37">
        <v>1</v>
      </c>
      <c r="BN169" s="37">
        <v>0</v>
      </c>
      <c r="BO169" s="11">
        <f t="shared" si="132"/>
        <v>12</v>
      </c>
      <c r="BP169" s="11">
        <f t="shared" si="133"/>
        <v>10</v>
      </c>
      <c r="BQ169" s="11">
        <f t="shared" si="134"/>
        <v>9</v>
      </c>
      <c r="BR169" s="11">
        <f t="shared" si="135"/>
        <v>9</v>
      </c>
      <c r="BS169" s="11">
        <f t="shared" si="136"/>
        <v>10</v>
      </c>
      <c r="BT169" s="11">
        <f t="shared" si="137"/>
        <v>11</v>
      </c>
      <c r="BU169" s="11">
        <f t="shared" si="138"/>
        <v>11</v>
      </c>
      <c r="BV169" s="11">
        <f t="shared" si="139"/>
        <v>10</v>
      </c>
      <c r="BW169" s="11">
        <f t="shared" si="140"/>
        <v>9</v>
      </c>
      <c r="BX169" s="11">
        <f t="shared" si="141"/>
        <v>7</v>
      </c>
      <c r="BY169" s="35">
        <f t="shared" si="142"/>
        <v>3616.75</v>
      </c>
      <c r="BZ169" s="35">
        <f t="shared" si="143"/>
        <v>4302</v>
      </c>
      <c r="CA169" s="35">
        <f t="shared" si="144"/>
        <v>4575</v>
      </c>
      <c r="CB169" s="35">
        <f t="shared" si="145"/>
        <v>4077.7142857142858</v>
      </c>
      <c r="CC169" s="35">
        <f t="shared" si="146"/>
        <v>4206.666666666667</v>
      </c>
      <c r="CD169" s="35">
        <f t="shared" si="147"/>
        <v>4997.75</v>
      </c>
      <c r="CE169" s="35">
        <f t="shared" si="148"/>
        <v>5094.8</v>
      </c>
      <c r="CF169" s="35">
        <f t="shared" si="149"/>
        <v>4504.5</v>
      </c>
      <c r="CG169" s="35">
        <f t="shared" si="150"/>
        <v>5119.75</v>
      </c>
      <c r="CH169" s="35">
        <f t="shared" si="151"/>
        <v>3729.6666666666665</v>
      </c>
      <c r="CI169" s="28">
        <f t="shared" si="152"/>
        <v>4422.4597619047618</v>
      </c>
      <c r="CJ169" s="35">
        <f t="shared" si="153"/>
        <v>451.54023809523824</v>
      </c>
      <c r="CK169" s="35">
        <f t="shared" si="154"/>
        <v>451.54023809523824</v>
      </c>
      <c r="CL169" s="35">
        <f t="shared" si="155"/>
        <v>203888.58661910443</v>
      </c>
      <c r="CM169" s="35">
        <f t="shared" si="156"/>
        <v>8961681.8981664125</v>
      </c>
    </row>
    <row r="170" spans="1:91" x14ac:dyDescent="0.3">
      <c r="A170" s="4" t="str">
        <f>DATASETS!A94</f>
        <v>COMMONWEALTH AVE.</v>
      </c>
      <c r="B170" s="4" t="str">
        <f>DATASETS!E94</f>
        <v>Training</v>
      </c>
      <c r="C170" s="9">
        <f>DATASETS!C94</f>
        <v>413345</v>
      </c>
      <c r="D170" s="4">
        <f>DATASETS!B94</f>
        <v>2024</v>
      </c>
      <c r="E170" s="6">
        <f>DATASETS!I94</f>
        <v>4874</v>
      </c>
      <c r="F170" s="9">
        <f>DATASETS!H94</f>
        <v>223.20000000000002</v>
      </c>
      <c r="G170" s="11">
        <f t="shared" ref="G170:S179" si="158">IF($A170=G$88,1,0)</f>
        <v>0</v>
      </c>
      <c r="H170" s="11">
        <f t="shared" si="158"/>
        <v>0</v>
      </c>
      <c r="I170" s="11">
        <f t="shared" si="158"/>
        <v>0</v>
      </c>
      <c r="J170" s="11">
        <f t="shared" si="158"/>
        <v>0</v>
      </c>
      <c r="K170" s="11">
        <f t="shared" si="158"/>
        <v>0</v>
      </c>
      <c r="L170" s="11">
        <f t="shared" si="158"/>
        <v>0</v>
      </c>
      <c r="M170" s="11">
        <f t="shared" si="158"/>
        <v>0</v>
      </c>
      <c r="N170" s="11">
        <f t="shared" si="158"/>
        <v>0</v>
      </c>
      <c r="O170" s="11">
        <f t="shared" si="158"/>
        <v>1</v>
      </c>
      <c r="P170" s="11">
        <f t="shared" si="158"/>
        <v>0</v>
      </c>
      <c r="Q170" s="11">
        <f t="shared" si="158"/>
        <v>0</v>
      </c>
      <c r="R170" s="11">
        <f t="shared" si="158"/>
        <v>0</v>
      </c>
      <c r="S170" s="11">
        <f t="shared" si="158"/>
        <v>0</v>
      </c>
      <c r="T170" s="6">
        <f>DATASETS!D94</f>
        <v>5091</v>
      </c>
      <c r="U170" s="37">
        <v>1</v>
      </c>
      <c r="V170" s="37">
        <v>1</v>
      </c>
      <c r="W170" s="37">
        <v>3</v>
      </c>
      <c r="X170" s="37">
        <v>0</v>
      </c>
      <c r="Y170" s="37">
        <v>0</v>
      </c>
      <c r="Z170" s="37">
        <v>0</v>
      </c>
      <c r="AA170" s="37">
        <v>2</v>
      </c>
      <c r="AB170" s="37">
        <v>1</v>
      </c>
      <c r="AC170" s="37">
        <v>4</v>
      </c>
      <c r="AD170" s="37">
        <v>1</v>
      </c>
      <c r="AE170" s="11">
        <f t="shared" si="107"/>
        <v>12</v>
      </c>
      <c r="AF170" s="11">
        <f t="shared" si="108"/>
        <v>14</v>
      </c>
      <c r="AG170" s="11">
        <f t="shared" si="109"/>
        <v>14</v>
      </c>
      <c r="AH170" s="11">
        <f t="shared" si="110"/>
        <v>14</v>
      </c>
      <c r="AI170" s="11">
        <f t="shared" si="111"/>
        <v>12</v>
      </c>
      <c r="AJ170" s="11">
        <f t="shared" si="112"/>
        <v>14</v>
      </c>
      <c r="AK170" s="11">
        <f t="shared" si="113"/>
        <v>12</v>
      </c>
      <c r="AL170" s="11">
        <f t="shared" si="114"/>
        <v>14</v>
      </c>
      <c r="AM170" s="11">
        <f t="shared" si="115"/>
        <v>12</v>
      </c>
      <c r="AN170" s="11">
        <f t="shared" si="116"/>
        <v>14</v>
      </c>
      <c r="AO170" s="35">
        <f t="shared" si="117"/>
        <v>3512.1428571428573</v>
      </c>
      <c r="AP170" s="35">
        <f t="shared" si="118"/>
        <v>4040.3636363636365</v>
      </c>
      <c r="AQ170" s="35">
        <f t="shared" si="119"/>
        <v>3393.8823529411766</v>
      </c>
      <c r="AR170" s="35">
        <f t="shared" si="120"/>
        <v>2684.8333333333335</v>
      </c>
      <c r="AS170" s="35">
        <f t="shared" si="121"/>
        <v>3307.5294117647059</v>
      </c>
      <c r="AT170" s="35">
        <f t="shared" si="122"/>
        <v>3280.125</v>
      </c>
      <c r="AU170" s="35">
        <f t="shared" si="123"/>
        <v>4402.375</v>
      </c>
      <c r="AV170" s="35">
        <f t="shared" si="124"/>
        <v>4702.25</v>
      </c>
      <c r="AW170" s="35">
        <f t="shared" si="125"/>
        <v>5025.5555555555557</v>
      </c>
      <c r="AX170" s="35">
        <f t="shared" si="126"/>
        <v>3305.8571428571427</v>
      </c>
      <c r="AY170" s="28">
        <f t="shared" si="127"/>
        <v>3765.491428995841</v>
      </c>
      <c r="AZ170" s="35">
        <f t="shared" si="128"/>
        <v>1325.508571004159</v>
      </c>
      <c r="BA170" s="35">
        <f t="shared" si="129"/>
        <v>1325.508571004159</v>
      </c>
      <c r="BB170" s="35">
        <f t="shared" si="130"/>
        <v>1756972.9718054875</v>
      </c>
      <c r="BC170" s="35">
        <f t="shared" si="131"/>
        <v>10307996.26568778</v>
      </c>
      <c r="BE170" s="37">
        <v>1</v>
      </c>
      <c r="BF170" s="37">
        <v>1</v>
      </c>
      <c r="BG170" s="37">
        <v>3</v>
      </c>
      <c r="BH170" s="37">
        <v>0</v>
      </c>
      <c r="BI170" s="37">
        <v>0</v>
      </c>
      <c r="BJ170" s="37">
        <v>0</v>
      </c>
      <c r="BK170" s="37">
        <v>2</v>
      </c>
      <c r="BL170" s="37">
        <v>1</v>
      </c>
      <c r="BM170" s="37">
        <v>4</v>
      </c>
      <c r="BN170" s="37">
        <v>1</v>
      </c>
      <c r="BO170" s="11">
        <f t="shared" si="132"/>
        <v>12</v>
      </c>
      <c r="BP170" s="11">
        <f t="shared" si="133"/>
        <v>11</v>
      </c>
      <c r="BQ170" s="11">
        <f t="shared" si="134"/>
        <v>9</v>
      </c>
      <c r="BR170" s="11">
        <f t="shared" si="135"/>
        <v>9</v>
      </c>
      <c r="BS170" s="11">
        <f t="shared" si="136"/>
        <v>10</v>
      </c>
      <c r="BT170" s="11">
        <f t="shared" si="137"/>
        <v>11</v>
      </c>
      <c r="BU170" s="11">
        <f t="shared" si="138"/>
        <v>11</v>
      </c>
      <c r="BV170" s="11">
        <f t="shared" si="139"/>
        <v>11</v>
      </c>
      <c r="BW170" s="11">
        <f t="shared" si="140"/>
        <v>9</v>
      </c>
      <c r="BX170" s="11">
        <f t="shared" si="141"/>
        <v>7</v>
      </c>
      <c r="BY170" s="35">
        <f t="shared" si="142"/>
        <v>3616.75</v>
      </c>
      <c r="BZ170" s="35">
        <f t="shared" si="143"/>
        <v>5495</v>
      </c>
      <c r="CA170" s="35">
        <f t="shared" si="144"/>
        <v>4575</v>
      </c>
      <c r="CB170" s="35">
        <f t="shared" si="145"/>
        <v>4077.7142857142858</v>
      </c>
      <c r="CC170" s="35">
        <f t="shared" si="146"/>
        <v>4206.666666666667</v>
      </c>
      <c r="CD170" s="35">
        <f t="shared" si="147"/>
        <v>4997.75</v>
      </c>
      <c r="CE170" s="35">
        <f t="shared" si="148"/>
        <v>5094.8</v>
      </c>
      <c r="CF170" s="35">
        <f t="shared" si="149"/>
        <v>5442.25</v>
      </c>
      <c r="CG170" s="35">
        <f t="shared" si="150"/>
        <v>5119.75</v>
      </c>
      <c r="CH170" s="35">
        <f t="shared" si="151"/>
        <v>3729.6666666666665</v>
      </c>
      <c r="CI170" s="28">
        <f t="shared" si="152"/>
        <v>4635.5347619047616</v>
      </c>
      <c r="CJ170" s="35">
        <f t="shared" si="153"/>
        <v>455.46523809523842</v>
      </c>
      <c r="CK170" s="35">
        <f t="shared" si="154"/>
        <v>455.46523809523842</v>
      </c>
      <c r="CL170" s="35">
        <f t="shared" si="155"/>
        <v>207448.58311315221</v>
      </c>
      <c r="CM170" s="35">
        <f t="shared" si="156"/>
        <v>10307996.26568778</v>
      </c>
    </row>
    <row r="171" spans="1:91" x14ac:dyDescent="0.3">
      <c r="A171" s="4" t="str">
        <f>DATASETS!A96</f>
        <v>RIZAL AVE.</v>
      </c>
      <c r="B171" s="4" t="str">
        <f>DATASETS!E96</f>
        <v>Training</v>
      </c>
      <c r="C171" s="9">
        <f>DATASETS!C96</f>
        <v>76295</v>
      </c>
      <c r="D171" s="4">
        <f>DATASETS!B96</f>
        <v>2016</v>
      </c>
      <c r="E171" s="6">
        <f>DATASETS!I96</f>
        <v>426</v>
      </c>
      <c r="F171" s="9">
        <f>DATASETS!H96</f>
        <v>32.865000000000002</v>
      </c>
      <c r="G171" s="11">
        <f t="shared" si="158"/>
        <v>0</v>
      </c>
      <c r="H171" s="11">
        <f t="shared" si="158"/>
        <v>0</v>
      </c>
      <c r="I171" s="11">
        <f t="shared" si="158"/>
        <v>0</v>
      </c>
      <c r="J171" s="11">
        <f t="shared" si="158"/>
        <v>0</v>
      </c>
      <c r="K171" s="11">
        <f t="shared" si="158"/>
        <v>0</v>
      </c>
      <c r="L171" s="11">
        <f t="shared" si="158"/>
        <v>0</v>
      </c>
      <c r="M171" s="11">
        <f t="shared" si="158"/>
        <v>0</v>
      </c>
      <c r="N171" s="11">
        <f t="shared" si="158"/>
        <v>0</v>
      </c>
      <c r="O171" s="11">
        <f t="shared" si="158"/>
        <v>0</v>
      </c>
      <c r="P171" s="11">
        <f t="shared" si="158"/>
        <v>1</v>
      </c>
      <c r="Q171" s="11">
        <f t="shared" si="158"/>
        <v>0</v>
      </c>
      <c r="R171" s="11">
        <f t="shared" si="158"/>
        <v>0</v>
      </c>
      <c r="S171" s="11">
        <f t="shared" si="158"/>
        <v>0</v>
      </c>
      <c r="T171" s="6">
        <f>DATASETS!D96</f>
        <v>309</v>
      </c>
      <c r="U171" s="37">
        <v>3</v>
      </c>
      <c r="V171" s="37">
        <v>0</v>
      </c>
      <c r="W171" s="37">
        <v>1</v>
      </c>
      <c r="X171" s="37">
        <v>0</v>
      </c>
      <c r="Y171" s="37">
        <v>0</v>
      </c>
      <c r="Z171" s="37">
        <v>0</v>
      </c>
      <c r="AA171" s="37">
        <v>2</v>
      </c>
      <c r="AB171" s="37">
        <v>3</v>
      </c>
      <c r="AC171" s="37">
        <v>2</v>
      </c>
      <c r="AD171" s="37">
        <v>2</v>
      </c>
      <c r="AE171" s="11">
        <f t="shared" si="107"/>
        <v>3</v>
      </c>
      <c r="AF171" s="11">
        <f t="shared" si="108"/>
        <v>3</v>
      </c>
      <c r="AG171" s="11">
        <f t="shared" si="109"/>
        <v>3</v>
      </c>
      <c r="AH171" s="11">
        <f t="shared" si="110"/>
        <v>3</v>
      </c>
      <c r="AI171" s="11">
        <f t="shared" si="111"/>
        <v>3</v>
      </c>
      <c r="AJ171" s="11">
        <f t="shared" si="112"/>
        <v>3</v>
      </c>
      <c r="AK171" s="11">
        <f t="shared" si="113"/>
        <v>3</v>
      </c>
      <c r="AL171" s="11">
        <f t="shared" si="114"/>
        <v>3</v>
      </c>
      <c r="AM171" s="11">
        <f t="shared" si="115"/>
        <v>3</v>
      </c>
      <c r="AN171" s="11">
        <f t="shared" si="116"/>
        <v>3</v>
      </c>
      <c r="AO171" s="35">
        <f t="shared" si="117"/>
        <v>600.81818181818187</v>
      </c>
      <c r="AP171" s="35">
        <f t="shared" si="118"/>
        <v>879.5</v>
      </c>
      <c r="AQ171" s="35">
        <f t="shared" si="119"/>
        <v>558</v>
      </c>
      <c r="AR171" s="35">
        <f t="shared" si="120"/>
        <v>668.6</v>
      </c>
      <c r="AS171" s="35">
        <f t="shared" si="121"/>
        <v>609.80952380952385</v>
      </c>
      <c r="AT171" s="35">
        <f t="shared" si="122"/>
        <v>730.06451612903231</v>
      </c>
      <c r="AU171" s="35">
        <f t="shared" si="123"/>
        <v>554.66666666666663</v>
      </c>
      <c r="AV171" s="35">
        <f t="shared" si="124"/>
        <v>703.24</v>
      </c>
      <c r="AW171" s="35">
        <f t="shared" si="125"/>
        <v>252.66666666666666</v>
      </c>
      <c r="AX171" s="35">
        <f t="shared" si="126"/>
        <v>889.97222222222217</v>
      </c>
      <c r="AY171" s="28">
        <f t="shared" si="127"/>
        <v>644.73377773122934</v>
      </c>
      <c r="AZ171" s="35">
        <f t="shared" si="128"/>
        <v>-335.73377773122934</v>
      </c>
      <c r="BA171" s="35">
        <f t="shared" si="129"/>
        <v>335.73377773122934</v>
      </c>
      <c r="BB171" s="35">
        <f t="shared" si="130"/>
        <v>112717.1695096825</v>
      </c>
      <c r="BC171" s="35">
        <f t="shared" si="131"/>
        <v>2469276.4708159836</v>
      </c>
      <c r="BE171" s="37">
        <v>3</v>
      </c>
      <c r="BF171" s="37">
        <v>0</v>
      </c>
      <c r="BG171" s="37">
        <v>1</v>
      </c>
      <c r="BH171" s="37">
        <v>0</v>
      </c>
      <c r="BI171" s="37">
        <v>0</v>
      </c>
      <c r="BJ171" s="37">
        <v>0</v>
      </c>
      <c r="BK171" s="37">
        <v>2</v>
      </c>
      <c r="BL171" s="37">
        <v>3</v>
      </c>
      <c r="BM171" s="37">
        <v>2</v>
      </c>
      <c r="BN171" s="37">
        <v>2</v>
      </c>
      <c r="BO171" s="11">
        <f t="shared" si="132"/>
        <v>3</v>
      </c>
      <c r="BP171" s="11">
        <f t="shared" si="133"/>
        <v>3</v>
      </c>
      <c r="BQ171" s="11">
        <f t="shared" si="134"/>
        <v>3</v>
      </c>
      <c r="BR171" s="11">
        <f t="shared" si="135"/>
        <v>3</v>
      </c>
      <c r="BS171" s="11">
        <f t="shared" si="136"/>
        <v>3</v>
      </c>
      <c r="BT171" s="11">
        <f t="shared" si="137"/>
        <v>3</v>
      </c>
      <c r="BU171" s="11">
        <f t="shared" si="138"/>
        <v>3</v>
      </c>
      <c r="BV171" s="11">
        <f t="shared" si="139"/>
        <v>3</v>
      </c>
      <c r="BW171" s="11">
        <f t="shared" si="140"/>
        <v>3</v>
      </c>
      <c r="BX171" s="11">
        <f t="shared" si="141"/>
        <v>3</v>
      </c>
      <c r="BY171" s="35">
        <f t="shared" si="142"/>
        <v>526.31578947368416</v>
      </c>
      <c r="BZ171" s="35">
        <f t="shared" si="143"/>
        <v>549.21428571428567</v>
      </c>
      <c r="CA171" s="35">
        <f t="shared" si="144"/>
        <v>431.78571428571428</v>
      </c>
      <c r="CB171" s="35">
        <f t="shared" si="145"/>
        <v>468.77777777777777</v>
      </c>
      <c r="CC171" s="35">
        <f t="shared" si="146"/>
        <v>493.23809523809524</v>
      </c>
      <c r="CD171" s="35">
        <f t="shared" si="147"/>
        <v>501.72972972972974</v>
      </c>
      <c r="CE171" s="35">
        <f t="shared" si="148"/>
        <v>737.21875</v>
      </c>
      <c r="CF171" s="35">
        <f t="shared" si="149"/>
        <v>454.56</v>
      </c>
      <c r="CG171" s="35">
        <f t="shared" si="150"/>
        <v>490.4848484848485</v>
      </c>
      <c r="CH171" s="35">
        <f t="shared" si="151"/>
        <v>453.52</v>
      </c>
      <c r="CI171" s="28">
        <f t="shared" si="152"/>
        <v>510.68449907041361</v>
      </c>
      <c r="CJ171" s="35">
        <f t="shared" si="153"/>
        <v>-201.68449907041361</v>
      </c>
      <c r="CK171" s="35">
        <f t="shared" si="154"/>
        <v>201.68449907041361</v>
      </c>
      <c r="CL171" s="35">
        <f t="shared" si="155"/>
        <v>40676.637165283668</v>
      </c>
      <c r="CM171" s="35">
        <f t="shared" si="156"/>
        <v>2469276.4708159836</v>
      </c>
    </row>
    <row r="172" spans="1:91" x14ac:dyDescent="0.3">
      <c r="A172" s="4" t="str">
        <f>DATASETS!A97</f>
        <v>RIZAL AVE.</v>
      </c>
      <c r="B172" s="4" t="str">
        <f>DATASETS!E97</f>
        <v>Training</v>
      </c>
      <c r="C172" s="9">
        <f>DATASETS!C97</f>
        <v>81740</v>
      </c>
      <c r="D172" s="4">
        <f>DATASETS!B97</f>
        <v>2017</v>
      </c>
      <c r="E172" s="6">
        <f>DATASETS!I97</f>
        <v>309</v>
      </c>
      <c r="F172" s="9">
        <f>DATASETS!H97</f>
        <v>32.865000000000002</v>
      </c>
      <c r="G172" s="11">
        <f t="shared" si="158"/>
        <v>0</v>
      </c>
      <c r="H172" s="11">
        <f t="shared" si="158"/>
        <v>0</v>
      </c>
      <c r="I172" s="11">
        <f t="shared" si="158"/>
        <v>0</v>
      </c>
      <c r="J172" s="11">
        <f t="shared" si="158"/>
        <v>0</v>
      </c>
      <c r="K172" s="11">
        <f t="shared" si="158"/>
        <v>0</v>
      </c>
      <c r="L172" s="11">
        <f t="shared" si="158"/>
        <v>0</v>
      </c>
      <c r="M172" s="11">
        <f t="shared" si="158"/>
        <v>0</v>
      </c>
      <c r="N172" s="11">
        <f t="shared" si="158"/>
        <v>0</v>
      </c>
      <c r="O172" s="11">
        <f t="shared" si="158"/>
        <v>0</v>
      </c>
      <c r="P172" s="11">
        <f t="shared" si="158"/>
        <v>1</v>
      </c>
      <c r="Q172" s="11">
        <f t="shared" si="158"/>
        <v>0</v>
      </c>
      <c r="R172" s="11">
        <f t="shared" si="158"/>
        <v>0</v>
      </c>
      <c r="S172" s="11">
        <f t="shared" si="158"/>
        <v>0</v>
      </c>
      <c r="T172" s="6">
        <f>DATASETS!D97</f>
        <v>323</v>
      </c>
      <c r="U172" s="37">
        <v>2</v>
      </c>
      <c r="V172" s="37">
        <v>0</v>
      </c>
      <c r="W172" s="37">
        <v>1</v>
      </c>
      <c r="X172" s="37">
        <v>2</v>
      </c>
      <c r="Y172" s="37">
        <v>0</v>
      </c>
      <c r="Z172" s="37">
        <v>2</v>
      </c>
      <c r="AA172" s="37">
        <v>0</v>
      </c>
      <c r="AB172" s="37">
        <v>0</v>
      </c>
      <c r="AC172" s="37">
        <v>2</v>
      </c>
      <c r="AD172" s="37">
        <v>0</v>
      </c>
      <c r="AE172" s="11">
        <f t="shared" si="107"/>
        <v>3</v>
      </c>
      <c r="AF172" s="11">
        <f t="shared" si="108"/>
        <v>3</v>
      </c>
      <c r="AG172" s="11">
        <f t="shared" si="109"/>
        <v>3</v>
      </c>
      <c r="AH172" s="11">
        <f t="shared" si="110"/>
        <v>3</v>
      </c>
      <c r="AI172" s="11">
        <f t="shared" si="111"/>
        <v>3</v>
      </c>
      <c r="AJ172" s="11">
        <f t="shared" si="112"/>
        <v>3</v>
      </c>
      <c r="AK172" s="11">
        <f t="shared" si="113"/>
        <v>4</v>
      </c>
      <c r="AL172" s="11">
        <f t="shared" si="114"/>
        <v>3</v>
      </c>
      <c r="AM172" s="11">
        <f t="shared" si="115"/>
        <v>3</v>
      </c>
      <c r="AN172" s="11">
        <f t="shared" si="116"/>
        <v>3</v>
      </c>
      <c r="AO172" s="35">
        <f t="shared" si="117"/>
        <v>600.81818181818187</v>
      </c>
      <c r="AP172" s="35">
        <f t="shared" si="118"/>
        <v>879.5</v>
      </c>
      <c r="AQ172" s="35">
        <f t="shared" si="119"/>
        <v>558</v>
      </c>
      <c r="AR172" s="35">
        <f t="shared" si="120"/>
        <v>668.6</v>
      </c>
      <c r="AS172" s="35">
        <f t="shared" si="121"/>
        <v>609.80952380952385</v>
      </c>
      <c r="AT172" s="35">
        <f t="shared" si="122"/>
        <v>730.06451612903231</v>
      </c>
      <c r="AU172" s="35">
        <f t="shared" si="123"/>
        <v>763.24242424242425</v>
      </c>
      <c r="AV172" s="35">
        <f t="shared" si="124"/>
        <v>703.24</v>
      </c>
      <c r="AW172" s="35">
        <f t="shared" si="125"/>
        <v>252.66666666666666</v>
      </c>
      <c r="AX172" s="35">
        <f t="shared" si="126"/>
        <v>889.97222222222217</v>
      </c>
      <c r="AY172" s="28">
        <f t="shared" si="127"/>
        <v>665.59135348880523</v>
      </c>
      <c r="AZ172" s="35">
        <f t="shared" si="128"/>
        <v>-342.59135348880523</v>
      </c>
      <c r="BA172" s="35">
        <f t="shared" si="129"/>
        <v>342.59135348880523</v>
      </c>
      <c r="BB172" s="35">
        <f t="shared" si="130"/>
        <v>117368.83548529149</v>
      </c>
      <c r="BC172" s="35">
        <f t="shared" si="131"/>
        <v>2425473.4622689751</v>
      </c>
      <c r="BE172" s="37">
        <v>2</v>
      </c>
      <c r="BF172" s="37">
        <v>0</v>
      </c>
      <c r="BG172" s="37">
        <v>1</v>
      </c>
      <c r="BH172" s="37">
        <v>2</v>
      </c>
      <c r="BI172" s="37">
        <v>0</v>
      </c>
      <c r="BJ172" s="37">
        <v>2</v>
      </c>
      <c r="BK172" s="37">
        <v>0</v>
      </c>
      <c r="BL172" s="37">
        <v>0</v>
      </c>
      <c r="BM172" s="37">
        <v>2</v>
      </c>
      <c r="BN172" s="37">
        <v>0</v>
      </c>
      <c r="BO172" s="11">
        <f t="shared" si="132"/>
        <v>3</v>
      </c>
      <c r="BP172" s="11">
        <f t="shared" si="133"/>
        <v>3</v>
      </c>
      <c r="BQ172" s="11">
        <f t="shared" si="134"/>
        <v>3</v>
      </c>
      <c r="BR172" s="11">
        <f t="shared" si="135"/>
        <v>3</v>
      </c>
      <c r="BS172" s="11">
        <f t="shared" si="136"/>
        <v>3</v>
      </c>
      <c r="BT172" s="11">
        <f t="shared" si="137"/>
        <v>3</v>
      </c>
      <c r="BU172" s="11">
        <f t="shared" si="138"/>
        <v>3</v>
      </c>
      <c r="BV172" s="11">
        <f t="shared" si="139"/>
        <v>3</v>
      </c>
      <c r="BW172" s="11">
        <f t="shared" si="140"/>
        <v>3</v>
      </c>
      <c r="BX172" s="11">
        <f t="shared" si="141"/>
        <v>3</v>
      </c>
      <c r="BY172" s="35">
        <f t="shared" si="142"/>
        <v>526.31578947368416</v>
      </c>
      <c r="BZ172" s="35">
        <f t="shared" si="143"/>
        <v>549.21428571428567</v>
      </c>
      <c r="CA172" s="35">
        <f t="shared" si="144"/>
        <v>431.78571428571428</v>
      </c>
      <c r="CB172" s="35">
        <f t="shared" si="145"/>
        <v>468.77777777777777</v>
      </c>
      <c r="CC172" s="35">
        <f t="shared" si="146"/>
        <v>493.23809523809524</v>
      </c>
      <c r="CD172" s="35">
        <f t="shared" si="147"/>
        <v>501.72972972972974</v>
      </c>
      <c r="CE172" s="35">
        <f t="shared" si="148"/>
        <v>737.21875</v>
      </c>
      <c r="CF172" s="35">
        <f t="shared" si="149"/>
        <v>454.56</v>
      </c>
      <c r="CG172" s="35">
        <f t="shared" si="150"/>
        <v>490.4848484848485</v>
      </c>
      <c r="CH172" s="35">
        <f t="shared" si="151"/>
        <v>453.52</v>
      </c>
      <c r="CI172" s="28">
        <f t="shared" si="152"/>
        <v>510.68449907041361</v>
      </c>
      <c r="CJ172" s="35">
        <f t="shared" si="153"/>
        <v>-187.68449907041361</v>
      </c>
      <c r="CK172" s="35">
        <f t="shared" si="154"/>
        <v>187.68449907041361</v>
      </c>
      <c r="CL172" s="35">
        <f t="shared" si="155"/>
        <v>35225.471191312085</v>
      </c>
      <c r="CM172" s="35">
        <f t="shared" si="156"/>
        <v>2425473.4622689751</v>
      </c>
    </row>
    <row r="173" spans="1:91" x14ac:dyDescent="0.3">
      <c r="A173" s="4" t="str">
        <f>DATASETS!A98</f>
        <v>RIZAL AVE.</v>
      </c>
      <c r="B173" s="4" t="str">
        <f>DATASETS!E98</f>
        <v>Training</v>
      </c>
      <c r="C173" s="9">
        <f>DATASETS!C98</f>
        <v>89473</v>
      </c>
      <c r="D173" s="4">
        <f>DATASETS!B98</f>
        <v>2018</v>
      </c>
      <c r="E173" s="6">
        <f>DATASETS!I98</f>
        <v>323</v>
      </c>
      <c r="F173" s="9">
        <f>DATASETS!H98</f>
        <v>32.865000000000002</v>
      </c>
      <c r="G173" s="11">
        <f t="shared" si="158"/>
        <v>0</v>
      </c>
      <c r="H173" s="11">
        <f t="shared" si="158"/>
        <v>0</v>
      </c>
      <c r="I173" s="11">
        <f t="shared" si="158"/>
        <v>0</v>
      </c>
      <c r="J173" s="11">
        <f t="shared" si="158"/>
        <v>0</v>
      </c>
      <c r="K173" s="11">
        <f t="shared" si="158"/>
        <v>0</v>
      </c>
      <c r="L173" s="11">
        <f t="shared" si="158"/>
        <v>0</v>
      </c>
      <c r="M173" s="11">
        <f t="shared" si="158"/>
        <v>0</v>
      </c>
      <c r="N173" s="11">
        <f t="shared" si="158"/>
        <v>0</v>
      </c>
      <c r="O173" s="11">
        <f t="shared" si="158"/>
        <v>0</v>
      </c>
      <c r="P173" s="11">
        <f t="shared" si="158"/>
        <v>1</v>
      </c>
      <c r="Q173" s="11">
        <f t="shared" si="158"/>
        <v>0</v>
      </c>
      <c r="R173" s="11">
        <f t="shared" si="158"/>
        <v>0</v>
      </c>
      <c r="S173" s="11">
        <f t="shared" si="158"/>
        <v>0</v>
      </c>
      <c r="T173" s="6">
        <f>DATASETS!D98</f>
        <v>480</v>
      </c>
      <c r="U173" s="37">
        <v>0</v>
      </c>
      <c r="V173" s="37">
        <v>2</v>
      </c>
      <c r="W173" s="37">
        <v>1</v>
      </c>
      <c r="X173" s="37">
        <v>3</v>
      </c>
      <c r="Y173" s="37">
        <v>3</v>
      </c>
      <c r="Z173" s="37">
        <v>0</v>
      </c>
      <c r="AA173" s="37">
        <v>0</v>
      </c>
      <c r="AB173" s="37">
        <v>0</v>
      </c>
      <c r="AC173" s="37">
        <v>1</v>
      </c>
      <c r="AD173" s="37">
        <v>2</v>
      </c>
      <c r="AE173" s="11">
        <f t="shared" si="107"/>
        <v>3</v>
      </c>
      <c r="AF173" s="11">
        <f t="shared" si="108"/>
        <v>3</v>
      </c>
      <c r="AG173" s="11">
        <f t="shared" si="109"/>
        <v>3</v>
      </c>
      <c r="AH173" s="11">
        <f t="shared" si="110"/>
        <v>3</v>
      </c>
      <c r="AI173" s="11">
        <f t="shared" si="111"/>
        <v>3</v>
      </c>
      <c r="AJ173" s="11">
        <f t="shared" si="112"/>
        <v>3</v>
      </c>
      <c r="AK173" s="11">
        <f t="shared" si="113"/>
        <v>4</v>
      </c>
      <c r="AL173" s="11">
        <f t="shared" si="114"/>
        <v>3</v>
      </c>
      <c r="AM173" s="11">
        <f t="shared" si="115"/>
        <v>4</v>
      </c>
      <c r="AN173" s="11">
        <f t="shared" si="116"/>
        <v>3</v>
      </c>
      <c r="AO173" s="35">
        <f t="shared" si="117"/>
        <v>600.81818181818187</v>
      </c>
      <c r="AP173" s="35">
        <f t="shared" si="118"/>
        <v>879.5</v>
      </c>
      <c r="AQ173" s="35">
        <f t="shared" si="119"/>
        <v>558</v>
      </c>
      <c r="AR173" s="35">
        <f t="shared" si="120"/>
        <v>668.6</v>
      </c>
      <c r="AS173" s="35">
        <f t="shared" si="121"/>
        <v>609.80952380952385</v>
      </c>
      <c r="AT173" s="35">
        <f t="shared" si="122"/>
        <v>730.06451612903231</v>
      </c>
      <c r="AU173" s="35">
        <f t="shared" si="123"/>
        <v>763.24242424242425</v>
      </c>
      <c r="AV173" s="35">
        <f t="shared" si="124"/>
        <v>703.24</v>
      </c>
      <c r="AW173" s="35">
        <f t="shared" si="125"/>
        <v>838.3125</v>
      </c>
      <c r="AX173" s="35">
        <f t="shared" si="126"/>
        <v>889.97222222222217</v>
      </c>
      <c r="AY173" s="28">
        <f t="shared" si="127"/>
        <v>724.15593682213841</v>
      </c>
      <c r="AZ173" s="35">
        <f t="shared" si="128"/>
        <v>-244.15593682213841</v>
      </c>
      <c r="BA173" s="35">
        <f t="shared" si="129"/>
        <v>244.15593682213841</v>
      </c>
      <c r="BB173" s="35">
        <f t="shared" si="130"/>
        <v>59612.121485496042</v>
      </c>
      <c r="BC173" s="35">
        <f t="shared" si="131"/>
        <v>1961101.0092775221</v>
      </c>
      <c r="BE173" s="37">
        <v>0</v>
      </c>
      <c r="BF173" s="37">
        <v>2</v>
      </c>
      <c r="BG173" s="37">
        <v>1</v>
      </c>
      <c r="BH173" s="37">
        <v>3</v>
      </c>
      <c r="BI173" s="37">
        <v>3</v>
      </c>
      <c r="BJ173" s="37">
        <v>0</v>
      </c>
      <c r="BK173" s="37">
        <v>0</v>
      </c>
      <c r="BL173" s="37">
        <v>0</v>
      </c>
      <c r="BM173" s="37">
        <v>1</v>
      </c>
      <c r="BN173" s="37">
        <v>2</v>
      </c>
      <c r="BO173" s="11">
        <f t="shared" si="132"/>
        <v>3</v>
      </c>
      <c r="BP173" s="11">
        <f t="shared" si="133"/>
        <v>3</v>
      </c>
      <c r="BQ173" s="11">
        <f t="shared" si="134"/>
        <v>3</v>
      </c>
      <c r="BR173" s="11">
        <f t="shared" si="135"/>
        <v>3</v>
      </c>
      <c r="BS173" s="11">
        <f t="shared" si="136"/>
        <v>3</v>
      </c>
      <c r="BT173" s="11">
        <f t="shared" si="137"/>
        <v>3</v>
      </c>
      <c r="BU173" s="11">
        <f t="shared" si="138"/>
        <v>3</v>
      </c>
      <c r="BV173" s="11">
        <f t="shared" si="139"/>
        <v>3</v>
      </c>
      <c r="BW173" s="11">
        <f t="shared" si="140"/>
        <v>3</v>
      </c>
      <c r="BX173" s="11">
        <f t="shared" si="141"/>
        <v>3</v>
      </c>
      <c r="BY173" s="35">
        <f t="shared" si="142"/>
        <v>526.31578947368416</v>
      </c>
      <c r="BZ173" s="35">
        <f t="shared" si="143"/>
        <v>549.21428571428567</v>
      </c>
      <c r="CA173" s="35">
        <f t="shared" si="144"/>
        <v>431.78571428571428</v>
      </c>
      <c r="CB173" s="35">
        <f t="shared" si="145"/>
        <v>468.77777777777777</v>
      </c>
      <c r="CC173" s="35">
        <f t="shared" si="146"/>
        <v>493.23809523809524</v>
      </c>
      <c r="CD173" s="35">
        <f t="shared" si="147"/>
        <v>501.72972972972974</v>
      </c>
      <c r="CE173" s="35">
        <f t="shared" si="148"/>
        <v>737.21875</v>
      </c>
      <c r="CF173" s="35">
        <f t="shared" si="149"/>
        <v>454.56</v>
      </c>
      <c r="CG173" s="35">
        <f t="shared" si="150"/>
        <v>490.4848484848485</v>
      </c>
      <c r="CH173" s="35">
        <f t="shared" si="151"/>
        <v>453.52</v>
      </c>
      <c r="CI173" s="28">
        <f t="shared" si="152"/>
        <v>510.68449907041361</v>
      </c>
      <c r="CJ173" s="35">
        <f t="shared" si="153"/>
        <v>-30.684499070413608</v>
      </c>
      <c r="CK173" s="35">
        <f t="shared" si="154"/>
        <v>30.684499070413608</v>
      </c>
      <c r="CL173" s="35">
        <f t="shared" si="155"/>
        <v>941.53848320221357</v>
      </c>
      <c r="CM173" s="35">
        <f t="shared" si="156"/>
        <v>1961101.0092775221</v>
      </c>
    </row>
    <row r="174" spans="1:91" x14ac:dyDescent="0.3">
      <c r="A174" s="4" t="str">
        <f>DATASETS!A99</f>
        <v>RIZAL AVE.</v>
      </c>
      <c r="B174" s="4" t="str">
        <f>DATASETS!E99</f>
        <v>Training</v>
      </c>
      <c r="C174" s="9">
        <f>DATASETS!C99</f>
        <v>95041</v>
      </c>
      <c r="D174" s="4">
        <f>DATASETS!B99</f>
        <v>2019</v>
      </c>
      <c r="E174" s="6">
        <f>DATASETS!I99</f>
        <v>480</v>
      </c>
      <c r="F174" s="9">
        <f>DATASETS!H99</f>
        <v>32.865000000000002</v>
      </c>
      <c r="G174" s="11">
        <f t="shared" si="158"/>
        <v>0</v>
      </c>
      <c r="H174" s="11">
        <f t="shared" si="158"/>
        <v>0</v>
      </c>
      <c r="I174" s="11">
        <f t="shared" si="158"/>
        <v>0</v>
      </c>
      <c r="J174" s="11">
        <f t="shared" si="158"/>
        <v>0</v>
      </c>
      <c r="K174" s="11">
        <f t="shared" si="158"/>
        <v>0</v>
      </c>
      <c r="L174" s="11">
        <f t="shared" si="158"/>
        <v>0</v>
      </c>
      <c r="M174" s="11">
        <f t="shared" si="158"/>
        <v>0</v>
      </c>
      <c r="N174" s="11">
        <f t="shared" si="158"/>
        <v>0</v>
      </c>
      <c r="O174" s="11">
        <f t="shared" si="158"/>
        <v>0</v>
      </c>
      <c r="P174" s="11">
        <f t="shared" si="158"/>
        <v>1</v>
      </c>
      <c r="Q174" s="11">
        <f t="shared" si="158"/>
        <v>0</v>
      </c>
      <c r="R174" s="11">
        <f t="shared" si="158"/>
        <v>0</v>
      </c>
      <c r="S174" s="11">
        <f t="shared" si="158"/>
        <v>0</v>
      </c>
      <c r="T174" s="6">
        <f>DATASETS!D99</f>
        <v>527</v>
      </c>
      <c r="U174" s="37">
        <v>2</v>
      </c>
      <c r="V174" s="37">
        <v>3</v>
      </c>
      <c r="W174" s="37">
        <v>0</v>
      </c>
      <c r="X174" s="37">
        <v>3</v>
      </c>
      <c r="Y174" s="37">
        <v>0</v>
      </c>
      <c r="Z174" s="37">
        <v>1</v>
      </c>
      <c r="AA174" s="37">
        <v>1</v>
      </c>
      <c r="AB174" s="37">
        <v>3</v>
      </c>
      <c r="AC174" s="37">
        <v>1</v>
      </c>
      <c r="AD174" s="37">
        <v>1</v>
      </c>
      <c r="AE174" s="11">
        <f t="shared" si="107"/>
        <v>3</v>
      </c>
      <c r="AF174" s="11">
        <f t="shared" si="108"/>
        <v>3</v>
      </c>
      <c r="AG174" s="11">
        <f t="shared" si="109"/>
        <v>4</v>
      </c>
      <c r="AH174" s="11">
        <f t="shared" si="110"/>
        <v>3</v>
      </c>
      <c r="AI174" s="11">
        <f t="shared" si="111"/>
        <v>3</v>
      </c>
      <c r="AJ174" s="11">
        <f t="shared" si="112"/>
        <v>3</v>
      </c>
      <c r="AK174" s="11">
        <f t="shared" si="113"/>
        <v>4</v>
      </c>
      <c r="AL174" s="11">
        <f t="shared" si="114"/>
        <v>3</v>
      </c>
      <c r="AM174" s="11">
        <f t="shared" si="115"/>
        <v>4</v>
      </c>
      <c r="AN174" s="11">
        <f t="shared" si="116"/>
        <v>3</v>
      </c>
      <c r="AO174" s="35">
        <f t="shared" si="117"/>
        <v>600.81818181818187</v>
      </c>
      <c r="AP174" s="35">
        <f t="shared" si="118"/>
        <v>879.5</v>
      </c>
      <c r="AQ174" s="35">
        <f t="shared" si="119"/>
        <v>800.71794871794873</v>
      </c>
      <c r="AR174" s="35">
        <f t="shared" si="120"/>
        <v>668.6</v>
      </c>
      <c r="AS174" s="35">
        <f t="shared" si="121"/>
        <v>609.80952380952385</v>
      </c>
      <c r="AT174" s="35">
        <f t="shared" si="122"/>
        <v>730.06451612903231</v>
      </c>
      <c r="AU174" s="35">
        <f t="shared" si="123"/>
        <v>763.24242424242425</v>
      </c>
      <c r="AV174" s="35">
        <f t="shared" si="124"/>
        <v>703.24</v>
      </c>
      <c r="AW174" s="35">
        <f t="shared" si="125"/>
        <v>838.3125</v>
      </c>
      <c r="AX174" s="35">
        <f t="shared" si="126"/>
        <v>889.97222222222217</v>
      </c>
      <c r="AY174" s="28">
        <f t="shared" si="127"/>
        <v>748.42773169393331</v>
      </c>
      <c r="AZ174" s="35">
        <f t="shared" si="128"/>
        <v>-221.42773169393331</v>
      </c>
      <c r="BA174" s="35">
        <f t="shared" si="129"/>
        <v>221.42773169393331</v>
      </c>
      <c r="BB174" s="35">
        <f t="shared" si="130"/>
        <v>49030.240363120516</v>
      </c>
      <c r="BC174" s="35">
        <f t="shared" si="131"/>
        <v>1831673.0520125648</v>
      </c>
      <c r="BE174" s="37">
        <v>2</v>
      </c>
      <c r="BF174" s="37">
        <v>3</v>
      </c>
      <c r="BG174" s="37">
        <v>0</v>
      </c>
      <c r="BH174" s="37">
        <v>3</v>
      </c>
      <c r="BI174" s="37">
        <v>0</v>
      </c>
      <c r="BJ174" s="37">
        <v>1</v>
      </c>
      <c r="BK174" s="37">
        <v>1</v>
      </c>
      <c r="BL174" s="37">
        <v>3</v>
      </c>
      <c r="BM174" s="37">
        <v>1</v>
      </c>
      <c r="BN174" s="37">
        <v>1</v>
      </c>
      <c r="BO174" s="11">
        <f t="shared" si="132"/>
        <v>3</v>
      </c>
      <c r="BP174" s="11">
        <f t="shared" si="133"/>
        <v>3</v>
      </c>
      <c r="BQ174" s="11">
        <f t="shared" si="134"/>
        <v>3</v>
      </c>
      <c r="BR174" s="11">
        <f t="shared" si="135"/>
        <v>3</v>
      </c>
      <c r="BS174" s="11">
        <f t="shared" si="136"/>
        <v>3</v>
      </c>
      <c r="BT174" s="11">
        <f t="shared" si="137"/>
        <v>3</v>
      </c>
      <c r="BU174" s="11">
        <f t="shared" si="138"/>
        <v>3</v>
      </c>
      <c r="BV174" s="11">
        <f t="shared" si="139"/>
        <v>3</v>
      </c>
      <c r="BW174" s="11">
        <f t="shared" si="140"/>
        <v>3</v>
      </c>
      <c r="BX174" s="11">
        <f t="shared" si="141"/>
        <v>3</v>
      </c>
      <c r="BY174" s="35">
        <f t="shared" si="142"/>
        <v>526.31578947368416</v>
      </c>
      <c r="BZ174" s="35">
        <f t="shared" si="143"/>
        <v>549.21428571428567</v>
      </c>
      <c r="CA174" s="35">
        <f t="shared" si="144"/>
        <v>431.78571428571428</v>
      </c>
      <c r="CB174" s="35">
        <f t="shared" si="145"/>
        <v>468.77777777777777</v>
      </c>
      <c r="CC174" s="35">
        <f t="shared" si="146"/>
        <v>493.23809523809524</v>
      </c>
      <c r="CD174" s="35">
        <f t="shared" si="147"/>
        <v>501.72972972972974</v>
      </c>
      <c r="CE174" s="35">
        <f t="shared" si="148"/>
        <v>737.21875</v>
      </c>
      <c r="CF174" s="35">
        <f t="shared" si="149"/>
        <v>454.56</v>
      </c>
      <c r="CG174" s="35">
        <f t="shared" si="150"/>
        <v>490.4848484848485</v>
      </c>
      <c r="CH174" s="35">
        <f t="shared" si="151"/>
        <v>453.52</v>
      </c>
      <c r="CI174" s="28">
        <f t="shared" si="152"/>
        <v>510.68449907041361</v>
      </c>
      <c r="CJ174" s="35">
        <f t="shared" si="153"/>
        <v>16.315500929586392</v>
      </c>
      <c r="CK174" s="35">
        <f t="shared" si="154"/>
        <v>16.315500929586392</v>
      </c>
      <c r="CL174" s="35">
        <f t="shared" si="155"/>
        <v>266.19557058333442</v>
      </c>
      <c r="CM174" s="35">
        <f t="shared" si="156"/>
        <v>1831673.0520125648</v>
      </c>
    </row>
    <row r="175" spans="1:91" x14ac:dyDescent="0.3">
      <c r="A175" s="4" t="str">
        <f>DATASETS!A100</f>
        <v>RIZAL AVE.</v>
      </c>
      <c r="B175" s="4" t="str">
        <f>DATASETS!E100</f>
        <v>Training</v>
      </c>
      <c r="C175" s="9">
        <f>DATASETS!C100</f>
        <v>87544</v>
      </c>
      <c r="D175" s="4">
        <f>DATASETS!B100</f>
        <v>2020</v>
      </c>
      <c r="E175" s="6">
        <f>DATASETS!I100</f>
        <v>527</v>
      </c>
      <c r="F175" s="9">
        <f>DATASETS!H100</f>
        <v>32.865000000000002</v>
      </c>
      <c r="G175" s="11">
        <f t="shared" si="158"/>
        <v>0</v>
      </c>
      <c r="H175" s="11">
        <f t="shared" si="158"/>
        <v>0</v>
      </c>
      <c r="I175" s="11">
        <f t="shared" si="158"/>
        <v>0</v>
      </c>
      <c r="J175" s="11">
        <f t="shared" si="158"/>
        <v>0</v>
      </c>
      <c r="K175" s="11">
        <f t="shared" si="158"/>
        <v>0</v>
      </c>
      <c r="L175" s="11">
        <f t="shared" si="158"/>
        <v>0</v>
      </c>
      <c r="M175" s="11">
        <f t="shared" si="158"/>
        <v>0</v>
      </c>
      <c r="N175" s="11">
        <f t="shared" si="158"/>
        <v>0</v>
      </c>
      <c r="O175" s="11">
        <f t="shared" si="158"/>
        <v>0</v>
      </c>
      <c r="P175" s="11">
        <f t="shared" si="158"/>
        <v>1</v>
      </c>
      <c r="Q175" s="11">
        <f t="shared" si="158"/>
        <v>0</v>
      </c>
      <c r="R175" s="11">
        <f t="shared" si="158"/>
        <v>0</v>
      </c>
      <c r="S175" s="11">
        <f t="shared" si="158"/>
        <v>0</v>
      </c>
      <c r="T175" s="6">
        <f>DATASETS!D100</f>
        <v>306</v>
      </c>
      <c r="U175" s="37">
        <v>3</v>
      </c>
      <c r="V175" s="37">
        <v>1</v>
      </c>
      <c r="W175" s="37">
        <v>1</v>
      </c>
      <c r="X175" s="37">
        <v>1</v>
      </c>
      <c r="Y175" s="37">
        <v>0</v>
      </c>
      <c r="Z175" s="37">
        <v>2</v>
      </c>
      <c r="AA175" s="37">
        <v>0</v>
      </c>
      <c r="AB175" s="37">
        <v>0</v>
      </c>
      <c r="AC175" s="37">
        <v>0</v>
      </c>
      <c r="AD175" s="37">
        <v>0</v>
      </c>
      <c r="AE175" s="11">
        <f t="shared" si="107"/>
        <v>3</v>
      </c>
      <c r="AF175" s="11">
        <f t="shared" si="108"/>
        <v>3</v>
      </c>
      <c r="AG175" s="11">
        <f t="shared" si="109"/>
        <v>3</v>
      </c>
      <c r="AH175" s="11">
        <f t="shared" si="110"/>
        <v>3</v>
      </c>
      <c r="AI175" s="11">
        <f t="shared" si="111"/>
        <v>3</v>
      </c>
      <c r="AJ175" s="11">
        <f t="shared" si="112"/>
        <v>3</v>
      </c>
      <c r="AK175" s="11">
        <f t="shared" si="113"/>
        <v>4</v>
      </c>
      <c r="AL175" s="11">
        <f t="shared" si="114"/>
        <v>3</v>
      </c>
      <c r="AM175" s="11">
        <f t="shared" si="115"/>
        <v>4</v>
      </c>
      <c r="AN175" s="11">
        <f t="shared" si="116"/>
        <v>3</v>
      </c>
      <c r="AO175" s="35">
        <f t="shared" si="117"/>
        <v>600.81818181818187</v>
      </c>
      <c r="AP175" s="35">
        <f t="shared" si="118"/>
        <v>879.5</v>
      </c>
      <c r="AQ175" s="35">
        <f t="shared" si="119"/>
        <v>558</v>
      </c>
      <c r="AR175" s="35">
        <f t="shared" si="120"/>
        <v>668.6</v>
      </c>
      <c r="AS175" s="35">
        <f t="shared" si="121"/>
        <v>609.80952380952385</v>
      </c>
      <c r="AT175" s="35">
        <f t="shared" si="122"/>
        <v>730.06451612903231</v>
      </c>
      <c r="AU175" s="35">
        <f t="shared" si="123"/>
        <v>763.24242424242425</v>
      </c>
      <c r="AV175" s="35">
        <f t="shared" si="124"/>
        <v>703.24</v>
      </c>
      <c r="AW175" s="35">
        <f t="shared" si="125"/>
        <v>838.3125</v>
      </c>
      <c r="AX175" s="35">
        <f t="shared" si="126"/>
        <v>889.97222222222217</v>
      </c>
      <c r="AY175" s="28">
        <f t="shared" si="127"/>
        <v>724.15593682213841</v>
      </c>
      <c r="AZ175" s="35">
        <f t="shared" si="128"/>
        <v>-418.15593682213841</v>
      </c>
      <c r="BA175" s="35">
        <f t="shared" si="129"/>
        <v>418.15593682213841</v>
      </c>
      <c r="BB175" s="35">
        <f t="shared" si="130"/>
        <v>174854.38749960021</v>
      </c>
      <c r="BC175" s="35">
        <f t="shared" si="131"/>
        <v>2478713.8297903426</v>
      </c>
      <c r="BE175" s="37">
        <v>3</v>
      </c>
      <c r="BF175" s="37">
        <v>1</v>
      </c>
      <c r="BG175" s="37">
        <v>1</v>
      </c>
      <c r="BH175" s="37">
        <v>1</v>
      </c>
      <c r="BI175" s="37">
        <v>0</v>
      </c>
      <c r="BJ175" s="37">
        <v>2</v>
      </c>
      <c r="BK175" s="37">
        <v>0</v>
      </c>
      <c r="BL175" s="37">
        <v>0</v>
      </c>
      <c r="BM175" s="37">
        <v>0</v>
      </c>
      <c r="BN175" s="37">
        <v>0</v>
      </c>
      <c r="BO175" s="11">
        <f t="shared" si="132"/>
        <v>3</v>
      </c>
      <c r="BP175" s="11">
        <f t="shared" si="133"/>
        <v>3</v>
      </c>
      <c r="BQ175" s="11">
        <f t="shared" si="134"/>
        <v>3</v>
      </c>
      <c r="BR175" s="11">
        <f t="shared" si="135"/>
        <v>3</v>
      </c>
      <c r="BS175" s="11">
        <f t="shared" si="136"/>
        <v>3</v>
      </c>
      <c r="BT175" s="11">
        <f t="shared" si="137"/>
        <v>3</v>
      </c>
      <c r="BU175" s="11">
        <f t="shared" si="138"/>
        <v>3</v>
      </c>
      <c r="BV175" s="11">
        <f t="shared" si="139"/>
        <v>3</v>
      </c>
      <c r="BW175" s="11">
        <f t="shared" si="140"/>
        <v>3</v>
      </c>
      <c r="BX175" s="11">
        <f t="shared" si="141"/>
        <v>3</v>
      </c>
      <c r="BY175" s="35">
        <f t="shared" si="142"/>
        <v>526.31578947368416</v>
      </c>
      <c r="BZ175" s="35">
        <f t="shared" si="143"/>
        <v>549.21428571428567</v>
      </c>
      <c r="CA175" s="35">
        <f t="shared" si="144"/>
        <v>431.78571428571428</v>
      </c>
      <c r="CB175" s="35">
        <f t="shared" si="145"/>
        <v>468.77777777777777</v>
      </c>
      <c r="CC175" s="35">
        <f t="shared" si="146"/>
        <v>493.23809523809524</v>
      </c>
      <c r="CD175" s="35">
        <f t="shared" si="147"/>
        <v>501.72972972972974</v>
      </c>
      <c r="CE175" s="35">
        <f t="shared" si="148"/>
        <v>737.21875</v>
      </c>
      <c r="CF175" s="35">
        <f t="shared" si="149"/>
        <v>454.56</v>
      </c>
      <c r="CG175" s="35">
        <f t="shared" si="150"/>
        <v>490.4848484848485</v>
      </c>
      <c r="CH175" s="35">
        <f t="shared" si="151"/>
        <v>453.52</v>
      </c>
      <c r="CI175" s="28">
        <f t="shared" si="152"/>
        <v>510.68449907041361</v>
      </c>
      <c r="CJ175" s="35">
        <f t="shared" si="153"/>
        <v>-204.68449907041361</v>
      </c>
      <c r="CK175" s="35">
        <f t="shared" si="154"/>
        <v>204.68449907041361</v>
      </c>
      <c r="CL175" s="35">
        <f t="shared" si="155"/>
        <v>41895.744159706148</v>
      </c>
      <c r="CM175" s="35">
        <f t="shared" si="156"/>
        <v>2478713.8297903426</v>
      </c>
    </row>
    <row r="176" spans="1:91" x14ac:dyDescent="0.3">
      <c r="A176" s="4" t="str">
        <f>DATASETS!A101</f>
        <v>RIZAL AVE.</v>
      </c>
      <c r="B176" s="4" t="str">
        <f>DATASETS!E101</f>
        <v>Training</v>
      </c>
      <c r="C176" s="9">
        <f>DATASETS!C101</f>
        <v>106906</v>
      </c>
      <c r="D176" s="4">
        <f>DATASETS!B101</f>
        <v>2021</v>
      </c>
      <c r="E176" s="6">
        <f>DATASETS!I101</f>
        <v>306</v>
      </c>
      <c r="F176" s="9">
        <f>DATASETS!H101</f>
        <v>32.865000000000002</v>
      </c>
      <c r="G176" s="11">
        <f t="shared" si="158"/>
        <v>0</v>
      </c>
      <c r="H176" s="11">
        <f t="shared" si="158"/>
        <v>0</v>
      </c>
      <c r="I176" s="11">
        <f t="shared" si="158"/>
        <v>0</v>
      </c>
      <c r="J176" s="11">
        <f t="shared" si="158"/>
        <v>0</v>
      </c>
      <c r="K176" s="11">
        <f t="shared" si="158"/>
        <v>0</v>
      </c>
      <c r="L176" s="11">
        <f t="shared" si="158"/>
        <v>0</v>
      </c>
      <c r="M176" s="11">
        <f t="shared" si="158"/>
        <v>0</v>
      </c>
      <c r="N176" s="11">
        <f t="shared" si="158"/>
        <v>0</v>
      </c>
      <c r="O176" s="11">
        <f t="shared" si="158"/>
        <v>0</v>
      </c>
      <c r="P176" s="11">
        <f t="shared" si="158"/>
        <v>1</v>
      </c>
      <c r="Q176" s="11">
        <f t="shared" si="158"/>
        <v>0</v>
      </c>
      <c r="R176" s="11">
        <f t="shared" si="158"/>
        <v>0</v>
      </c>
      <c r="S176" s="11">
        <f t="shared" si="158"/>
        <v>0</v>
      </c>
      <c r="T176" s="6">
        <f>DATASETS!D101</f>
        <v>248</v>
      </c>
      <c r="U176" s="37">
        <v>0</v>
      </c>
      <c r="V176" s="37">
        <v>0</v>
      </c>
      <c r="W176" s="37">
        <v>4</v>
      </c>
      <c r="X176" s="37">
        <v>1</v>
      </c>
      <c r="Y176" s="37">
        <v>0</v>
      </c>
      <c r="Z176" s="37">
        <v>1</v>
      </c>
      <c r="AA176" s="37">
        <v>1</v>
      </c>
      <c r="AB176" s="37">
        <v>0</v>
      </c>
      <c r="AC176" s="37">
        <v>0</v>
      </c>
      <c r="AD176" s="37">
        <v>3</v>
      </c>
      <c r="AE176" s="11">
        <f t="shared" si="107"/>
        <v>4</v>
      </c>
      <c r="AF176" s="11">
        <f t="shared" si="108"/>
        <v>3</v>
      </c>
      <c r="AG176" s="11">
        <f t="shared" si="109"/>
        <v>4</v>
      </c>
      <c r="AH176" s="11">
        <f t="shared" si="110"/>
        <v>3</v>
      </c>
      <c r="AI176" s="11">
        <f t="shared" si="111"/>
        <v>4</v>
      </c>
      <c r="AJ176" s="11">
        <f t="shared" si="112"/>
        <v>4</v>
      </c>
      <c r="AK176" s="11">
        <f t="shared" si="113"/>
        <v>4</v>
      </c>
      <c r="AL176" s="11">
        <f t="shared" si="114"/>
        <v>4</v>
      </c>
      <c r="AM176" s="11">
        <f t="shared" si="115"/>
        <v>4</v>
      </c>
      <c r="AN176" s="11">
        <f t="shared" si="116"/>
        <v>3</v>
      </c>
      <c r="AO176" s="35">
        <f t="shared" si="117"/>
        <v>920.9375</v>
      </c>
      <c r="AP176" s="35">
        <f t="shared" si="118"/>
        <v>879.5</v>
      </c>
      <c r="AQ176" s="35">
        <f t="shared" si="119"/>
        <v>800.71794871794873</v>
      </c>
      <c r="AR176" s="35">
        <f t="shared" si="120"/>
        <v>668.6</v>
      </c>
      <c r="AS176" s="35">
        <f t="shared" si="121"/>
        <v>938.71428571428567</v>
      </c>
      <c r="AT176" s="35">
        <f t="shared" si="122"/>
        <v>516.90476190476193</v>
      </c>
      <c r="AU176" s="35">
        <f t="shared" si="123"/>
        <v>763.24242424242425</v>
      </c>
      <c r="AV176" s="35">
        <f t="shared" si="124"/>
        <v>986.22580645161293</v>
      </c>
      <c r="AW176" s="35">
        <f t="shared" si="125"/>
        <v>838.3125</v>
      </c>
      <c r="AX176" s="35">
        <f t="shared" si="126"/>
        <v>889.97222222222217</v>
      </c>
      <c r="AY176" s="28">
        <f t="shared" si="127"/>
        <v>820.31274492532543</v>
      </c>
      <c r="AZ176" s="35">
        <f t="shared" si="128"/>
        <v>-572.31274492532543</v>
      </c>
      <c r="BA176" s="35">
        <f t="shared" si="129"/>
        <v>572.31274492532543</v>
      </c>
      <c r="BB176" s="35">
        <f t="shared" si="130"/>
        <v>327541.87800396059</v>
      </c>
      <c r="BC176" s="35">
        <f t="shared" si="131"/>
        <v>2664707.4366279491</v>
      </c>
      <c r="BE176" s="37">
        <v>0</v>
      </c>
      <c r="BF176" s="37">
        <v>0</v>
      </c>
      <c r="BG176" s="37">
        <v>4</v>
      </c>
      <c r="BH176" s="37">
        <v>1</v>
      </c>
      <c r="BI176" s="37">
        <v>0</v>
      </c>
      <c r="BJ176" s="37">
        <v>1</v>
      </c>
      <c r="BK176" s="37">
        <v>1</v>
      </c>
      <c r="BL176" s="37">
        <v>0</v>
      </c>
      <c r="BM176" s="37">
        <v>0</v>
      </c>
      <c r="BN176" s="37">
        <v>3</v>
      </c>
      <c r="BO176" s="11">
        <f t="shared" si="132"/>
        <v>3</v>
      </c>
      <c r="BP176" s="11">
        <f t="shared" si="133"/>
        <v>3</v>
      </c>
      <c r="BQ176" s="11">
        <f t="shared" si="134"/>
        <v>3</v>
      </c>
      <c r="BR176" s="11">
        <f t="shared" si="135"/>
        <v>3</v>
      </c>
      <c r="BS176" s="11">
        <f t="shared" si="136"/>
        <v>3</v>
      </c>
      <c r="BT176" s="11">
        <f t="shared" si="137"/>
        <v>3</v>
      </c>
      <c r="BU176" s="11">
        <f t="shared" si="138"/>
        <v>3</v>
      </c>
      <c r="BV176" s="11">
        <f t="shared" si="139"/>
        <v>3</v>
      </c>
      <c r="BW176" s="11">
        <f t="shared" si="140"/>
        <v>3</v>
      </c>
      <c r="BX176" s="11">
        <f t="shared" si="141"/>
        <v>3</v>
      </c>
      <c r="BY176" s="35">
        <f t="shared" si="142"/>
        <v>526.31578947368416</v>
      </c>
      <c r="BZ176" s="35">
        <f t="shared" si="143"/>
        <v>549.21428571428567</v>
      </c>
      <c r="CA176" s="35">
        <f t="shared" si="144"/>
        <v>431.78571428571428</v>
      </c>
      <c r="CB176" s="35">
        <f t="shared" si="145"/>
        <v>468.77777777777777</v>
      </c>
      <c r="CC176" s="35">
        <f t="shared" si="146"/>
        <v>493.23809523809524</v>
      </c>
      <c r="CD176" s="35">
        <f t="shared" si="147"/>
        <v>501.72972972972974</v>
      </c>
      <c r="CE176" s="35">
        <f t="shared" si="148"/>
        <v>737.21875</v>
      </c>
      <c r="CF176" s="35">
        <f t="shared" si="149"/>
        <v>454.56</v>
      </c>
      <c r="CG176" s="35">
        <f t="shared" si="150"/>
        <v>490.4848484848485</v>
      </c>
      <c r="CH176" s="35">
        <f t="shared" si="151"/>
        <v>453.52</v>
      </c>
      <c r="CI176" s="28">
        <f t="shared" si="152"/>
        <v>510.68449907041361</v>
      </c>
      <c r="CJ176" s="35">
        <f t="shared" si="153"/>
        <v>-262.68449907041361</v>
      </c>
      <c r="CK176" s="35">
        <f t="shared" si="154"/>
        <v>262.68449907041361</v>
      </c>
      <c r="CL176" s="35">
        <f t="shared" si="155"/>
        <v>69003.146051874122</v>
      </c>
      <c r="CM176" s="35">
        <f t="shared" si="156"/>
        <v>2664707.4366279491</v>
      </c>
    </row>
    <row r="177" spans="1:91" x14ac:dyDescent="0.3">
      <c r="A177" s="4" t="str">
        <f>DATASETS!A102</f>
        <v>RIZAL AVE.</v>
      </c>
      <c r="B177" s="4" t="str">
        <f>DATASETS!E102</f>
        <v>Training</v>
      </c>
      <c r="C177" s="9">
        <f>DATASETS!C102</f>
        <v>99108</v>
      </c>
      <c r="D177" s="4">
        <f>DATASETS!B102</f>
        <v>2022</v>
      </c>
      <c r="E177" s="6">
        <f>DATASETS!I102</f>
        <v>248</v>
      </c>
      <c r="F177" s="9">
        <f>DATASETS!H102</f>
        <v>32.865000000000002</v>
      </c>
      <c r="G177" s="11">
        <f t="shared" si="158"/>
        <v>0</v>
      </c>
      <c r="H177" s="11">
        <f t="shared" si="158"/>
        <v>0</v>
      </c>
      <c r="I177" s="11">
        <f t="shared" si="158"/>
        <v>0</v>
      </c>
      <c r="J177" s="11">
        <f t="shared" si="158"/>
        <v>0</v>
      </c>
      <c r="K177" s="11">
        <f t="shared" si="158"/>
        <v>0</v>
      </c>
      <c r="L177" s="11">
        <f t="shared" si="158"/>
        <v>0</v>
      </c>
      <c r="M177" s="11">
        <f t="shared" si="158"/>
        <v>0</v>
      </c>
      <c r="N177" s="11">
        <f t="shared" si="158"/>
        <v>0</v>
      </c>
      <c r="O177" s="11">
        <f t="shared" si="158"/>
        <v>0</v>
      </c>
      <c r="P177" s="11">
        <f t="shared" si="158"/>
        <v>1</v>
      </c>
      <c r="Q177" s="11">
        <f t="shared" si="158"/>
        <v>0</v>
      </c>
      <c r="R177" s="11">
        <f t="shared" si="158"/>
        <v>0</v>
      </c>
      <c r="S177" s="11">
        <f t="shared" si="158"/>
        <v>0</v>
      </c>
      <c r="T177" s="6">
        <f>DATASETS!D102</f>
        <v>357</v>
      </c>
      <c r="U177" s="37">
        <v>0</v>
      </c>
      <c r="V177" s="37">
        <v>2</v>
      </c>
      <c r="W177" s="37">
        <v>3</v>
      </c>
      <c r="X177" s="37">
        <v>1</v>
      </c>
      <c r="Y177" s="37">
        <v>4</v>
      </c>
      <c r="Z177" s="37">
        <v>1</v>
      </c>
      <c r="AA177" s="37">
        <v>2</v>
      </c>
      <c r="AB177" s="37">
        <v>1</v>
      </c>
      <c r="AC177" s="37">
        <v>2</v>
      </c>
      <c r="AD177" s="37">
        <v>1</v>
      </c>
      <c r="AE177" s="11">
        <f t="shared" si="107"/>
        <v>4</v>
      </c>
      <c r="AF177" s="11">
        <f t="shared" si="108"/>
        <v>3</v>
      </c>
      <c r="AG177" s="11">
        <f t="shared" si="109"/>
        <v>4</v>
      </c>
      <c r="AH177" s="11">
        <f t="shared" si="110"/>
        <v>3</v>
      </c>
      <c r="AI177" s="11">
        <f t="shared" si="111"/>
        <v>3</v>
      </c>
      <c r="AJ177" s="11">
        <f t="shared" si="112"/>
        <v>3</v>
      </c>
      <c r="AK177" s="11">
        <f t="shared" si="113"/>
        <v>4</v>
      </c>
      <c r="AL177" s="11">
        <f t="shared" si="114"/>
        <v>3</v>
      </c>
      <c r="AM177" s="11">
        <f t="shared" si="115"/>
        <v>4</v>
      </c>
      <c r="AN177" s="11">
        <f t="shared" si="116"/>
        <v>3</v>
      </c>
      <c r="AO177" s="35">
        <f t="shared" si="117"/>
        <v>920.9375</v>
      </c>
      <c r="AP177" s="35">
        <f t="shared" si="118"/>
        <v>879.5</v>
      </c>
      <c r="AQ177" s="35">
        <f t="shared" si="119"/>
        <v>800.71794871794873</v>
      </c>
      <c r="AR177" s="35">
        <f t="shared" si="120"/>
        <v>668.6</v>
      </c>
      <c r="AS177" s="35">
        <f t="shared" si="121"/>
        <v>609.80952380952385</v>
      </c>
      <c r="AT177" s="35">
        <f t="shared" si="122"/>
        <v>730.06451612903231</v>
      </c>
      <c r="AU177" s="35">
        <f t="shared" si="123"/>
        <v>763.24242424242425</v>
      </c>
      <c r="AV177" s="35">
        <f t="shared" si="124"/>
        <v>703.24</v>
      </c>
      <c r="AW177" s="35">
        <f t="shared" si="125"/>
        <v>838.3125</v>
      </c>
      <c r="AX177" s="35">
        <f t="shared" si="126"/>
        <v>889.97222222222217</v>
      </c>
      <c r="AY177" s="28">
        <f t="shared" si="127"/>
        <v>780.43966351211509</v>
      </c>
      <c r="AZ177" s="35">
        <f t="shared" si="128"/>
        <v>-423.43966351211509</v>
      </c>
      <c r="BA177" s="35">
        <f t="shared" si="129"/>
        <v>423.43966351211509</v>
      </c>
      <c r="BB177" s="35">
        <f t="shared" si="130"/>
        <v>179301.14863525325</v>
      </c>
      <c r="BC177" s="35">
        <f t="shared" si="131"/>
        <v>2320726.7272262401</v>
      </c>
      <c r="BE177" s="37">
        <v>0</v>
      </c>
      <c r="BF177" s="37">
        <v>2</v>
      </c>
      <c r="BG177" s="37">
        <v>3</v>
      </c>
      <c r="BH177" s="37">
        <v>1</v>
      </c>
      <c r="BI177" s="37">
        <v>4</v>
      </c>
      <c r="BJ177" s="37">
        <v>1</v>
      </c>
      <c r="BK177" s="37">
        <v>2</v>
      </c>
      <c r="BL177" s="37">
        <v>1</v>
      </c>
      <c r="BM177" s="37">
        <v>2</v>
      </c>
      <c r="BN177" s="37">
        <v>1</v>
      </c>
      <c r="BO177" s="11">
        <f t="shared" si="132"/>
        <v>3</v>
      </c>
      <c r="BP177" s="11">
        <f t="shared" si="133"/>
        <v>3</v>
      </c>
      <c r="BQ177" s="11">
        <f t="shared" si="134"/>
        <v>3</v>
      </c>
      <c r="BR177" s="11">
        <f t="shared" si="135"/>
        <v>3</v>
      </c>
      <c r="BS177" s="11">
        <f t="shared" si="136"/>
        <v>3</v>
      </c>
      <c r="BT177" s="11">
        <f t="shared" si="137"/>
        <v>3</v>
      </c>
      <c r="BU177" s="11">
        <f t="shared" si="138"/>
        <v>3</v>
      </c>
      <c r="BV177" s="11">
        <f t="shared" si="139"/>
        <v>3</v>
      </c>
      <c r="BW177" s="11">
        <f t="shared" si="140"/>
        <v>3</v>
      </c>
      <c r="BX177" s="11">
        <f t="shared" si="141"/>
        <v>3</v>
      </c>
      <c r="BY177" s="35">
        <f t="shared" si="142"/>
        <v>526.31578947368416</v>
      </c>
      <c r="BZ177" s="35">
        <f t="shared" si="143"/>
        <v>549.21428571428567</v>
      </c>
      <c r="CA177" s="35">
        <f t="shared" si="144"/>
        <v>431.78571428571428</v>
      </c>
      <c r="CB177" s="35">
        <f t="shared" si="145"/>
        <v>468.77777777777777</v>
      </c>
      <c r="CC177" s="35">
        <f t="shared" si="146"/>
        <v>493.23809523809524</v>
      </c>
      <c r="CD177" s="35">
        <f t="shared" si="147"/>
        <v>501.72972972972974</v>
      </c>
      <c r="CE177" s="35">
        <f t="shared" si="148"/>
        <v>737.21875</v>
      </c>
      <c r="CF177" s="35">
        <f t="shared" si="149"/>
        <v>454.56</v>
      </c>
      <c r="CG177" s="35">
        <f t="shared" si="150"/>
        <v>490.4848484848485</v>
      </c>
      <c r="CH177" s="35">
        <f t="shared" si="151"/>
        <v>453.52</v>
      </c>
      <c r="CI177" s="28">
        <f t="shared" si="152"/>
        <v>510.68449907041361</v>
      </c>
      <c r="CJ177" s="35">
        <f t="shared" si="153"/>
        <v>-153.68449907041361</v>
      </c>
      <c r="CK177" s="35">
        <f t="shared" si="154"/>
        <v>153.68449907041361</v>
      </c>
      <c r="CL177" s="35">
        <f t="shared" si="155"/>
        <v>23618.925254523961</v>
      </c>
      <c r="CM177" s="35">
        <f t="shared" si="156"/>
        <v>2320726.7272262401</v>
      </c>
    </row>
    <row r="178" spans="1:91" x14ac:dyDescent="0.3">
      <c r="A178" s="4" t="str">
        <f>DATASETS!A103</f>
        <v>RIZAL AVE.</v>
      </c>
      <c r="B178" s="4" t="str">
        <f>DATASETS!E103</f>
        <v>Training</v>
      </c>
      <c r="C178" s="9">
        <f>DATASETS!C103</f>
        <v>114674</v>
      </c>
      <c r="D178" s="4">
        <f>DATASETS!B103</f>
        <v>2023</v>
      </c>
      <c r="E178" s="6">
        <f>DATASETS!I103</f>
        <v>357</v>
      </c>
      <c r="F178" s="9">
        <f>DATASETS!H103</f>
        <v>32.865000000000002</v>
      </c>
      <c r="G178" s="11">
        <f t="shared" si="158"/>
        <v>0</v>
      </c>
      <c r="H178" s="11">
        <f t="shared" si="158"/>
        <v>0</v>
      </c>
      <c r="I178" s="11">
        <f t="shared" si="158"/>
        <v>0</v>
      </c>
      <c r="J178" s="11">
        <f t="shared" si="158"/>
        <v>0</v>
      </c>
      <c r="K178" s="11">
        <f t="shared" si="158"/>
        <v>0</v>
      </c>
      <c r="L178" s="11">
        <f t="shared" si="158"/>
        <v>0</v>
      </c>
      <c r="M178" s="11">
        <f t="shared" si="158"/>
        <v>0</v>
      </c>
      <c r="N178" s="11">
        <f t="shared" si="158"/>
        <v>0</v>
      </c>
      <c r="O178" s="11">
        <f t="shared" si="158"/>
        <v>0</v>
      </c>
      <c r="P178" s="11">
        <f t="shared" si="158"/>
        <v>1</v>
      </c>
      <c r="Q178" s="11">
        <f t="shared" si="158"/>
        <v>0</v>
      </c>
      <c r="R178" s="11">
        <f t="shared" si="158"/>
        <v>0</v>
      </c>
      <c r="S178" s="11">
        <f t="shared" si="158"/>
        <v>0</v>
      </c>
      <c r="T178" s="6">
        <f>DATASETS!D103</f>
        <v>427</v>
      </c>
      <c r="U178" s="37">
        <v>1</v>
      </c>
      <c r="V178" s="37">
        <v>1</v>
      </c>
      <c r="W178" s="37">
        <v>1</v>
      </c>
      <c r="X178" s="37">
        <v>2</v>
      </c>
      <c r="Y178" s="37">
        <v>0</v>
      </c>
      <c r="Z178" s="37">
        <v>0</v>
      </c>
      <c r="AA178" s="37">
        <v>1</v>
      </c>
      <c r="AB178" s="37">
        <v>1</v>
      </c>
      <c r="AC178" s="37">
        <v>2</v>
      </c>
      <c r="AD178" s="37">
        <v>2</v>
      </c>
      <c r="AE178" s="11">
        <f t="shared" si="107"/>
        <v>4</v>
      </c>
      <c r="AF178" s="11">
        <f t="shared" si="108"/>
        <v>3</v>
      </c>
      <c r="AG178" s="11">
        <f t="shared" si="109"/>
        <v>4</v>
      </c>
      <c r="AH178" s="11">
        <f t="shared" si="110"/>
        <v>3</v>
      </c>
      <c r="AI178" s="11">
        <f t="shared" si="111"/>
        <v>4</v>
      </c>
      <c r="AJ178" s="11">
        <f t="shared" si="112"/>
        <v>4</v>
      </c>
      <c r="AK178" s="11">
        <f t="shared" si="113"/>
        <v>4</v>
      </c>
      <c r="AL178" s="11">
        <f t="shared" si="114"/>
        <v>4</v>
      </c>
      <c r="AM178" s="11">
        <f t="shared" si="115"/>
        <v>4</v>
      </c>
      <c r="AN178" s="11">
        <f t="shared" si="116"/>
        <v>4</v>
      </c>
      <c r="AO178" s="35">
        <f t="shared" si="117"/>
        <v>920.9375</v>
      </c>
      <c r="AP178" s="35">
        <f t="shared" si="118"/>
        <v>879.5</v>
      </c>
      <c r="AQ178" s="35">
        <f t="shared" si="119"/>
        <v>800.71794871794873</v>
      </c>
      <c r="AR178" s="35">
        <f t="shared" si="120"/>
        <v>668.6</v>
      </c>
      <c r="AS178" s="35">
        <f t="shared" si="121"/>
        <v>938.71428571428567</v>
      </c>
      <c r="AT178" s="35">
        <f t="shared" si="122"/>
        <v>516.90476190476193</v>
      </c>
      <c r="AU178" s="35">
        <f t="shared" si="123"/>
        <v>763.24242424242425</v>
      </c>
      <c r="AV178" s="35">
        <f t="shared" si="124"/>
        <v>986.22580645161293</v>
      </c>
      <c r="AW178" s="35">
        <f t="shared" si="125"/>
        <v>838.3125</v>
      </c>
      <c r="AX178" s="35">
        <f t="shared" si="126"/>
        <v>556.0625</v>
      </c>
      <c r="AY178" s="28">
        <f t="shared" si="127"/>
        <v>786.92177270310322</v>
      </c>
      <c r="AZ178" s="35">
        <f t="shared" si="128"/>
        <v>-359.92177270310322</v>
      </c>
      <c r="BA178" s="35">
        <f t="shared" si="129"/>
        <v>359.92177270310322</v>
      </c>
      <c r="BB178" s="35">
        <f t="shared" si="130"/>
        <v>129543.68246574429</v>
      </c>
      <c r="BC178" s="35">
        <f t="shared" si="131"/>
        <v>2112351.6844911971</v>
      </c>
      <c r="BE178" s="37">
        <v>1</v>
      </c>
      <c r="BF178" s="37">
        <v>1</v>
      </c>
      <c r="BG178" s="37">
        <v>1</v>
      </c>
      <c r="BH178" s="37">
        <v>2</v>
      </c>
      <c r="BI178" s="37">
        <v>0</v>
      </c>
      <c r="BJ178" s="37">
        <v>0</v>
      </c>
      <c r="BK178" s="37">
        <v>1</v>
      </c>
      <c r="BL178" s="37">
        <v>1</v>
      </c>
      <c r="BM178" s="37">
        <v>2</v>
      </c>
      <c r="BN178" s="37">
        <v>2</v>
      </c>
      <c r="BO178" s="11">
        <f t="shared" si="132"/>
        <v>3</v>
      </c>
      <c r="BP178" s="11">
        <f t="shared" si="133"/>
        <v>3</v>
      </c>
      <c r="BQ178" s="11">
        <f t="shared" si="134"/>
        <v>3</v>
      </c>
      <c r="BR178" s="11">
        <f t="shared" si="135"/>
        <v>3</v>
      </c>
      <c r="BS178" s="11">
        <f t="shared" si="136"/>
        <v>3</v>
      </c>
      <c r="BT178" s="11">
        <f t="shared" si="137"/>
        <v>3</v>
      </c>
      <c r="BU178" s="11">
        <f t="shared" si="138"/>
        <v>3</v>
      </c>
      <c r="BV178" s="11">
        <f t="shared" si="139"/>
        <v>3</v>
      </c>
      <c r="BW178" s="11">
        <f t="shared" si="140"/>
        <v>3</v>
      </c>
      <c r="BX178" s="11">
        <f t="shared" si="141"/>
        <v>3</v>
      </c>
      <c r="BY178" s="35">
        <f t="shared" si="142"/>
        <v>526.31578947368416</v>
      </c>
      <c r="BZ178" s="35">
        <f t="shared" si="143"/>
        <v>549.21428571428567</v>
      </c>
      <c r="CA178" s="35">
        <f t="shared" si="144"/>
        <v>431.78571428571428</v>
      </c>
      <c r="CB178" s="35">
        <f t="shared" si="145"/>
        <v>468.77777777777777</v>
      </c>
      <c r="CC178" s="35">
        <f t="shared" si="146"/>
        <v>493.23809523809524</v>
      </c>
      <c r="CD178" s="35">
        <f t="shared" si="147"/>
        <v>501.72972972972974</v>
      </c>
      <c r="CE178" s="35">
        <f t="shared" si="148"/>
        <v>737.21875</v>
      </c>
      <c r="CF178" s="35">
        <f t="shared" si="149"/>
        <v>454.56</v>
      </c>
      <c r="CG178" s="35">
        <f t="shared" si="150"/>
        <v>490.4848484848485</v>
      </c>
      <c r="CH178" s="35">
        <f t="shared" si="151"/>
        <v>453.52</v>
      </c>
      <c r="CI178" s="28">
        <f t="shared" si="152"/>
        <v>510.68449907041361</v>
      </c>
      <c r="CJ178" s="35">
        <f t="shared" si="153"/>
        <v>-83.684499070413608</v>
      </c>
      <c r="CK178" s="35">
        <f t="shared" si="154"/>
        <v>83.684499070413608</v>
      </c>
      <c r="CL178" s="35">
        <f t="shared" si="155"/>
        <v>7003.0953846660559</v>
      </c>
      <c r="CM178" s="35">
        <f t="shared" si="156"/>
        <v>2112351.6844911971</v>
      </c>
    </row>
    <row r="179" spans="1:91" x14ac:dyDescent="0.3">
      <c r="A179" s="4" t="str">
        <f>DATASETS!A104</f>
        <v>RIZAL AVE.</v>
      </c>
      <c r="B179" s="4" t="str">
        <f>DATASETS!E104</f>
        <v>Training</v>
      </c>
      <c r="C179" s="9">
        <f>DATASETS!C104</f>
        <v>88475</v>
      </c>
      <c r="D179" s="4">
        <f>DATASETS!B104</f>
        <v>2024</v>
      </c>
      <c r="E179" s="6">
        <f>DATASETS!I104</f>
        <v>427</v>
      </c>
      <c r="F179" s="9">
        <f>DATASETS!H104</f>
        <v>32.865000000000002</v>
      </c>
      <c r="G179" s="11">
        <f t="shared" si="158"/>
        <v>0</v>
      </c>
      <c r="H179" s="11">
        <f t="shared" si="158"/>
        <v>0</v>
      </c>
      <c r="I179" s="11">
        <f t="shared" si="158"/>
        <v>0</v>
      </c>
      <c r="J179" s="11">
        <f t="shared" si="158"/>
        <v>0</v>
      </c>
      <c r="K179" s="11">
        <f t="shared" si="158"/>
        <v>0</v>
      </c>
      <c r="L179" s="11">
        <f t="shared" si="158"/>
        <v>0</v>
      </c>
      <c r="M179" s="11">
        <f t="shared" si="158"/>
        <v>0</v>
      </c>
      <c r="N179" s="11">
        <f t="shared" si="158"/>
        <v>0</v>
      </c>
      <c r="O179" s="11">
        <f t="shared" si="158"/>
        <v>0</v>
      </c>
      <c r="P179" s="11">
        <f t="shared" si="158"/>
        <v>1</v>
      </c>
      <c r="Q179" s="11">
        <f t="shared" si="158"/>
        <v>0</v>
      </c>
      <c r="R179" s="11">
        <f t="shared" si="158"/>
        <v>0</v>
      </c>
      <c r="S179" s="11">
        <f t="shared" si="158"/>
        <v>0</v>
      </c>
      <c r="T179" s="6">
        <f>DATASETS!D104</f>
        <v>389</v>
      </c>
      <c r="U179" s="37">
        <v>1</v>
      </c>
      <c r="V179" s="37">
        <v>1</v>
      </c>
      <c r="W179" s="37">
        <v>1</v>
      </c>
      <c r="X179" s="37">
        <v>2</v>
      </c>
      <c r="Y179" s="37">
        <v>0</v>
      </c>
      <c r="Z179" s="37">
        <v>4</v>
      </c>
      <c r="AA179" s="37">
        <v>1</v>
      </c>
      <c r="AB179" s="37">
        <v>2</v>
      </c>
      <c r="AC179" s="37">
        <v>0</v>
      </c>
      <c r="AD179" s="37">
        <v>0</v>
      </c>
      <c r="AE179" s="11">
        <f t="shared" si="107"/>
        <v>3</v>
      </c>
      <c r="AF179" s="11">
        <f t="shared" si="108"/>
        <v>3</v>
      </c>
      <c r="AG179" s="11">
        <f t="shared" si="109"/>
        <v>3</v>
      </c>
      <c r="AH179" s="11">
        <f t="shared" si="110"/>
        <v>3</v>
      </c>
      <c r="AI179" s="11">
        <f t="shared" si="111"/>
        <v>3</v>
      </c>
      <c r="AJ179" s="11">
        <f t="shared" si="112"/>
        <v>3</v>
      </c>
      <c r="AK179" s="11">
        <f t="shared" si="113"/>
        <v>4</v>
      </c>
      <c r="AL179" s="11">
        <f t="shared" si="114"/>
        <v>3</v>
      </c>
      <c r="AM179" s="11">
        <f t="shared" si="115"/>
        <v>4</v>
      </c>
      <c r="AN179" s="11">
        <f t="shared" si="116"/>
        <v>3</v>
      </c>
      <c r="AO179" s="35">
        <f t="shared" si="117"/>
        <v>600.81818181818187</v>
      </c>
      <c r="AP179" s="35">
        <f t="shared" si="118"/>
        <v>879.5</v>
      </c>
      <c r="AQ179" s="35">
        <f t="shared" si="119"/>
        <v>558</v>
      </c>
      <c r="AR179" s="35">
        <f t="shared" si="120"/>
        <v>668.6</v>
      </c>
      <c r="AS179" s="35">
        <f t="shared" si="121"/>
        <v>609.80952380952385</v>
      </c>
      <c r="AT179" s="35">
        <f t="shared" si="122"/>
        <v>730.06451612903231</v>
      </c>
      <c r="AU179" s="35">
        <f t="shared" si="123"/>
        <v>763.24242424242425</v>
      </c>
      <c r="AV179" s="35">
        <f t="shared" si="124"/>
        <v>703.24</v>
      </c>
      <c r="AW179" s="35">
        <f t="shared" si="125"/>
        <v>838.3125</v>
      </c>
      <c r="AX179" s="35">
        <f t="shared" si="126"/>
        <v>889.97222222222217</v>
      </c>
      <c r="AY179" s="28">
        <f t="shared" si="127"/>
        <v>724.15593682213841</v>
      </c>
      <c r="AZ179" s="35">
        <f t="shared" si="128"/>
        <v>-335.15593682213841</v>
      </c>
      <c r="BA179" s="35">
        <f t="shared" si="129"/>
        <v>335.15593682213841</v>
      </c>
      <c r="BB179" s="35">
        <f t="shared" si="130"/>
        <v>112329.50198712523</v>
      </c>
      <c r="BC179" s="35">
        <f t="shared" si="131"/>
        <v>2224253.5648330776</v>
      </c>
      <c r="BE179" s="37">
        <v>1</v>
      </c>
      <c r="BF179" s="37">
        <v>1</v>
      </c>
      <c r="BG179" s="37">
        <v>1</v>
      </c>
      <c r="BH179" s="37">
        <v>2</v>
      </c>
      <c r="BI179" s="37">
        <v>0</v>
      </c>
      <c r="BJ179" s="37">
        <v>4</v>
      </c>
      <c r="BK179" s="37">
        <v>1</v>
      </c>
      <c r="BL179" s="37">
        <v>2</v>
      </c>
      <c r="BM179" s="37">
        <v>0</v>
      </c>
      <c r="BN179" s="37">
        <v>0</v>
      </c>
      <c r="BO179" s="11">
        <f t="shared" si="132"/>
        <v>3</v>
      </c>
      <c r="BP179" s="11">
        <f t="shared" si="133"/>
        <v>3</v>
      </c>
      <c r="BQ179" s="11">
        <f t="shared" si="134"/>
        <v>3</v>
      </c>
      <c r="BR179" s="11">
        <f t="shared" si="135"/>
        <v>3</v>
      </c>
      <c r="BS179" s="11">
        <f t="shared" si="136"/>
        <v>3</v>
      </c>
      <c r="BT179" s="11">
        <f t="shared" si="137"/>
        <v>3</v>
      </c>
      <c r="BU179" s="11">
        <f t="shared" si="138"/>
        <v>3</v>
      </c>
      <c r="BV179" s="11">
        <f t="shared" si="139"/>
        <v>3</v>
      </c>
      <c r="BW179" s="11">
        <f t="shared" si="140"/>
        <v>3</v>
      </c>
      <c r="BX179" s="11">
        <f t="shared" si="141"/>
        <v>3</v>
      </c>
      <c r="BY179" s="35">
        <f t="shared" si="142"/>
        <v>526.31578947368416</v>
      </c>
      <c r="BZ179" s="35">
        <f t="shared" si="143"/>
        <v>549.21428571428567</v>
      </c>
      <c r="CA179" s="35">
        <f t="shared" si="144"/>
        <v>431.78571428571428</v>
      </c>
      <c r="CB179" s="35">
        <f t="shared" si="145"/>
        <v>468.77777777777777</v>
      </c>
      <c r="CC179" s="35">
        <f t="shared" si="146"/>
        <v>493.23809523809524</v>
      </c>
      <c r="CD179" s="35">
        <f t="shared" si="147"/>
        <v>501.72972972972974</v>
      </c>
      <c r="CE179" s="35">
        <f t="shared" si="148"/>
        <v>737.21875</v>
      </c>
      <c r="CF179" s="35">
        <f t="shared" si="149"/>
        <v>454.56</v>
      </c>
      <c r="CG179" s="35">
        <f t="shared" si="150"/>
        <v>490.4848484848485</v>
      </c>
      <c r="CH179" s="35">
        <f t="shared" si="151"/>
        <v>453.52</v>
      </c>
      <c r="CI179" s="28">
        <f t="shared" si="152"/>
        <v>510.68449907041361</v>
      </c>
      <c r="CJ179" s="35">
        <f t="shared" si="153"/>
        <v>-121.68449907041361</v>
      </c>
      <c r="CK179" s="35">
        <f t="shared" si="154"/>
        <v>121.68449907041361</v>
      </c>
      <c r="CL179" s="35">
        <f t="shared" si="155"/>
        <v>14807.117314017491</v>
      </c>
      <c r="CM179" s="35">
        <f t="shared" si="156"/>
        <v>2224253.5648330776</v>
      </c>
    </row>
    <row r="180" spans="1:91" x14ac:dyDescent="0.3">
      <c r="A180" s="4" t="str">
        <f>DATASETS!A106</f>
        <v>DEL PAN</v>
      </c>
      <c r="B180" s="4" t="str">
        <f>DATASETS!E106</f>
        <v>Training</v>
      </c>
      <c r="C180" s="9">
        <f>DATASETS!C106</f>
        <v>70012</v>
      </c>
      <c r="D180" s="4">
        <f>DATASETS!B106</f>
        <v>2016</v>
      </c>
      <c r="E180" s="6">
        <f>DATASETS!I106</f>
        <v>1065</v>
      </c>
      <c r="F180" s="9">
        <f>DATASETS!H106</f>
        <v>97</v>
      </c>
      <c r="G180" s="11">
        <f t="shared" ref="G180:S189" si="159">IF($A180=G$88,1,0)</f>
        <v>0</v>
      </c>
      <c r="H180" s="11">
        <f t="shared" si="159"/>
        <v>0</v>
      </c>
      <c r="I180" s="11">
        <f t="shared" si="159"/>
        <v>0</v>
      </c>
      <c r="J180" s="11">
        <f t="shared" si="159"/>
        <v>0</v>
      </c>
      <c r="K180" s="11">
        <f t="shared" si="159"/>
        <v>0</v>
      </c>
      <c r="L180" s="11">
        <f t="shared" si="159"/>
        <v>0</v>
      </c>
      <c r="M180" s="11">
        <f t="shared" si="159"/>
        <v>0</v>
      </c>
      <c r="N180" s="11">
        <f t="shared" si="159"/>
        <v>0</v>
      </c>
      <c r="O180" s="11">
        <f t="shared" si="159"/>
        <v>0</v>
      </c>
      <c r="P180" s="11">
        <f t="shared" si="159"/>
        <v>0</v>
      </c>
      <c r="Q180" s="11">
        <f t="shared" si="159"/>
        <v>1</v>
      </c>
      <c r="R180" s="11">
        <f t="shared" si="159"/>
        <v>0</v>
      </c>
      <c r="S180" s="11">
        <f t="shared" si="159"/>
        <v>0</v>
      </c>
      <c r="T180" s="6">
        <f>DATASETS!D106</f>
        <v>1066</v>
      </c>
      <c r="U180" s="37">
        <v>0</v>
      </c>
      <c r="V180" s="37">
        <v>1</v>
      </c>
      <c r="W180" s="37">
        <v>2</v>
      </c>
      <c r="X180" s="37">
        <v>1</v>
      </c>
      <c r="Y180" s="37">
        <v>2</v>
      </c>
      <c r="Z180" s="37">
        <v>1</v>
      </c>
      <c r="AA180" s="37">
        <v>3</v>
      </c>
      <c r="AB180" s="37">
        <v>1</v>
      </c>
      <c r="AC180" s="37">
        <v>0</v>
      </c>
      <c r="AD180" s="37">
        <v>1</v>
      </c>
      <c r="AE180" s="11">
        <f t="shared" si="107"/>
        <v>3</v>
      </c>
      <c r="AF180" s="11">
        <f t="shared" si="108"/>
        <v>3</v>
      </c>
      <c r="AG180" s="11">
        <f t="shared" si="109"/>
        <v>3</v>
      </c>
      <c r="AH180" s="11">
        <f t="shared" si="110"/>
        <v>3</v>
      </c>
      <c r="AI180" s="11">
        <f t="shared" si="111"/>
        <v>3</v>
      </c>
      <c r="AJ180" s="11">
        <f t="shared" si="112"/>
        <v>3</v>
      </c>
      <c r="AK180" s="11">
        <f t="shared" si="113"/>
        <v>3</v>
      </c>
      <c r="AL180" s="11">
        <f t="shared" si="114"/>
        <v>3</v>
      </c>
      <c r="AM180" s="11">
        <f t="shared" si="115"/>
        <v>3</v>
      </c>
      <c r="AN180" s="11">
        <f t="shared" si="116"/>
        <v>3</v>
      </c>
      <c r="AO180" s="35">
        <f t="shared" si="117"/>
        <v>600.81818181818187</v>
      </c>
      <c r="AP180" s="35">
        <f t="shared" si="118"/>
        <v>879.5</v>
      </c>
      <c r="AQ180" s="35">
        <f t="shared" si="119"/>
        <v>558</v>
      </c>
      <c r="AR180" s="35">
        <f t="shared" si="120"/>
        <v>668.6</v>
      </c>
      <c r="AS180" s="35">
        <f t="shared" si="121"/>
        <v>609.80952380952385</v>
      </c>
      <c r="AT180" s="35">
        <f t="shared" si="122"/>
        <v>730.06451612903231</v>
      </c>
      <c r="AU180" s="35">
        <f t="shared" si="123"/>
        <v>554.66666666666663</v>
      </c>
      <c r="AV180" s="35">
        <f t="shared" si="124"/>
        <v>703.24</v>
      </c>
      <c r="AW180" s="35">
        <f t="shared" si="125"/>
        <v>252.66666666666666</v>
      </c>
      <c r="AX180" s="35">
        <f t="shared" si="126"/>
        <v>889.97222222222217</v>
      </c>
      <c r="AY180" s="28">
        <f t="shared" si="127"/>
        <v>644.73377773122934</v>
      </c>
      <c r="AZ180" s="35">
        <f t="shared" si="128"/>
        <v>421.26622226877066</v>
      </c>
      <c r="BA180" s="35">
        <f t="shared" si="129"/>
        <v>421.26622226877066</v>
      </c>
      <c r="BB180" s="35">
        <f t="shared" si="130"/>
        <v>177465.23002460127</v>
      </c>
      <c r="BC180" s="35">
        <f t="shared" si="131"/>
        <v>663236.22295273573</v>
      </c>
      <c r="BE180" s="37">
        <v>0</v>
      </c>
      <c r="BF180" s="37">
        <v>1</v>
      </c>
      <c r="BG180" s="37">
        <v>2</v>
      </c>
      <c r="BH180" s="37">
        <v>1</v>
      </c>
      <c r="BI180" s="37">
        <v>2</v>
      </c>
      <c r="BJ180" s="37">
        <v>1</v>
      </c>
      <c r="BK180" s="37">
        <v>3</v>
      </c>
      <c r="BL180" s="37">
        <v>1</v>
      </c>
      <c r="BM180" s="37">
        <v>0</v>
      </c>
      <c r="BN180" s="37">
        <v>1</v>
      </c>
      <c r="BO180" s="11">
        <f t="shared" si="132"/>
        <v>4</v>
      </c>
      <c r="BP180" s="11">
        <f t="shared" si="133"/>
        <v>4</v>
      </c>
      <c r="BQ180" s="11">
        <f t="shared" si="134"/>
        <v>4</v>
      </c>
      <c r="BR180" s="11">
        <f t="shared" si="135"/>
        <v>4</v>
      </c>
      <c r="BS180" s="11">
        <f t="shared" si="136"/>
        <v>4</v>
      </c>
      <c r="BT180" s="11">
        <f t="shared" si="137"/>
        <v>4</v>
      </c>
      <c r="BU180" s="11">
        <f t="shared" si="138"/>
        <v>3</v>
      </c>
      <c r="BV180" s="11">
        <f t="shared" si="139"/>
        <v>4</v>
      </c>
      <c r="BW180" s="11">
        <f t="shared" si="140"/>
        <v>4</v>
      </c>
      <c r="BX180" s="11">
        <f t="shared" si="141"/>
        <v>4</v>
      </c>
      <c r="BY180" s="35">
        <f t="shared" si="142"/>
        <v>1064.1818181818182</v>
      </c>
      <c r="BZ180" s="35">
        <f t="shared" si="143"/>
        <v>1019.8181818181819</v>
      </c>
      <c r="CA180" s="35">
        <f t="shared" si="144"/>
        <v>1010.6551724137931</v>
      </c>
      <c r="CB180" s="35">
        <f t="shared" si="145"/>
        <v>1067.3953488372092</v>
      </c>
      <c r="CC180" s="35">
        <f t="shared" si="146"/>
        <v>1186.5882352941176</v>
      </c>
      <c r="CD180" s="35">
        <f t="shared" si="147"/>
        <v>1025.608695652174</v>
      </c>
      <c r="CE180" s="35">
        <f t="shared" si="148"/>
        <v>737.21875</v>
      </c>
      <c r="CF180" s="35">
        <f t="shared" si="149"/>
        <v>1130.5</v>
      </c>
      <c r="CG180" s="35">
        <f t="shared" si="150"/>
        <v>1060.5135135135135</v>
      </c>
      <c r="CH180" s="35">
        <f t="shared" si="151"/>
        <v>1071.409090909091</v>
      </c>
      <c r="CI180" s="28">
        <f t="shared" si="152"/>
        <v>1037.38888066199</v>
      </c>
      <c r="CJ180" s="35">
        <f t="shared" si="153"/>
        <v>28.611119338009985</v>
      </c>
      <c r="CK180" s="35">
        <f t="shared" si="154"/>
        <v>28.611119338009985</v>
      </c>
      <c r="CL180" s="35">
        <f t="shared" si="155"/>
        <v>818.59614977384888</v>
      </c>
      <c r="CM180" s="35">
        <f t="shared" si="156"/>
        <v>663236.22295273573</v>
      </c>
    </row>
    <row r="181" spans="1:91" x14ac:dyDescent="0.3">
      <c r="A181" s="4" t="str">
        <f>DATASETS!A107</f>
        <v>DEL PAN</v>
      </c>
      <c r="B181" s="4" t="str">
        <f>DATASETS!E107</f>
        <v>Training</v>
      </c>
      <c r="C181" s="9">
        <f>DATASETS!C107</f>
        <v>80285</v>
      </c>
      <c r="D181" s="4">
        <f>DATASETS!B107</f>
        <v>2017</v>
      </c>
      <c r="E181" s="6">
        <f>DATASETS!I107</f>
        <v>1066</v>
      </c>
      <c r="F181" s="9">
        <f>DATASETS!H107</f>
        <v>97</v>
      </c>
      <c r="G181" s="11">
        <f t="shared" si="159"/>
        <v>0</v>
      </c>
      <c r="H181" s="11">
        <f t="shared" si="159"/>
        <v>0</v>
      </c>
      <c r="I181" s="11">
        <f t="shared" si="159"/>
        <v>0</v>
      </c>
      <c r="J181" s="11">
        <f t="shared" si="159"/>
        <v>0</v>
      </c>
      <c r="K181" s="11">
        <f t="shared" si="159"/>
        <v>0</v>
      </c>
      <c r="L181" s="11">
        <f t="shared" si="159"/>
        <v>0</v>
      </c>
      <c r="M181" s="11">
        <f t="shared" si="159"/>
        <v>0</v>
      </c>
      <c r="N181" s="11">
        <f t="shared" si="159"/>
        <v>0</v>
      </c>
      <c r="O181" s="11">
        <f t="shared" si="159"/>
        <v>0</v>
      </c>
      <c r="P181" s="11">
        <f t="shared" si="159"/>
        <v>0</v>
      </c>
      <c r="Q181" s="11">
        <f t="shared" si="159"/>
        <v>1</v>
      </c>
      <c r="R181" s="11">
        <f t="shared" si="159"/>
        <v>0</v>
      </c>
      <c r="S181" s="11">
        <f t="shared" si="159"/>
        <v>0</v>
      </c>
      <c r="T181" s="6">
        <f>DATASETS!D107</f>
        <v>924</v>
      </c>
      <c r="U181" s="37">
        <v>2</v>
      </c>
      <c r="V181" s="37">
        <v>2</v>
      </c>
      <c r="W181" s="37">
        <v>0</v>
      </c>
      <c r="X181" s="37">
        <v>1</v>
      </c>
      <c r="Y181" s="37">
        <v>1</v>
      </c>
      <c r="Z181" s="37">
        <v>1</v>
      </c>
      <c r="AA181" s="37">
        <v>0</v>
      </c>
      <c r="AB181" s="37">
        <v>0</v>
      </c>
      <c r="AC181" s="37">
        <v>0</v>
      </c>
      <c r="AD181" s="37">
        <v>0</v>
      </c>
      <c r="AE181" s="11">
        <f t="shared" si="107"/>
        <v>3</v>
      </c>
      <c r="AF181" s="11">
        <f t="shared" si="108"/>
        <v>3</v>
      </c>
      <c r="AG181" s="11">
        <f t="shared" si="109"/>
        <v>3</v>
      </c>
      <c r="AH181" s="11">
        <f t="shared" si="110"/>
        <v>3</v>
      </c>
      <c r="AI181" s="11">
        <f t="shared" si="111"/>
        <v>3</v>
      </c>
      <c r="AJ181" s="11">
        <f t="shared" si="112"/>
        <v>3</v>
      </c>
      <c r="AK181" s="11">
        <f t="shared" si="113"/>
        <v>3</v>
      </c>
      <c r="AL181" s="11">
        <f t="shared" si="114"/>
        <v>3</v>
      </c>
      <c r="AM181" s="11">
        <f t="shared" si="115"/>
        <v>3</v>
      </c>
      <c r="AN181" s="11">
        <f t="shared" si="116"/>
        <v>3</v>
      </c>
      <c r="AO181" s="35">
        <f t="shared" si="117"/>
        <v>600.81818181818187</v>
      </c>
      <c r="AP181" s="35">
        <f t="shared" si="118"/>
        <v>879.5</v>
      </c>
      <c r="AQ181" s="35">
        <f t="shared" si="119"/>
        <v>558</v>
      </c>
      <c r="AR181" s="35">
        <f t="shared" si="120"/>
        <v>668.6</v>
      </c>
      <c r="AS181" s="35">
        <f t="shared" si="121"/>
        <v>609.80952380952385</v>
      </c>
      <c r="AT181" s="35">
        <f t="shared" si="122"/>
        <v>730.06451612903231</v>
      </c>
      <c r="AU181" s="35">
        <f t="shared" si="123"/>
        <v>554.66666666666663</v>
      </c>
      <c r="AV181" s="35">
        <f t="shared" si="124"/>
        <v>703.24</v>
      </c>
      <c r="AW181" s="35">
        <f t="shared" si="125"/>
        <v>252.66666666666666</v>
      </c>
      <c r="AX181" s="35">
        <f t="shared" si="126"/>
        <v>889.97222222222217</v>
      </c>
      <c r="AY181" s="28">
        <f t="shared" si="127"/>
        <v>644.73377773122934</v>
      </c>
      <c r="AZ181" s="35">
        <f t="shared" si="128"/>
        <v>279.26622226877066</v>
      </c>
      <c r="BA181" s="35">
        <f t="shared" si="129"/>
        <v>279.26622226877066</v>
      </c>
      <c r="BB181" s="35">
        <f t="shared" si="130"/>
        <v>77989.62290027042</v>
      </c>
      <c r="BC181" s="35">
        <f t="shared" si="131"/>
        <v>914687.88107239385</v>
      </c>
      <c r="BE181" s="37">
        <v>2</v>
      </c>
      <c r="BF181" s="37">
        <v>2</v>
      </c>
      <c r="BG181" s="37">
        <v>0</v>
      </c>
      <c r="BH181" s="37">
        <v>1</v>
      </c>
      <c r="BI181" s="37">
        <v>1</v>
      </c>
      <c r="BJ181" s="37">
        <v>1</v>
      </c>
      <c r="BK181" s="37">
        <v>0</v>
      </c>
      <c r="BL181" s="37">
        <v>0</v>
      </c>
      <c r="BM181" s="37">
        <v>0</v>
      </c>
      <c r="BN181" s="37">
        <v>0</v>
      </c>
      <c r="BO181" s="11">
        <f t="shared" si="132"/>
        <v>4</v>
      </c>
      <c r="BP181" s="11">
        <f t="shared" si="133"/>
        <v>4</v>
      </c>
      <c r="BQ181" s="11">
        <f t="shared" si="134"/>
        <v>4</v>
      </c>
      <c r="BR181" s="11">
        <f t="shared" si="135"/>
        <v>4</v>
      </c>
      <c r="BS181" s="11">
        <f t="shared" si="136"/>
        <v>4</v>
      </c>
      <c r="BT181" s="11">
        <f t="shared" si="137"/>
        <v>4</v>
      </c>
      <c r="BU181" s="11">
        <f t="shared" si="138"/>
        <v>3</v>
      </c>
      <c r="BV181" s="11">
        <f t="shared" si="139"/>
        <v>4</v>
      </c>
      <c r="BW181" s="11">
        <f t="shared" si="140"/>
        <v>4</v>
      </c>
      <c r="BX181" s="11">
        <f t="shared" si="141"/>
        <v>4</v>
      </c>
      <c r="BY181" s="35">
        <f t="shared" si="142"/>
        <v>1064.1818181818182</v>
      </c>
      <c r="BZ181" s="35">
        <f t="shared" si="143"/>
        <v>1019.8181818181819</v>
      </c>
      <c r="CA181" s="35">
        <f t="shared" si="144"/>
        <v>1010.6551724137931</v>
      </c>
      <c r="CB181" s="35">
        <f t="shared" si="145"/>
        <v>1067.3953488372092</v>
      </c>
      <c r="CC181" s="35">
        <f t="shared" si="146"/>
        <v>1186.5882352941176</v>
      </c>
      <c r="CD181" s="35">
        <f t="shared" si="147"/>
        <v>1025.608695652174</v>
      </c>
      <c r="CE181" s="35">
        <f t="shared" si="148"/>
        <v>737.21875</v>
      </c>
      <c r="CF181" s="35">
        <f t="shared" si="149"/>
        <v>1130.5</v>
      </c>
      <c r="CG181" s="35">
        <f t="shared" si="150"/>
        <v>1060.5135135135135</v>
      </c>
      <c r="CH181" s="35">
        <f t="shared" si="151"/>
        <v>1071.409090909091</v>
      </c>
      <c r="CI181" s="28">
        <f t="shared" si="152"/>
        <v>1037.38888066199</v>
      </c>
      <c r="CJ181" s="35">
        <f t="shared" si="153"/>
        <v>-113.38888066199002</v>
      </c>
      <c r="CK181" s="35">
        <f t="shared" si="154"/>
        <v>113.38888066199002</v>
      </c>
      <c r="CL181" s="35">
        <f t="shared" si="155"/>
        <v>12857.038257779013</v>
      </c>
      <c r="CM181" s="35">
        <f t="shared" si="156"/>
        <v>914687.88107239385</v>
      </c>
    </row>
    <row r="182" spans="1:91" x14ac:dyDescent="0.3">
      <c r="A182" s="4" t="str">
        <f>DATASETS!A108</f>
        <v>DEL PAN</v>
      </c>
      <c r="B182" s="4" t="str">
        <f>DATASETS!E108</f>
        <v>Training</v>
      </c>
      <c r="C182" s="9">
        <f>DATASETS!C108</f>
        <v>82257</v>
      </c>
      <c r="D182" s="4">
        <f>DATASETS!B108</f>
        <v>2018</v>
      </c>
      <c r="E182" s="6">
        <f>DATASETS!I108</f>
        <v>924</v>
      </c>
      <c r="F182" s="9">
        <f>DATASETS!H108</f>
        <v>97</v>
      </c>
      <c r="G182" s="11">
        <f t="shared" si="159"/>
        <v>0</v>
      </c>
      <c r="H182" s="11">
        <f t="shared" si="159"/>
        <v>0</v>
      </c>
      <c r="I182" s="11">
        <f t="shared" si="159"/>
        <v>0</v>
      </c>
      <c r="J182" s="11">
        <f t="shared" si="159"/>
        <v>0</v>
      </c>
      <c r="K182" s="11">
        <f t="shared" si="159"/>
        <v>0</v>
      </c>
      <c r="L182" s="11">
        <f t="shared" si="159"/>
        <v>0</v>
      </c>
      <c r="M182" s="11">
        <f t="shared" si="159"/>
        <v>0</v>
      </c>
      <c r="N182" s="11">
        <f t="shared" si="159"/>
        <v>0</v>
      </c>
      <c r="O182" s="11">
        <f t="shared" si="159"/>
        <v>0</v>
      </c>
      <c r="P182" s="11">
        <f t="shared" si="159"/>
        <v>0</v>
      </c>
      <c r="Q182" s="11">
        <f t="shared" si="159"/>
        <v>1</v>
      </c>
      <c r="R182" s="11">
        <f t="shared" si="159"/>
        <v>0</v>
      </c>
      <c r="S182" s="11">
        <f t="shared" si="159"/>
        <v>0</v>
      </c>
      <c r="T182" s="6">
        <f>DATASETS!D108</f>
        <v>1094</v>
      </c>
      <c r="U182" s="37">
        <v>2</v>
      </c>
      <c r="V182" s="37">
        <v>0</v>
      </c>
      <c r="W182" s="37">
        <v>0</v>
      </c>
      <c r="X182" s="37">
        <v>0</v>
      </c>
      <c r="Y182" s="37">
        <v>0</v>
      </c>
      <c r="Z182" s="37">
        <v>1</v>
      </c>
      <c r="AA182" s="37">
        <v>1</v>
      </c>
      <c r="AB182" s="37">
        <v>2</v>
      </c>
      <c r="AC182" s="37">
        <v>1</v>
      </c>
      <c r="AD182" s="37">
        <v>0</v>
      </c>
      <c r="AE182" s="11">
        <f t="shared" si="107"/>
        <v>3</v>
      </c>
      <c r="AF182" s="11">
        <f t="shared" si="108"/>
        <v>3</v>
      </c>
      <c r="AG182" s="11">
        <f t="shared" si="109"/>
        <v>3</v>
      </c>
      <c r="AH182" s="11">
        <f t="shared" si="110"/>
        <v>3</v>
      </c>
      <c r="AI182" s="11">
        <f t="shared" si="111"/>
        <v>3</v>
      </c>
      <c r="AJ182" s="11">
        <f t="shared" si="112"/>
        <v>3</v>
      </c>
      <c r="AK182" s="11">
        <f t="shared" si="113"/>
        <v>4</v>
      </c>
      <c r="AL182" s="11">
        <f t="shared" si="114"/>
        <v>3</v>
      </c>
      <c r="AM182" s="11">
        <f t="shared" si="115"/>
        <v>4</v>
      </c>
      <c r="AN182" s="11">
        <f t="shared" si="116"/>
        <v>3</v>
      </c>
      <c r="AO182" s="35">
        <f t="shared" si="117"/>
        <v>600.81818181818187</v>
      </c>
      <c r="AP182" s="35">
        <f t="shared" si="118"/>
        <v>879.5</v>
      </c>
      <c r="AQ182" s="35">
        <f t="shared" si="119"/>
        <v>558</v>
      </c>
      <c r="AR182" s="35">
        <f t="shared" si="120"/>
        <v>668.6</v>
      </c>
      <c r="AS182" s="35">
        <f t="shared" si="121"/>
        <v>609.80952380952385</v>
      </c>
      <c r="AT182" s="35">
        <f t="shared" si="122"/>
        <v>730.06451612903231</v>
      </c>
      <c r="AU182" s="35">
        <f t="shared" si="123"/>
        <v>763.24242424242425</v>
      </c>
      <c r="AV182" s="35">
        <f t="shared" si="124"/>
        <v>703.24</v>
      </c>
      <c r="AW182" s="35">
        <f t="shared" si="125"/>
        <v>838.3125</v>
      </c>
      <c r="AX182" s="35">
        <f t="shared" si="126"/>
        <v>889.97222222222217</v>
      </c>
      <c r="AY182" s="28">
        <f t="shared" si="127"/>
        <v>724.15593682213841</v>
      </c>
      <c r="AZ182" s="35">
        <f t="shared" si="128"/>
        <v>369.84406317786159</v>
      </c>
      <c r="BA182" s="35">
        <f t="shared" si="129"/>
        <v>369.84406317786159</v>
      </c>
      <c r="BB182" s="35">
        <f t="shared" si="130"/>
        <v>136784.63106791009</v>
      </c>
      <c r="BC182" s="35">
        <f t="shared" si="131"/>
        <v>618414.2058587186</v>
      </c>
      <c r="BE182" s="37">
        <v>2</v>
      </c>
      <c r="BF182" s="37">
        <v>0</v>
      </c>
      <c r="BG182" s="37">
        <v>0</v>
      </c>
      <c r="BH182" s="37">
        <v>0</v>
      </c>
      <c r="BI182" s="37">
        <v>0</v>
      </c>
      <c r="BJ182" s="37">
        <v>1</v>
      </c>
      <c r="BK182" s="37">
        <v>1</v>
      </c>
      <c r="BL182" s="37">
        <v>2</v>
      </c>
      <c r="BM182" s="37">
        <v>1</v>
      </c>
      <c r="BN182" s="37">
        <v>0</v>
      </c>
      <c r="BO182" s="11">
        <f t="shared" si="132"/>
        <v>4</v>
      </c>
      <c r="BP182" s="11">
        <f t="shared" si="133"/>
        <v>4</v>
      </c>
      <c r="BQ182" s="11">
        <f t="shared" si="134"/>
        <v>4</v>
      </c>
      <c r="BR182" s="11">
        <f t="shared" si="135"/>
        <v>4</v>
      </c>
      <c r="BS182" s="11">
        <f t="shared" si="136"/>
        <v>4</v>
      </c>
      <c r="BT182" s="11">
        <f t="shared" si="137"/>
        <v>4</v>
      </c>
      <c r="BU182" s="11">
        <f t="shared" si="138"/>
        <v>3</v>
      </c>
      <c r="BV182" s="11">
        <f t="shared" si="139"/>
        <v>4</v>
      </c>
      <c r="BW182" s="11">
        <f t="shared" si="140"/>
        <v>4</v>
      </c>
      <c r="BX182" s="11">
        <f t="shared" si="141"/>
        <v>4</v>
      </c>
      <c r="BY182" s="35">
        <f t="shared" si="142"/>
        <v>1064.1818181818182</v>
      </c>
      <c r="BZ182" s="35">
        <f t="shared" si="143"/>
        <v>1019.8181818181819</v>
      </c>
      <c r="CA182" s="35">
        <f t="shared" si="144"/>
        <v>1010.6551724137931</v>
      </c>
      <c r="CB182" s="35">
        <f t="shared" si="145"/>
        <v>1067.3953488372092</v>
      </c>
      <c r="CC182" s="35">
        <f t="shared" si="146"/>
        <v>1186.5882352941176</v>
      </c>
      <c r="CD182" s="35">
        <f t="shared" si="147"/>
        <v>1025.608695652174</v>
      </c>
      <c r="CE182" s="35">
        <f t="shared" si="148"/>
        <v>737.21875</v>
      </c>
      <c r="CF182" s="35">
        <f t="shared" si="149"/>
        <v>1130.5</v>
      </c>
      <c r="CG182" s="35">
        <f t="shared" si="150"/>
        <v>1060.5135135135135</v>
      </c>
      <c r="CH182" s="35">
        <f t="shared" si="151"/>
        <v>1071.409090909091</v>
      </c>
      <c r="CI182" s="28">
        <f t="shared" si="152"/>
        <v>1037.38888066199</v>
      </c>
      <c r="CJ182" s="35">
        <f t="shared" si="153"/>
        <v>56.611119338009985</v>
      </c>
      <c r="CK182" s="35">
        <f t="shared" si="154"/>
        <v>56.611119338009985</v>
      </c>
      <c r="CL182" s="35">
        <f t="shared" si="155"/>
        <v>3204.8188327024081</v>
      </c>
      <c r="CM182" s="35">
        <f t="shared" si="156"/>
        <v>618414.2058587186</v>
      </c>
    </row>
    <row r="183" spans="1:91" x14ac:dyDescent="0.3">
      <c r="A183" s="4" t="str">
        <f>DATASETS!A109</f>
        <v>DEL PAN</v>
      </c>
      <c r="B183" s="4" t="str">
        <f>DATASETS!E109</f>
        <v>Training</v>
      </c>
      <c r="C183" s="9">
        <f>DATASETS!C109</f>
        <v>84279</v>
      </c>
      <c r="D183" s="4">
        <f>DATASETS!B109</f>
        <v>2019</v>
      </c>
      <c r="E183" s="6">
        <f>DATASETS!I109</f>
        <v>1094</v>
      </c>
      <c r="F183" s="9">
        <f>DATASETS!H109</f>
        <v>97</v>
      </c>
      <c r="G183" s="11">
        <f t="shared" si="159"/>
        <v>0</v>
      </c>
      <c r="H183" s="11">
        <f t="shared" si="159"/>
        <v>0</v>
      </c>
      <c r="I183" s="11">
        <f t="shared" si="159"/>
        <v>0</v>
      </c>
      <c r="J183" s="11">
        <f t="shared" si="159"/>
        <v>0</v>
      </c>
      <c r="K183" s="11">
        <f t="shared" si="159"/>
        <v>0</v>
      </c>
      <c r="L183" s="11">
        <f t="shared" si="159"/>
        <v>0</v>
      </c>
      <c r="M183" s="11">
        <f t="shared" si="159"/>
        <v>0</v>
      </c>
      <c r="N183" s="11">
        <f t="shared" si="159"/>
        <v>0</v>
      </c>
      <c r="O183" s="11">
        <f t="shared" si="159"/>
        <v>0</v>
      </c>
      <c r="P183" s="11">
        <f t="shared" si="159"/>
        <v>0</v>
      </c>
      <c r="Q183" s="11">
        <f t="shared" si="159"/>
        <v>1</v>
      </c>
      <c r="R183" s="11">
        <f t="shared" si="159"/>
        <v>0</v>
      </c>
      <c r="S183" s="11">
        <f t="shared" si="159"/>
        <v>0</v>
      </c>
      <c r="T183" s="6">
        <f>DATASETS!D109</f>
        <v>1389</v>
      </c>
      <c r="U183" s="37">
        <v>1</v>
      </c>
      <c r="V183" s="37">
        <v>0</v>
      </c>
      <c r="W183" s="37">
        <v>1</v>
      </c>
      <c r="X183" s="37">
        <v>1</v>
      </c>
      <c r="Y183" s="37">
        <v>1</v>
      </c>
      <c r="Z183" s="37">
        <v>0</v>
      </c>
      <c r="AA183" s="37">
        <v>0</v>
      </c>
      <c r="AB183" s="37">
        <v>1</v>
      </c>
      <c r="AC183" s="37">
        <v>1</v>
      </c>
      <c r="AD183" s="37">
        <v>2</v>
      </c>
      <c r="AE183" s="11">
        <f t="shared" si="107"/>
        <v>3</v>
      </c>
      <c r="AF183" s="11">
        <f t="shared" si="108"/>
        <v>3</v>
      </c>
      <c r="AG183" s="11">
        <f t="shared" si="109"/>
        <v>3</v>
      </c>
      <c r="AH183" s="11">
        <f t="shared" si="110"/>
        <v>3</v>
      </c>
      <c r="AI183" s="11">
        <f t="shared" si="111"/>
        <v>3</v>
      </c>
      <c r="AJ183" s="11">
        <f t="shared" si="112"/>
        <v>3</v>
      </c>
      <c r="AK183" s="11">
        <f t="shared" si="113"/>
        <v>4</v>
      </c>
      <c r="AL183" s="11">
        <f t="shared" si="114"/>
        <v>3</v>
      </c>
      <c r="AM183" s="11">
        <f t="shared" si="115"/>
        <v>4</v>
      </c>
      <c r="AN183" s="11">
        <f t="shared" si="116"/>
        <v>3</v>
      </c>
      <c r="AO183" s="35">
        <f t="shared" si="117"/>
        <v>600.81818181818187</v>
      </c>
      <c r="AP183" s="35">
        <f t="shared" si="118"/>
        <v>879.5</v>
      </c>
      <c r="AQ183" s="35">
        <f t="shared" si="119"/>
        <v>558</v>
      </c>
      <c r="AR183" s="35">
        <f t="shared" si="120"/>
        <v>668.6</v>
      </c>
      <c r="AS183" s="35">
        <f t="shared" si="121"/>
        <v>609.80952380952385</v>
      </c>
      <c r="AT183" s="35">
        <f t="shared" si="122"/>
        <v>730.06451612903231</v>
      </c>
      <c r="AU183" s="35">
        <f t="shared" si="123"/>
        <v>763.24242424242425</v>
      </c>
      <c r="AV183" s="35">
        <f t="shared" si="124"/>
        <v>703.24</v>
      </c>
      <c r="AW183" s="35">
        <f t="shared" si="125"/>
        <v>838.3125</v>
      </c>
      <c r="AX183" s="35">
        <f t="shared" si="126"/>
        <v>889.97222222222217</v>
      </c>
      <c r="AY183" s="28">
        <f t="shared" si="127"/>
        <v>724.15593682213841</v>
      </c>
      <c r="AZ183" s="35">
        <f t="shared" si="128"/>
        <v>664.84406317786159</v>
      </c>
      <c r="BA183" s="35">
        <f t="shared" si="129"/>
        <v>664.84406317786159</v>
      </c>
      <c r="BB183" s="35">
        <f t="shared" si="130"/>
        <v>442017.62834284839</v>
      </c>
      <c r="BC183" s="35">
        <f t="shared" si="131"/>
        <v>241467.24004675282</v>
      </c>
      <c r="BE183" s="37">
        <v>1</v>
      </c>
      <c r="BF183" s="37">
        <v>0</v>
      </c>
      <c r="BG183" s="37">
        <v>1</v>
      </c>
      <c r="BH183" s="37">
        <v>1</v>
      </c>
      <c r="BI183" s="37">
        <v>1</v>
      </c>
      <c r="BJ183" s="37">
        <v>0</v>
      </c>
      <c r="BK183" s="37">
        <v>0</v>
      </c>
      <c r="BL183" s="37">
        <v>1</v>
      </c>
      <c r="BM183" s="37">
        <v>1</v>
      </c>
      <c r="BN183" s="37">
        <v>2</v>
      </c>
      <c r="BO183" s="11">
        <f t="shared" si="132"/>
        <v>4</v>
      </c>
      <c r="BP183" s="11">
        <f t="shared" si="133"/>
        <v>6</v>
      </c>
      <c r="BQ183" s="11">
        <f t="shared" si="134"/>
        <v>4</v>
      </c>
      <c r="BR183" s="11">
        <f t="shared" si="135"/>
        <v>4</v>
      </c>
      <c r="BS183" s="11">
        <f t="shared" si="136"/>
        <v>4</v>
      </c>
      <c r="BT183" s="11">
        <f t="shared" si="137"/>
        <v>6</v>
      </c>
      <c r="BU183" s="11">
        <f t="shared" si="138"/>
        <v>3</v>
      </c>
      <c r="BV183" s="11">
        <f t="shared" si="139"/>
        <v>4</v>
      </c>
      <c r="BW183" s="11">
        <f t="shared" si="140"/>
        <v>4</v>
      </c>
      <c r="BX183" s="11">
        <f t="shared" si="141"/>
        <v>4</v>
      </c>
      <c r="BY183" s="35">
        <f t="shared" si="142"/>
        <v>1064.1818181818182</v>
      </c>
      <c r="BZ183" s="35">
        <f t="shared" si="143"/>
        <v>2135.1666666666665</v>
      </c>
      <c r="CA183" s="35">
        <f t="shared" si="144"/>
        <v>1010.6551724137931</v>
      </c>
      <c r="CB183" s="35">
        <f t="shared" si="145"/>
        <v>1067.3953488372092</v>
      </c>
      <c r="CC183" s="35">
        <f t="shared" si="146"/>
        <v>1186.5882352941176</v>
      </c>
      <c r="CD183" s="35">
        <f t="shared" si="147"/>
        <v>1283.8095238095239</v>
      </c>
      <c r="CE183" s="35">
        <f t="shared" si="148"/>
        <v>737.21875</v>
      </c>
      <c r="CF183" s="35">
        <f t="shared" si="149"/>
        <v>1130.5</v>
      </c>
      <c r="CG183" s="35">
        <f t="shared" si="150"/>
        <v>1060.5135135135135</v>
      </c>
      <c r="CH183" s="35">
        <f t="shared" si="151"/>
        <v>1071.409090909091</v>
      </c>
      <c r="CI183" s="28">
        <f t="shared" si="152"/>
        <v>1174.7438119625735</v>
      </c>
      <c r="CJ183" s="35">
        <f t="shared" si="153"/>
        <v>214.25618803742645</v>
      </c>
      <c r="CK183" s="35">
        <f t="shared" si="154"/>
        <v>214.25618803742645</v>
      </c>
      <c r="CL183" s="35">
        <f t="shared" si="155"/>
        <v>45905.714112329042</v>
      </c>
      <c r="CM183" s="35">
        <f t="shared" si="156"/>
        <v>241467.24004675282</v>
      </c>
    </row>
    <row r="184" spans="1:91" x14ac:dyDescent="0.3">
      <c r="A184" s="4" t="str">
        <f>DATASETS!A110</f>
        <v>DEL PAN</v>
      </c>
      <c r="B184" s="4" t="str">
        <f>DATASETS!E110</f>
        <v>Training</v>
      </c>
      <c r="C184" s="9">
        <f>DATASETS!C110</f>
        <v>107595</v>
      </c>
      <c r="D184" s="4">
        <f>DATASETS!B110</f>
        <v>2020</v>
      </c>
      <c r="E184" s="6">
        <f>DATASETS!I110</f>
        <v>1389</v>
      </c>
      <c r="F184" s="9">
        <f>DATASETS!H110</f>
        <v>97</v>
      </c>
      <c r="G184" s="11">
        <f t="shared" si="159"/>
        <v>0</v>
      </c>
      <c r="H184" s="11">
        <f t="shared" si="159"/>
        <v>0</v>
      </c>
      <c r="I184" s="11">
        <f t="shared" si="159"/>
        <v>0</v>
      </c>
      <c r="J184" s="11">
        <f t="shared" si="159"/>
        <v>0</v>
      </c>
      <c r="K184" s="11">
        <f t="shared" si="159"/>
        <v>0</v>
      </c>
      <c r="L184" s="11">
        <f t="shared" si="159"/>
        <v>0</v>
      </c>
      <c r="M184" s="11">
        <f t="shared" si="159"/>
        <v>0</v>
      </c>
      <c r="N184" s="11">
        <f t="shared" si="159"/>
        <v>0</v>
      </c>
      <c r="O184" s="11">
        <f t="shared" si="159"/>
        <v>0</v>
      </c>
      <c r="P184" s="11">
        <f t="shared" si="159"/>
        <v>0</v>
      </c>
      <c r="Q184" s="11">
        <f t="shared" si="159"/>
        <v>1</v>
      </c>
      <c r="R184" s="11">
        <f t="shared" si="159"/>
        <v>0</v>
      </c>
      <c r="S184" s="11">
        <f t="shared" si="159"/>
        <v>0</v>
      </c>
      <c r="T184" s="6">
        <f>DATASETS!D110</f>
        <v>839</v>
      </c>
      <c r="U184" s="37">
        <v>0</v>
      </c>
      <c r="V184" s="37">
        <v>3</v>
      </c>
      <c r="W184" s="37">
        <v>0</v>
      </c>
      <c r="X184" s="37">
        <v>0</v>
      </c>
      <c r="Y184" s="37">
        <v>4</v>
      </c>
      <c r="Z184" s="37">
        <v>0</v>
      </c>
      <c r="AA184" s="37">
        <v>2</v>
      </c>
      <c r="AB184" s="37">
        <v>1</v>
      </c>
      <c r="AC184" s="37">
        <v>0</v>
      </c>
      <c r="AD184" s="37">
        <v>0</v>
      </c>
      <c r="AE184" s="11">
        <f t="shared" si="107"/>
        <v>4</v>
      </c>
      <c r="AF184" s="11">
        <f t="shared" si="108"/>
        <v>3</v>
      </c>
      <c r="AG184" s="11">
        <f t="shared" si="109"/>
        <v>4</v>
      </c>
      <c r="AH184" s="11">
        <f t="shared" si="110"/>
        <v>3</v>
      </c>
      <c r="AI184" s="11">
        <f t="shared" si="111"/>
        <v>4</v>
      </c>
      <c r="AJ184" s="11">
        <f t="shared" si="112"/>
        <v>4</v>
      </c>
      <c r="AK184" s="11">
        <f t="shared" si="113"/>
        <v>4</v>
      </c>
      <c r="AL184" s="11">
        <f t="shared" si="114"/>
        <v>4</v>
      </c>
      <c r="AM184" s="11">
        <f t="shared" si="115"/>
        <v>4</v>
      </c>
      <c r="AN184" s="11">
        <f t="shared" si="116"/>
        <v>3</v>
      </c>
      <c r="AO184" s="35">
        <f t="shared" si="117"/>
        <v>920.9375</v>
      </c>
      <c r="AP184" s="35">
        <f t="shared" si="118"/>
        <v>879.5</v>
      </c>
      <c r="AQ184" s="35">
        <f t="shared" si="119"/>
        <v>800.71794871794873</v>
      </c>
      <c r="AR184" s="35">
        <f t="shared" si="120"/>
        <v>668.6</v>
      </c>
      <c r="AS184" s="35">
        <f t="shared" si="121"/>
        <v>938.71428571428567</v>
      </c>
      <c r="AT184" s="35">
        <f t="shared" si="122"/>
        <v>516.90476190476193</v>
      </c>
      <c r="AU184" s="35">
        <f t="shared" si="123"/>
        <v>763.24242424242425</v>
      </c>
      <c r="AV184" s="35">
        <f t="shared" si="124"/>
        <v>986.22580645161293</v>
      </c>
      <c r="AW184" s="35">
        <f t="shared" si="125"/>
        <v>838.3125</v>
      </c>
      <c r="AX184" s="35">
        <f t="shared" si="126"/>
        <v>889.97222222222217</v>
      </c>
      <c r="AY184" s="28">
        <f t="shared" si="127"/>
        <v>820.31274492532543</v>
      </c>
      <c r="AZ184" s="35">
        <f t="shared" si="128"/>
        <v>18.687255074674567</v>
      </c>
      <c r="BA184" s="35">
        <f t="shared" si="129"/>
        <v>18.687255074674567</v>
      </c>
      <c r="BB184" s="35">
        <f t="shared" si="130"/>
        <v>349.21350222595038</v>
      </c>
      <c r="BC184" s="35">
        <f t="shared" si="131"/>
        <v>1084499.7186792314</v>
      </c>
      <c r="BE184" s="37">
        <v>0</v>
      </c>
      <c r="BF184" s="37">
        <v>3</v>
      </c>
      <c r="BG184" s="37">
        <v>0</v>
      </c>
      <c r="BH184" s="37">
        <v>0</v>
      </c>
      <c r="BI184" s="37">
        <v>4</v>
      </c>
      <c r="BJ184" s="37">
        <v>0</v>
      </c>
      <c r="BK184" s="37">
        <v>2</v>
      </c>
      <c r="BL184" s="37">
        <v>1</v>
      </c>
      <c r="BM184" s="37">
        <v>0</v>
      </c>
      <c r="BN184" s="37">
        <v>0</v>
      </c>
      <c r="BO184" s="11">
        <f t="shared" si="132"/>
        <v>6</v>
      </c>
      <c r="BP184" s="11">
        <f t="shared" si="133"/>
        <v>7</v>
      </c>
      <c r="BQ184" s="11">
        <f t="shared" si="134"/>
        <v>6</v>
      </c>
      <c r="BR184" s="11">
        <f t="shared" si="135"/>
        <v>4</v>
      </c>
      <c r="BS184" s="11">
        <f t="shared" si="136"/>
        <v>4</v>
      </c>
      <c r="BT184" s="11">
        <f t="shared" si="137"/>
        <v>6</v>
      </c>
      <c r="BU184" s="11">
        <f t="shared" si="138"/>
        <v>3</v>
      </c>
      <c r="BV184" s="11">
        <f t="shared" si="139"/>
        <v>4</v>
      </c>
      <c r="BW184" s="11">
        <f t="shared" si="140"/>
        <v>6</v>
      </c>
      <c r="BX184" s="11">
        <f t="shared" si="141"/>
        <v>4</v>
      </c>
      <c r="BY184" s="35">
        <f t="shared" si="142"/>
        <v>1883.8695652173913</v>
      </c>
      <c r="BZ184" s="35">
        <f t="shared" si="143"/>
        <v>1290.3333333333333</v>
      </c>
      <c r="CA184" s="35">
        <f t="shared" si="144"/>
        <v>1415.8571428571429</v>
      </c>
      <c r="CB184" s="35">
        <f t="shared" si="145"/>
        <v>1067.3953488372092</v>
      </c>
      <c r="CC184" s="35">
        <f t="shared" si="146"/>
        <v>1186.5882352941176</v>
      </c>
      <c r="CD184" s="35">
        <f t="shared" si="147"/>
        <v>1283.8095238095239</v>
      </c>
      <c r="CE184" s="35">
        <f t="shared" si="148"/>
        <v>737.21875</v>
      </c>
      <c r="CF184" s="35">
        <f t="shared" si="149"/>
        <v>1130.5</v>
      </c>
      <c r="CG184" s="35">
        <f t="shared" si="150"/>
        <v>1803.9583333333333</v>
      </c>
      <c r="CH184" s="35">
        <f t="shared" si="151"/>
        <v>1071.409090909091</v>
      </c>
      <c r="CI184" s="28">
        <f t="shared" si="152"/>
        <v>1287.0939323591142</v>
      </c>
      <c r="CJ184" s="35">
        <f t="shared" si="153"/>
        <v>-448.09393235911421</v>
      </c>
      <c r="CK184" s="35">
        <f t="shared" si="154"/>
        <v>448.09393235911421</v>
      </c>
      <c r="CL184" s="35">
        <f t="shared" si="155"/>
        <v>200788.17221705441</v>
      </c>
      <c r="CM184" s="35">
        <f t="shared" si="156"/>
        <v>1084499.7186792314</v>
      </c>
    </row>
    <row r="185" spans="1:91" x14ac:dyDescent="0.3">
      <c r="A185" s="4" t="str">
        <f>DATASETS!A111</f>
        <v>DEL PAN</v>
      </c>
      <c r="B185" s="4" t="str">
        <f>DATASETS!E111</f>
        <v>Training</v>
      </c>
      <c r="C185" s="9">
        <f>DATASETS!C111</f>
        <v>102816</v>
      </c>
      <c r="D185" s="4">
        <f>DATASETS!B111</f>
        <v>2021</v>
      </c>
      <c r="E185" s="6">
        <f>DATASETS!I111</f>
        <v>839</v>
      </c>
      <c r="F185" s="9">
        <f>DATASETS!H111</f>
        <v>97</v>
      </c>
      <c r="G185" s="11">
        <f t="shared" si="159"/>
        <v>0</v>
      </c>
      <c r="H185" s="11">
        <f t="shared" si="159"/>
        <v>0</v>
      </c>
      <c r="I185" s="11">
        <f t="shared" si="159"/>
        <v>0</v>
      </c>
      <c r="J185" s="11">
        <f t="shared" si="159"/>
        <v>0</v>
      </c>
      <c r="K185" s="11">
        <f t="shared" si="159"/>
        <v>0</v>
      </c>
      <c r="L185" s="11">
        <f t="shared" si="159"/>
        <v>0</v>
      </c>
      <c r="M185" s="11">
        <f t="shared" si="159"/>
        <v>0</v>
      </c>
      <c r="N185" s="11">
        <f t="shared" si="159"/>
        <v>0</v>
      </c>
      <c r="O185" s="11">
        <f t="shared" si="159"/>
        <v>0</v>
      </c>
      <c r="P185" s="11">
        <f t="shared" si="159"/>
        <v>0</v>
      </c>
      <c r="Q185" s="11">
        <f t="shared" si="159"/>
        <v>1</v>
      </c>
      <c r="R185" s="11">
        <f t="shared" si="159"/>
        <v>0</v>
      </c>
      <c r="S185" s="11">
        <f t="shared" si="159"/>
        <v>0</v>
      </c>
      <c r="T185" s="6">
        <f>DATASETS!D111</f>
        <v>580</v>
      </c>
      <c r="U185" s="37">
        <v>1</v>
      </c>
      <c r="V185" s="37">
        <v>0</v>
      </c>
      <c r="W185" s="37">
        <v>1</v>
      </c>
      <c r="X185" s="37">
        <v>3</v>
      </c>
      <c r="Y185" s="37">
        <v>0</v>
      </c>
      <c r="Z185" s="37">
        <v>2</v>
      </c>
      <c r="AA185" s="37">
        <v>2</v>
      </c>
      <c r="AB185" s="37">
        <v>2</v>
      </c>
      <c r="AC185" s="37">
        <v>1</v>
      </c>
      <c r="AD185" s="37">
        <v>2</v>
      </c>
      <c r="AE185" s="11">
        <f t="shared" si="107"/>
        <v>4</v>
      </c>
      <c r="AF185" s="11">
        <f t="shared" si="108"/>
        <v>3</v>
      </c>
      <c r="AG185" s="11">
        <f t="shared" si="109"/>
        <v>4</v>
      </c>
      <c r="AH185" s="11">
        <f t="shared" si="110"/>
        <v>3</v>
      </c>
      <c r="AI185" s="11">
        <f t="shared" si="111"/>
        <v>4</v>
      </c>
      <c r="AJ185" s="11">
        <f t="shared" si="112"/>
        <v>3</v>
      </c>
      <c r="AK185" s="11">
        <f t="shared" si="113"/>
        <v>4</v>
      </c>
      <c r="AL185" s="11">
        <f t="shared" si="114"/>
        <v>4</v>
      </c>
      <c r="AM185" s="11">
        <f t="shared" si="115"/>
        <v>4</v>
      </c>
      <c r="AN185" s="11">
        <f t="shared" si="116"/>
        <v>3</v>
      </c>
      <c r="AO185" s="35">
        <f t="shared" si="117"/>
        <v>920.9375</v>
      </c>
      <c r="AP185" s="35">
        <f t="shared" si="118"/>
        <v>879.5</v>
      </c>
      <c r="AQ185" s="35">
        <f t="shared" si="119"/>
        <v>800.71794871794873</v>
      </c>
      <c r="AR185" s="35">
        <f t="shared" si="120"/>
        <v>668.6</v>
      </c>
      <c r="AS185" s="35">
        <f t="shared" si="121"/>
        <v>938.71428571428567</v>
      </c>
      <c r="AT185" s="35">
        <f t="shared" si="122"/>
        <v>730.06451612903231</v>
      </c>
      <c r="AU185" s="35">
        <f t="shared" si="123"/>
        <v>763.24242424242425</v>
      </c>
      <c r="AV185" s="35">
        <f t="shared" si="124"/>
        <v>986.22580645161293</v>
      </c>
      <c r="AW185" s="35">
        <f t="shared" si="125"/>
        <v>838.3125</v>
      </c>
      <c r="AX185" s="35">
        <f t="shared" si="126"/>
        <v>889.97222222222217</v>
      </c>
      <c r="AY185" s="28">
        <f t="shared" si="127"/>
        <v>841.62872034775251</v>
      </c>
      <c r="AZ185" s="35">
        <f t="shared" si="128"/>
        <v>-261.62872034775251</v>
      </c>
      <c r="BA185" s="35">
        <f t="shared" si="129"/>
        <v>261.62872034775251</v>
      </c>
      <c r="BB185" s="35">
        <f t="shared" si="130"/>
        <v>68449.587310802483</v>
      </c>
      <c r="BC185" s="35">
        <f t="shared" si="131"/>
        <v>1691022.3767988896</v>
      </c>
      <c r="BE185" s="37">
        <v>1</v>
      </c>
      <c r="BF185" s="37">
        <v>0</v>
      </c>
      <c r="BG185" s="37">
        <v>1</v>
      </c>
      <c r="BH185" s="37">
        <v>3</v>
      </c>
      <c r="BI185" s="37">
        <v>0</v>
      </c>
      <c r="BJ185" s="37">
        <v>2</v>
      </c>
      <c r="BK185" s="37">
        <v>2</v>
      </c>
      <c r="BL185" s="37">
        <v>2</v>
      </c>
      <c r="BM185" s="37">
        <v>1</v>
      </c>
      <c r="BN185" s="37">
        <v>2</v>
      </c>
      <c r="BO185" s="11">
        <f t="shared" si="132"/>
        <v>4</v>
      </c>
      <c r="BP185" s="11">
        <f t="shared" si="133"/>
        <v>4</v>
      </c>
      <c r="BQ185" s="11">
        <f t="shared" si="134"/>
        <v>4</v>
      </c>
      <c r="BR185" s="11">
        <f t="shared" si="135"/>
        <v>4</v>
      </c>
      <c r="BS185" s="11">
        <f t="shared" si="136"/>
        <v>4</v>
      </c>
      <c r="BT185" s="11">
        <f t="shared" si="137"/>
        <v>4</v>
      </c>
      <c r="BU185" s="11">
        <f t="shared" si="138"/>
        <v>3</v>
      </c>
      <c r="BV185" s="11">
        <f t="shared" si="139"/>
        <v>4</v>
      </c>
      <c r="BW185" s="11">
        <f t="shared" si="140"/>
        <v>4</v>
      </c>
      <c r="BX185" s="11">
        <f t="shared" si="141"/>
        <v>4</v>
      </c>
      <c r="BY185" s="35">
        <f t="shared" si="142"/>
        <v>1064.1818181818182</v>
      </c>
      <c r="BZ185" s="35">
        <f t="shared" si="143"/>
        <v>1019.8181818181819</v>
      </c>
      <c r="CA185" s="35">
        <f t="shared" si="144"/>
        <v>1010.6551724137931</v>
      </c>
      <c r="CB185" s="35">
        <f t="shared" si="145"/>
        <v>1067.3953488372092</v>
      </c>
      <c r="CC185" s="35">
        <f t="shared" si="146"/>
        <v>1186.5882352941176</v>
      </c>
      <c r="CD185" s="35">
        <f t="shared" si="147"/>
        <v>1025.608695652174</v>
      </c>
      <c r="CE185" s="35">
        <f t="shared" si="148"/>
        <v>737.21875</v>
      </c>
      <c r="CF185" s="35">
        <f t="shared" si="149"/>
        <v>1130.5</v>
      </c>
      <c r="CG185" s="35">
        <f t="shared" si="150"/>
        <v>1060.5135135135135</v>
      </c>
      <c r="CH185" s="35">
        <f t="shared" si="151"/>
        <v>1071.409090909091</v>
      </c>
      <c r="CI185" s="28">
        <f t="shared" si="152"/>
        <v>1037.38888066199</v>
      </c>
      <c r="CJ185" s="35">
        <f t="shared" si="153"/>
        <v>-457.38888066199002</v>
      </c>
      <c r="CK185" s="35">
        <f t="shared" si="154"/>
        <v>457.38888066199002</v>
      </c>
      <c r="CL185" s="35">
        <f t="shared" si="155"/>
        <v>209204.58815322813</v>
      </c>
      <c r="CM185" s="35">
        <f t="shared" si="156"/>
        <v>1691022.3767988896</v>
      </c>
    </row>
    <row r="186" spans="1:91" x14ac:dyDescent="0.3">
      <c r="A186" s="4" t="str">
        <f>DATASETS!A112</f>
        <v>DEL PAN</v>
      </c>
      <c r="B186" s="4" t="str">
        <f>DATASETS!E112</f>
        <v>Training</v>
      </c>
      <c r="C186" s="9">
        <f>DATASETS!C112</f>
        <v>98102</v>
      </c>
      <c r="D186" s="4">
        <f>DATASETS!B112</f>
        <v>2022</v>
      </c>
      <c r="E186" s="6">
        <f>DATASETS!I112</f>
        <v>580</v>
      </c>
      <c r="F186" s="9">
        <f>DATASETS!H112</f>
        <v>97</v>
      </c>
      <c r="G186" s="11">
        <f t="shared" si="159"/>
        <v>0</v>
      </c>
      <c r="H186" s="11">
        <f t="shared" si="159"/>
        <v>0</v>
      </c>
      <c r="I186" s="11">
        <f t="shared" si="159"/>
        <v>0</v>
      </c>
      <c r="J186" s="11">
        <f t="shared" si="159"/>
        <v>0</v>
      </c>
      <c r="K186" s="11">
        <f t="shared" si="159"/>
        <v>0</v>
      </c>
      <c r="L186" s="11">
        <f t="shared" si="159"/>
        <v>0</v>
      </c>
      <c r="M186" s="11">
        <f t="shared" si="159"/>
        <v>0</v>
      </c>
      <c r="N186" s="11">
        <f t="shared" si="159"/>
        <v>0</v>
      </c>
      <c r="O186" s="11">
        <f t="shared" si="159"/>
        <v>0</v>
      </c>
      <c r="P186" s="11">
        <f t="shared" si="159"/>
        <v>0</v>
      </c>
      <c r="Q186" s="11">
        <f t="shared" si="159"/>
        <v>1</v>
      </c>
      <c r="R186" s="11">
        <f t="shared" si="159"/>
        <v>0</v>
      </c>
      <c r="S186" s="11">
        <f t="shared" si="159"/>
        <v>0</v>
      </c>
      <c r="T186" s="6">
        <f>DATASETS!D112</f>
        <v>699</v>
      </c>
      <c r="U186" s="37">
        <v>0</v>
      </c>
      <c r="V186" s="37">
        <v>0</v>
      </c>
      <c r="W186" s="37">
        <v>1</v>
      </c>
      <c r="X186" s="37">
        <v>0</v>
      </c>
      <c r="Y186" s="37">
        <v>1</v>
      </c>
      <c r="Z186" s="37">
        <v>1</v>
      </c>
      <c r="AA186" s="37">
        <v>1</v>
      </c>
      <c r="AB186" s="37">
        <v>0</v>
      </c>
      <c r="AC186" s="37">
        <v>1</v>
      </c>
      <c r="AD186" s="37">
        <v>2</v>
      </c>
      <c r="AE186" s="11">
        <f t="shared" ref="AE186:AE215" si="160">IF($C186&lt;=$C$222,IF($C186&lt;=$E$222,IF($C186&lt;=$G$222,3,4),IF($C186&lt;=$M$222,6,7)),IF($C186&lt;=$S$222,9,IF($C186&lt;=$W$222,11,12)))</f>
        <v>4</v>
      </c>
      <c r="AF186" s="11">
        <f t="shared" ref="AF186:AF215" si="161">IF($C186&lt;=$C$223,IF($C186&lt;=$E$223,IF($C186&lt;=$G$223,3,4),IF($C186&lt;=$M$223,6,7)),IF($C186&lt;=$S$223,IF($C186&lt;=$U$223,10,11),IF($C186&lt;=$AA$223,13,14)))</f>
        <v>3</v>
      </c>
      <c r="AG186" s="11">
        <f t="shared" ref="AG186:AG215" si="162">IF($C186&lt;=$C$224,IF($C186&lt;=$E$224,IF($C186&lt;=$G$224,3,4),IF($C186&lt;=$M$224,6,7)),IF($C186&lt;=$S$224,IF($C186&lt;=$U$224,10,11),IF($C186&lt;=$AA$224,13,14)))</f>
        <v>4</v>
      </c>
      <c r="AH186" s="11">
        <f t="shared" ref="AH186:AH215" si="163">IF($C186&lt;=$C$225,IF($C186&lt;=$E$225,IF($C186&lt;=$G$225,3,4),IF($C186&lt;=$M$225,6,7)),IF($C186&lt;=$S$225,IF($C186&lt;=$U$225,10,11),IF($C186&lt;=$AA$225,13,14)))</f>
        <v>3</v>
      </c>
      <c r="AI186" s="11">
        <f t="shared" ref="AI186:AI215" si="164">IF($C186&lt;=$C$226,IF($C186&lt;=$E$226,IF($C186&lt;=$G$226,3,4),IF($C186&lt;=$M$226,6,7)),IF($C186&lt;=$S$226,9,IF($C186&lt;=$W$226,11,12)))</f>
        <v>3</v>
      </c>
      <c r="AJ186" s="11">
        <f t="shared" ref="AJ186:AJ215" si="165">IF($C186&lt;=$C$227,IF($C186&lt;=$E$227,IF($C186&lt;=$G$227,3,4),IF($C186&lt;=$M$227,6,7)),IF($C186&lt;=$S$227,IF($C186&lt;=$U$227,10,11),IF($C186&lt;=$AA$227,13,14)))</f>
        <v>3</v>
      </c>
      <c r="AK186" s="11">
        <f t="shared" ref="AK186:AK215" si="166">IF($C186&lt;=$C$228,IF($C186&lt;=$E$228,IF($C186&lt;=$G$228,3,4),IF($C186&lt;=$M$228,6,7)),IF($C186&lt;=$S$228,9,IF($C186&lt;=$W$228,11,12)))</f>
        <v>4</v>
      </c>
      <c r="AL186" s="11">
        <f t="shared" ref="AL186:AL215" si="167">IF($C186&lt;=$C$229,IF($C186&lt;=$E$229,IF($C186&lt;=$G$229,3,4),IF($C186&lt;=$M$229,6,7)),IF($C186&lt;=$S$229,IF($C186&lt;=$U$229,10,11),IF($C186&lt;=$AA$229,13,14)))</f>
        <v>3</v>
      </c>
      <c r="AM186" s="11">
        <f t="shared" ref="AM186:AM215" si="168">IF($C186&lt;=$C$230,IF($C186&lt;=$E$230,IF($C186&lt;=$G$230,3,4),IF($C186&lt;=$M$230,6,7)),IF($C186&lt;=$S$230,9,IF($C186&lt;=$W$230,11,12)))</f>
        <v>4</v>
      </c>
      <c r="AN186" s="11">
        <f t="shared" ref="AN186:AN215" si="169">IF($C186&lt;=$C$231,IF($C186&lt;=$E$231,IF($C186&lt;=$G$231,3,4),IF($C186&lt;=$M$231,6,7)),IF($C186&lt;=$S$231,IF($C186&lt;=$U$231,10,11),IF($C186&lt;=$AA$231,13,14)))</f>
        <v>3</v>
      </c>
      <c r="AO186" s="35">
        <f t="shared" ref="AO186:AO215" si="170">INDEX($B$235:$P$235,1,AE186+1)</f>
        <v>920.9375</v>
      </c>
      <c r="AP186" s="35">
        <f t="shared" ref="AP186:AP215" si="171">INDEX($B$236:$P$236,1,AF186+1)</f>
        <v>879.5</v>
      </c>
      <c r="AQ186" s="35">
        <f t="shared" ref="AQ186:AQ215" si="172">INDEX($B$237:$P$237,1,AG186+1)</f>
        <v>800.71794871794873</v>
      </c>
      <c r="AR186" s="35">
        <f t="shared" ref="AR186:AR215" si="173">INDEX($B$238:$P$238,1,AH186+1)</f>
        <v>668.6</v>
      </c>
      <c r="AS186" s="35">
        <f t="shared" ref="AS186:AS215" si="174">INDEX($B$239:$P$239,1,AI186+1)</f>
        <v>609.80952380952385</v>
      </c>
      <c r="AT186" s="35">
        <f t="shared" ref="AT186:AT215" si="175">INDEX($B$240:$P$240,1,AJ186+1)</f>
        <v>730.06451612903231</v>
      </c>
      <c r="AU186" s="35">
        <f t="shared" ref="AU186:AU215" si="176">INDEX($B$241:$P$241,1,AK186+1)</f>
        <v>763.24242424242425</v>
      </c>
      <c r="AV186" s="35">
        <f t="shared" ref="AV186:AV215" si="177">INDEX($B$242:$P$242,1,AL186+1)</f>
        <v>703.24</v>
      </c>
      <c r="AW186" s="35">
        <f t="shared" ref="AW186:AW215" si="178">INDEX($B$243:$P$243,1,AM186+1)</f>
        <v>838.3125</v>
      </c>
      <c r="AX186" s="35">
        <f t="shared" ref="AX186:AX215" si="179">INDEX($B$244:$P$244,1,AN186+1)</f>
        <v>889.97222222222217</v>
      </c>
      <c r="AY186" s="28">
        <f t="shared" ref="AY186:AY215" si="180">AVERAGE(AO186:AX186)</f>
        <v>780.43966351211509</v>
      </c>
      <c r="AZ186" s="35">
        <f t="shared" ref="AZ186:AZ215" si="181">$T186-AY186</f>
        <v>-81.439663512115089</v>
      </c>
      <c r="BA186" s="35">
        <f t="shared" ref="BA186:BA215" si="182">ABS(AZ186)</f>
        <v>81.439663512115089</v>
      </c>
      <c r="BB186" s="35">
        <f t="shared" ref="BB186:BB215" si="183">AZ186^2</f>
        <v>6632.4187929665295</v>
      </c>
      <c r="BC186" s="35">
        <f t="shared" ref="BC186:BC215" si="184">($T186-AVERAGE($T$90:$T$206))^2</f>
        <v>1395689.8041493169</v>
      </c>
      <c r="BE186" s="37">
        <v>0</v>
      </c>
      <c r="BF186" s="37">
        <v>0</v>
      </c>
      <c r="BG186" s="37">
        <v>1</v>
      </c>
      <c r="BH186" s="37">
        <v>0</v>
      </c>
      <c r="BI186" s="37">
        <v>1</v>
      </c>
      <c r="BJ186" s="37">
        <v>1</v>
      </c>
      <c r="BK186" s="37">
        <v>1</v>
      </c>
      <c r="BL186" s="37">
        <v>0</v>
      </c>
      <c r="BM186" s="37">
        <v>1</v>
      </c>
      <c r="BN186" s="37">
        <v>2</v>
      </c>
      <c r="BO186" s="11">
        <f t="shared" ref="BO186:BO215" si="185">IF($E186&lt;=$C$250,IF($E186&lt;=$E$250,IF($E186&lt;=$G$250,3,4),IF($C186&lt;=$M$250,6,7)),IF($C186&lt;=$S$250,9,IF($D186&lt;=$W$250,11,12)))</f>
        <v>3</v>
      </c>
      <c r="BP186" s="11">
        <f t="shared" ref="BP186:BP215" si="186">IF($E186&lt;=$C$251,IF($E186&lt;=$E$251,IF($E186&lt;=$G$251,3,4),IF($D186&lt;=$M$251,6,7)),IF($E186&lt;=$S$251,IF($E186&lt;=$U$251,10,11),IF($C186&lt;=$AA$251,13,14)))</f>
        <v>3</v>
      </c>
      <c r="BQ186" s="11">
        <f t="shared" ref="BQ186:BQ215" si="187">IF($E186&lt;=$C$252,IF($E186&lt;=$E$252,IF($E186&lt;=$G$252,3,4),IF($C186&lt;=$M$252,6,7)),IF($E186&lt;=$S$252,9,IF($C186&lt;=$W$252,11,12)))</f>
        <v>3</v>
      </c>
      <c r="BR186" s="11">
        <f t="shared" ref="BR186:BR215" si="188">IF($E186&lt;=$C$253,IF($E186&lt;=$E$253,IF($E186&lt;=$G$253,3,4),IF($C186&lt;=$M$253,6,7)),IF($H186&lt;=$S$253,9,10))</f>
        <v>3</v>
      </c>
      <c r="BS186" s="11">
        <f t="shared" ref="BS186:BS215" si="189">IF($E186&lt;=$C$254,IF($E186&lt;=$E$254,IF($E186&lt;=$G$254,3,4),IF($E186&lt;=$M$254,6,7)),IF($C186&lt;=$S$254,9,10))</f>
        <v>3</v>
      </c>
      <c r="BT186" s="11">
        <f t="shared" ref="BT186:BT215" si="190">IF($E186&lt;=$C$255,IF($E186&lt;=$E$255,IF($E186&lt;=$G$255,3,4),IF($E186&lt;=$M$255,6,7)),IF($E186&lt;=$S$255,IF($E186&lt;=$U$255,10,11),12))</f>
        <v>3</v>
      </c>
      <c r="BU186" s="11">
        <f t="shared" ref="BU186:BU215" si="191">IF($E186&lt;=$C$256,IF($E186&lt;=$E$256,IF($M186&lt;=$G$256,3,4),IF($C186&lt;=$M$256,6,7)),IF($E186&lt;=$S$256,IF($E186&lt;=$U$256,10,11),IF($C186&lt;=$AA$256,13,14)))</f>
        <v>3</v>
      </c>
      <c r="BV186" s="11">
        <f t="shared" ref="BV186:BV215" si="192">IF($E186&lt;=$C$257,IF($E186&lt;=$E$257,IF($E186&lt;=$G$257,3,4),IF($D186&lt;=$M$257,6,7)),IF($E186&lt;=$S$257,IF($E186&lt;=$U$257,10,11),12))</f>
        <v>3</v>
      </c>
      <c r="BW186" s="11">
        <f t="shared" ref="BW186:BW215" si="193">IF($E186&lt;=$C$258,IF($E186&lt;=$E$258,IF($E186&lt;=$G$258,3,4),IF($C186&lt;=$M$258,6,7)),IF($E186&lt;=$S$258,9,10))</f>
        <v>3</v>
      </c>
      <c r="BX186" s="11">
        <f t="shared" ref="BX186:BX215" si="194">IF($E186&lt;=$C$259,IF($E186&lt;=$E$259,IF($E186&lt;=$G$259,3,4),IF($E186&lt;=$M$259,6,7)),IF($C186&lt;=$S$259,9,10))</f>
        <v>3</v>
      </c>
      <c r="BY186" s="35">
        <f t="shared" ref="BY186:BY215" si="195">INDEX($B$263:$P$263,1,BO186+1)</f>
        <v>526.31578947368416</v>
      </c>
      <c r="BZ186" s="35">
        <f t="shared" ref="BZ186:BZ215" si="196">INDEX($B$264:$P$264,1,BP186+1)</f>
        <v>549.21428571428567</v>
      </c>
      <c r="CA186" s="35">
        <f t="shared" ref="CA186:CA215" si="197">INDEX($B$265:$P$265,1,BQ186+1)</f>
        <v>431.78571428571428</v>
      </c>
      <c r="CB186" s="35">
        <f t="shared" ref="CB186:CB215" si="198">INDEX($B$266:$P$266,1,BR186+1)</f>
        <v>468.77777777777777</v>
      </c>
      <c r="CC186" s="35">
        <f t="shared" ref="CC186:CC215" si="199">INDEX($B$267:$P$267,1,BS186+1)</f>
        <v>493.23809523809524</v>
      </c>
      <c r="CD186" s="35">
        <f t="shared" ref="CD186:CD215" si="200">INDEX($B$268:$P$268,1,BT186+1)</f>
        <v>501.72972972972974</v>
      </c>
      <c r="CE186" s="35">
        <f t="shared" ref="CE186:CE215" si="201">INDEX($B$269:$P$269,1,BU186+1)</f>
        <v>737.21875</v>
      </c>
      <c r="CF186" s="35">
        <f t="shared" ref="CF186:CF215" si="202">INDEX($B$270:$P$270,1,BV186+1)</f>
        <v>454.56</v>
      </c>
      <c r="CG186" s="35">
        <f t="shared" ref="CG186:CG215" si="203">INDEX($B$271:$P$271,1,BW186+1)</f>
        <v>490.4848484848485</v>
      </c>
      <c r="CH186" s="35">
        <f t="shared" ref="CH186:CH215" si="204">INDEX($B$272:$P$272,1,BX186+1)</f>
        <v>453.52</v>
      </c>
      <c r="CI186" s="28">
        <f t="shared" ref="CI186:CI215" si="205">AVERAGE(BY186:CH186)</f>
        <v>510.68449907041361</v>
      </c>
      <c r="CJ186" s="35">
        <f t="shared" ref="CJ186:CJ215" si="206">$T186-CI186</f>
        <v>188.31550092958639</v>
      </c>
      <c r="CK186" s="35">
        <f t="shared" ref="CK186:CK215" si="207">ABS(CJ186)</f>
        <v>188.31550092958639</v>
      </c>
      <c r="CL186" s="35">
        <f t="shared" ref="CL186:CL215" si="208">CJ186^2</f>
        <v>35462.727890361057</v>
      </c>
      <c r="CM186" s="35">
        <f t="shared" ref="CM186:CM215" si="209">($T186-AVERAGE($T$90:$T$206))^2</f>
        <v>1395689.8041493169</v>
      </c>
    </row>
    <row r="187" spans="1:91" x14ac:dyDescent="0.3">
      <c r="A187" s="4" t="str">
        <f>DATASETS!A113</f>
        <v>DEL PAN</v>
      </c>
      <c r="B187" s="4" t="str">
        <f>DATASETS!E113</f>
        <v>Training</v>
      </c>
      <c r="C187" s="9">
        <f>DATASETS!C113</f>
        <v>104615</v>
      </c>
      <c r="D187" s="4">
        <f>DATASETS!B113</f>
        <v>2023</v>
      </c>
      <c r="E187" s="6">
        <f>DATASETS!I113</f>
        <v>699</v>
      </c>
      <c r="F187" s="9">
        <f>DATASETS!H113</f>
        <v>97</v>
      </c>
      <c r="G187" s="11">
        <f t="shared" si="159"/>
        <v>0</v>
      </c>
      <c r="H187" s="11">
        <f t="shared" si="159"/>
        <v>0</v>
      </c>
      <c r="I187" s="11">
        <f t="shared" si="159"/>
        <v>0</v>
      </c>
      <c r="J187" s="11">
        <f t="shared" si="159"/>
        <v>0</v>
      </c>
      <c r="K187" s="11">
        <f t="shared" si="159"/>
        <v>0</v>
      </c>
      <c r="L187" s="11">
        <f t="shared" si="159"/>
        <v>0</v>
      </c>
      <c r="M187" s="11">
        <f t="shared" si="159"/>
        <v>0</v>
      </c>
      <c r="N187" s="11">
        <f t="shared" si="159"/>
        <v>0</v>
      </c>
      <c r="O187" s="11">
        <f t="shared" si="159"/>
        <v>0</v>
      </c>
      <c r="P187" s="11">
        <f t="shared" si="159"/>
        <v>0</v>
      </c>
      <c r="Q187" s="11">
        <f t="shared" si="159"/>
        <v>1</v>
      </c>
      <c r="R187" s="11">
        <f t="shared" si="159"/>
        <v>0</v>
      </c>
      <c r="S187" s="11">
        <f t="shared" si="159"/>
        <v>0</v>
      </c>
      <c r="T187" s="6">
        <f>DATASETS!D113</f>
        <v>634</v>
      </c>
      <c r="U187" s="37">
        <v>1</v>
      </c>
      <c r="V187" s="37">
        <v>1</v>
      </c>
      <c r="W187" s="37">
        <v>0</v>
      </c>
      <c r="X187" s="37">
        <v>0</v>
      </c>
      <c r="Y187" s="37">
        <v>1</v>
      </c>
      <c r="Z187" s="37">
        <v>1</v>
      </c>
      <c r="AA187" s="37">
        <v>2</v>
      </c>
      <c r="AB187" s="37">
        <v>0</v>
      </c>
      <c r="AC187" s="37">
        <v>0</v>
      </c>
      <c r="AD187" s="37">
        <v>2</v>
      </c>
      <c r="AE187" s="11">
        <f t="shared" si="160"/>
        <v>4</v>
      </c>
      <c r="AF187" s="11">
        <f t="shared" si="161"/>
        <v>3</v>
      </c>
      <c r="AG187" s="11">
        <f t="shared" si="162"/>
        <v>4</v>
      </c>
      <c r="AH187" s="11">
        <f t="shared" si="163"/>
        <v>3</v>
      </c>
      <c r="AI187" s="11">
        <f t="shared" si="164"/>
        <v>4</v>
      </c>
      <c r="AJ187" s="11">
        <f t="shared" si="165"/>
        <v>3</v>
      </c>
      <c r="AK187" s="11">
        <f t="shared" si="166"/>
        <v>4</v>
      </c>
      <c r="AL187" s="11">
        <f t="shared" si="167"/>
        <v>4</v>
      </c>
      <c r="AM187" s="11">
        <f t="shared" si="168"/>
        <v>4</v>
      </c>
      <c r="AN187" s="11">
        <f t="shared" si="169"/>
        <v>3</v>
      </c>
      <c r="AO187" s="35">
        <f t="shared" si="170"/>
        <v>920.9375</v>
      </c>
      <c r="AP187" s="35">
        <f t="shared" si="171"/>
        <v>879.5</v>
      </c>
      <c r="AQ187" s="35">
        <f t="shared" si="172"/>
        <v>800.71794871794873</v>
      </c>
      <c r="AR187" s="35">
        <f t="shared" si="173"/>
        <v>668.6</v>
      </c>
      <c r="AS187" s="35">
        <f t="shared" si="174"/>
        <v>938.71428571428567</v>
      </c>
      <c r="AT187" s="35">
        <f t="shared" si="175"/>
        <v>730.06451612903231</v>
      </c>
      <c r="AU187" s="35">
        <f t="shared" si="176"/>
        <v>763.24242424242425</v>
      </c>
      <c r="AV187" s="35">
        <f t="shared" si="177"/>
        <v>986.22580645161293</v>
      </c>
      <c r="AW187" s="35">
        <f t="shared" si="178"/>
        <v>838.3125</v>
      </c>
      <c r="AX187" s="35">
        <f t="shared" si="179"/>
        <v>889.97222222222217</v>
      </c>
      <c r="AY187" s="28">
        <f t="shared" si="180"/>
        <v>841.62872034775251</v>
      </c>
      <c r="AZ187" s="35">
        <f t="shared" si="181"/>
        <v>-207.62872034775251</v>
      </c>
      <c r="BA187" s="35">
        <f t="shared" si="182"/>
        <v>207.62872034775251</v>
      </c>
      <c r="BB187" s="35">
        <f t="shared" si="183"/>
        <v>43109.685513245218</v>
      </c>
      <c r="BC187" s="35">
        <f t="shared" si="184"/>
        <v>1553495.9152604281</v>
      </c>
      <c r="BE187" s="37">
        <v>1</v>
      </c>
      <c r="BF187" s="37">
        <v>1</v>
      </c>
      <c r="BG187" s="37">
        <v>0</v>
      </c>
      <c r="BH187" s="37">
        <v>0</v>
      </c>
      <c r="BI187" s="37">
        <v>1</v>
      </c>
      <c r="BJ187" s="37">
        <v>1</v>
      </c>
      <c r="BK187" s="37">
        <v>2</v>
      </c>
      <c r="BL187" s="37">
        <v>0</v>
      </c>
      <c r="BM187" s="37">
        <v>0</v>
      </c>
      <c r="BN187" s="37">
        <v>2</v>
      </c>
      <c r="BO187" s="11">
        <f t="shared" si="185"/>
        <v>3</v>
      </c>
      <c r="BP187" s="11">
        <f t="shared" si="186"/>
        <v>4</v>
      </c>
      <c r="BQ187" s="11">
        <f t="shared" si="187"/>
        <v>4</v>
      </c>
      <c r="BR187" s="11">
        <f t="shared" si="188"/>
        <v>3</v>
      </c>
      <c r="BS187" s="11">
        <f t="shared" si="189"/>
        <v>3</v>
      </c>
      <c r="BT187" s="11">
        <f t="shared" si="190"/>
        <v>3</v>
      </c>
      <c r="BU187" s="11">
        <f t="shared" si="191"/>
        <v>3</v>
      </c>
      <c r="BV187" s="11">
        <f t="shared" si="192"/>
        <v>3</v>
      </c>
      <c r="BW187" s="11">
        <f t="shared" si="193"/>
        <v>3</v>
      </c>
      <c r="BX187" s="11">
        <f t="shared" si="194"/>
        <v>4</v>
      </c>
      <c r="BY187" s="35">
        <f t="shared" si="195"/>
        <v>526.31578947368416</v>
      </c>
      <c r="BZ187" s="35">
        <f t="shared" si="196"/>
        <v>1019.8181818181819</v>
      </c>
      <c r="CA187" s="35">
        <f t="shared" si="197"/>
        <v>1010.6551724137931</v>
      </c>
      <c r="CB187" s="35">
        <f t="shared" si="198"/>
        <v>468.77777777777777</v>
      </c>
      <c r="CC187" s="35">
        <f t="shared" si="199"/>
        <v>493.23809523809524</v>
      </c>
      <c r="CD187" s="35">
        <f t="shared" si="200"/>
        <v>501.72972972972974</v>
      </c>
      <c r="CE187" s="35">
        <f t="shared" si="201"/>
        <v>737.21875</v>
      </c>
      <c r="CF187" s="35">
        <f t="shared" si="202"/>
        <v>454.56</v>
      </c>
      <c r="CG187" s="35">
        <f t="shared" si="203"/>
        <v>490.4848484848485</v>
      </c>
      <c r="CH187" s="35">
        <f t="shared" si="204"/>
        <v>1071.409090909091</v>
      </c>
      <c r="CI187" s="28">
        <f t="shared" si="205"/>
        <v>677.42074358452021</v>
      </c>
      <c r="CJ187" s="35">
        <f t="shared" si="206"/>
        <v>-43.42074358452021</v>
      </c>
      <c r="CK187" s="35">
        <f t="shared" si="207"/>
        <v>43.42074358452021</v>
      </c>
      <c r="CL187" s="35">
        <f t="shared" si="208"/>
        <v>1885.3609734326531</v>
      </c>
      <c r="CM187" s="35">
        <f t="shared" si="209"/>
        <v>1553495.9152604281</v>
      </c>
    </row>
    <row r="188" spans="1:91" x14ac:dyDescent="0.3">
      <c r="A188" s="4" t="str">
        <f>DATASETS!A114</f>
        <v>DEL PAN</v>
      </c>
      <c r="B188" s="4" t="str">
        <f>DATASETS!E114</f>
        <v>Training</v>
      </c>
      <c r="C188" s="9">
        <f>DATASETS!C114</f>
        <v>116325</v>
      </c>
      <c r="D188" s="4">
        <f>DATASETS!B114</f>
        <v>2024</v>
      </c>
      <c r="E188" s="6">
        <f>DATASETS!I114</f>
        <v>634</v>
      </c>
      <c r="F188" s="9">
        <f>DATASETS!H114</f>
        <v>97</v>
      </c>
      <c r="G188" s="11">
        <f t="shared" si="159"/>
        <v>0</v>
      </c>
      <c r="H188" s="11">
        <f t="shared" si="159"/>
        <v>0</v>
      </c>
      <c r="I188" s="11">
        <f t="shared" si="159"/>
        <v>0</v>
      </c>
      <c r="J188" s="11">
        <f t="shared" si="159"/>
        <v>0</v>
      </c>
      <c r="K188" s="11">
        <f t="shared" si="159"/>
        <v>0</v>
      </c>
      <c r="L188" s="11">
        <f t="shared" si="159"/>
        <v>0</v>
      </c>
      <c r="M188" s="11">
        <f t="shared" si="159"/>
        <v>0</v>
      </c>
      <c r="N188" s="11">
        <f t="shared" si="159"/>
        <v>0</v>
      </c>
      <c r="O188" s="11">
        <f t="shared" si="159"/>
        <v>0</v>
      </c>
      <c r="P188" s="11">
        <f t="shared" si="159"/>
        <v>0</v>
      </c>
      <c r="Q188" s="11">
        <f t="shared" si="159"/>
        <v>1</v>
      </c>
      <c r="R188" s="11">
        <f t="shared" si="159"/>
        <v>0</v>
      </c>
      <c r="S188" s="11">
        <f t="shared" si="159"/>
        <v>0</v>
      </c>
      <c r="T188" s="6">
        <f>DATASETS!D114</f>
        <v>660</v>
      </c>
      <c r="U188" s="37">
        <v>0</v>
      </c>
      <c r="V188" s="37">
        <v>1</v>
      </c>
      <c r="W188" s="37">
        <v>1</v>
      </c>
      <c r="X188" s="37">
        <v>0</v>
      </c>
      <c r="Y188" s="37">
        <v>0</v>
      </c>
      <c r="Z188" s="37">
        <v>1</v>
      </c>
      <c r="AA188" s="37">
        <v>2</v>
      </c>
      <c r="AB188" s="37">
        <v>3</v>
      </c>
      <c r="AC188" s="37">
        <v>2</v>
      </c>
      <c r="AD188" s="37">
        <v>0</v>
      </c>
      <c r="AE188" s="11">
        <f t="shared" si="160"/>
        <v>4</v>
      </c>
      <c r="AF188" s="11">
        <f t="shared" si="161"/>
        <v>3</v>
      </c>
      <c r="AG188" s="11">
        <f t="shared" si="162"/>
        <v>4</v>
      </c>
      <c r="AH188" s="11">
        <f t="shared" si="163"/>
        <v>4</v>
      </c>
      <c r="AI188" s="11">
        <f t="shared" si="164"/>
        <v>4</v>
      </c>
      <c r="AJ188" s="11">
        <f t="shared" si="165"/>
        <v>4</v>
      </c>
      <c r="AK188" s="11">
        <f t="shared" si="166"/>
        <v>4</v>
      </c>
      <c r="AL188" s="11">
        <f t="shared" si="167"/>
        <v>4</v>
      </c>
      <c r="AM188" s="11">
        <f t="shared" si="168"/>
        <v>4</v>
      </c>
      <c r="AN188" s="11">
        <f t="shared" si="169"/>
        <v>4</v>
      </c>
      <c r="AO188" s="35">
        <f t="shared" si="170"/>
        <v>920.9375</v>
      </c>
      <c r="AP188" s="35">
        <f t="shared" si="171"/>
        <v>879.5</v>
      </c>
      <c r="AQ188" s="35">
        <f t="shared" si="172"/>
        <v>800.71794871794873</v>
      </c>
      <c r="AR188" s="35">
        <f t="shared" si="173"/>
        <v>1087.8888888888889</v>
      </c>
      <c r="AS188" s="35">
        <f t="shared" si="174"/>
        <v>938.71428571428567</v>
      </c>
      <c r="AT188" s="35">
        <f t="shared" si="175"/>
        <v>516.90476190476193</v>
      </c>
      <c r="AU188" s="35">
        <f t="shared" si="176"/>
        <v>763.24242424242425</v>
      </c>
      <c r="AV188" s="35">
        <f t="shared" si="177"/>
        <v>986.22580645161293</v>
      </c>
      <c r="AW188" s="35">
        <f t="shared" si="178"/>
        <v>838.3125</v>
      </c>
      <c r="AX188" s="35">
        <f t="shared" si="179"/>
        <v>556.0625</v>
      </c>
      <c r="AY188" s="28">
        <f t="shared" si="180"/>
        <v>828.85066159199232</v>
      </c>
      <c r="AZ188" s="35">
        <f t="shared" si="181"/>
        <v>-168.85066159199232</v>
      </c>
      <c r="BA188" s="35">
        <f t="shared" si="182"/>
        <v>168.85066159199232</v>
      </c>
      <c r="BB188" s="35">
        <f t="shared" si="183"/>
        <v>28510.545920053512</v>
      </c>
      <c r="BC188" s="35">
        <f t="shared" si="184"/>
        <v>1489359.4708159836</v>
      </c>
      <c r="BE188" s="37">
        <v>0</v>
      </c>
      <c r="BF188" s="37">
        <v>1</v>
      </c>
      <c r="BG188" s="37">
        <v>1</v>
      </c>
      <c r="BH188" s="37">
        <v>0</v>
      </c>
      <c r="BI188" s="37">
        <v>0</v>
      </c>
      <c r="BJ188" s="37">
        <v>1</v>
      </c>
      <c r="BK188" s="37">
        <v>2</v>
      </c>
      <c r="BL188" s="37">
        <v>3</v>
      </c>
      <c r="BM188" s="37">
        <v>2</v>
      </c>
      <c r="BN188" s="37">
        <v>0</v>
      </c>
      <c r="BO188" s="11">
        <f t="shared" si="185"/>
        <v>3</v>
      </c>
      <c r="BP188" s="11">
        <f t="shared" si="186"/>
        <v>3</v>
      </c>
      <c r="BQ188" s="11">
        <f t="shared" si="187"/>
        <v>3</v>
      </c>
      <c r="BR188" s="11">
        <f t="shared" si="188"/>
        <v>3</v>
      </c>
      <c r="BS188" s="11">
        <f t="shared" si="189"/>
        <v>3</v>
      </c>
      <c r="BT188" s="11">
        <f t="shared" si="190"/>
        <v>3</v>
      </c>
      <c r="BU188" s="11">
        <f t="shared" si="191"/>
        <v>3</v>
      </c>
      <c r="BV188" s="11">
        <f t="shared" si="192"/>
        <v>3</v>
      </c>
      <c r="BW188" s="11">
        <f t="shared" si="193"/>
        <v>3</v>
      </c>
      <c r="BX188" s="11">
        <f t="shared" si="194"/>
        <v>3</v>
      </c>
      <c r="BY188" s="35">
        <f t="shared" si="195"/>
        <v>526.31578947368416</v>
      </c>
      <c r="BZ188" s="35">
        <f t="shared" si="196"/>
        <v>549.21428571428567</v>
      </c>
      <c r="CA188" s="35">
        <f t="shared" si="197"/>
        <v>431.78571428571428</v>
      </c>
      <c r="CB188" s="35">
        <f t="shared" si="198"/>
        <v>468.77777777777777</v>
      </c>
      <c r="CC188" s="35">
        <f t="shared" si="199"/>
        <v>493.23809523809524</v>
      </c>
      <c r="CD188" s="35">
        <f t="shared" si="200"/>
        <v>501.72972972972974</v>
      </c>
      <c r="CE188" s="35">
        <f t="shared" si="201"/>
        <v>737.21875</v>
      </c>
      <c r="CF188" s="35">
        <f t="shared" si="202"/>
        <v>454.56</v>
      </c>
      <c r="CG188" s="35">
        <f t="shared" si="203"/>
        <v>490.4848484848485</v>
      </c>
      <c r="CH188" s="35">
        <f t="shared" si="204"/>
        <v>453.52</v>
      </c>
      <c r="CI188" s="28">
        <f t="shared" si="205"/>
        <v>510.68449907041361</v>
      </c>
      <c r="CJ188" s="35">
        <f t="shared" si="206"/>
        <v>149.31550092958639</v>
      </c>
      <c r="CK188" s="35">
        <f t="shared" si="207"/>
        <v>149.31550092958639</v>
      </c>
      <c r="CL188" s="35">
        <f t="shared" si="208"/>
        <v>22295.118817853316</v>
      </c>
      <c r="CM188" s="35">
        <f t="shared" si="209"/>
        <v>1489359.4708159836</v>
      </c>
    </row>
    <row r="189" spans="1:91" x14ac:dyDescent="0.3">
      <c r="A189" s="4" t="str">
        <f>DATASETS!A116</f>
        <v>MARCOS HIGHWAY</v>
      </c>
      <c r="B189" s="4" t="str">
        <f>DATASETS!E116</f>
        <v>Training</v>
      </c>
      <c r="C189" s="9">
        <f>DATASETS!C116</f>
        <v>153626</v>
      </c>
      <c r="D189" s="4">
        <f>DATASETS!B116</f>
        <v>2016</v>
      </c>
      <c r="E189" s="6">
        <f>DATASETS!I116</f>
        <v>837</v>
      </c>
      <c r="F189" s="9">
        <f>DATASETS!H116</f>
        <v>705</v>
      </c>
      <c r="G189" s="11">
        <f t="shared" si="159"/>
        <v>0</v>
      </c>
      <c r="H189" s="11">
        <f t="shared" si="159"/>
        <v>0</v>
      </c>
      <c r="I189" s="11">
        <f t="shared" si="159"/>
        <v>0</v>
      </c>
      <c r="J189" s="11">
        <f t="shared" si="159"/>
        <v>0</v>
      </c>
      <c r="K189" s="11">
        <f t="shared" si="159"/>
        <v>0</v>
      </c>
      <c r="L189" s="11">
        <f t="shared" si="159"/>
        <v>0</v>
      </c>
      <c r="M189" s="11">
        <f t="shared" si="159"/>
        <v>0</v>
      </c>
      <c r="N189" s="11">
        <f t="shared" si="159"/>
        <v>0</v>
      </c>
      <c r="O189" s="11">
        <f t="shared" si="159"/>
        <v>0</v>
      </c>
      <c r="P189" s="11">
        <f t="shared" si="159"/>
        <v>0</v>
      </c>
      <c r="Q189" s="11">
        <f t="shared" si="159"/>
        <v>0</v>
      </c>
      <c r="R189" s="11">
        <f t="shared" si="159"/>
        <v>1</v>
      </c>
      <c r="S189" s="11">
        <f t="shared" si="159"/>
        <v>0</v>
      </c>
      <c r="T189" s="6">
        <f>DATASETS!D116</f>
        <v>1320</v>
      </c>
      <c r="U189" s="37">
        <v>0</v>
      </c>
      <c r="V189" s="37">
        <v>3</v>
      </c>
      <c r="W189" s="37">
        <v>0</v>
      </c>
      <c r="X189" s="37">
        <v>2</v>
      </c>
      <c r="Y189" s="37">
        <v>2</v>
      </c>
      <c r="Z189" s="37">
        <v>4</v>
      </c>
      <c r="AA189" s="37">
        <v>1</v>
      </c>
      <c r="AB189" s="37">
        <v>1</v>
      </c>
      <c r="AC189" s="37">
        <v>1</v>
      </c>
      <c r="AD189" s="37">
        <v>3</v>
      </c>
      <c r="AE189" s="11">
        <f t="shared" si="160"/>
        <v>6</v>
      </c>
      <c r="AF189" s="11">
        <f t="shared" si="161"/>
        <v>6</v>
      </c>
      <c r="AG189" s="11">
        <f t="shared" si="162"/>
        <v>6</v>
      </c>
      <c r="AH189" s="11">
        <f t="shared" si="163"/>
        <v>6</v>
      </c>
      <c r="AI189" s="11">
        <f t="shared" si="164"/>
        <v>7</v>
      </c>
      <c r="AJ189" s="11">
        <f t="shared" si="165"/>
        <v>6</v>
      </c>
      <c r="AK189" s="11">
        <f t="shared" si="166"/>
        <v>6</v>
      </c>
      <c r="AL189" s="11">
        <f t="shared" si="167"/>
        <v>6</v>
      </c>
      <c r="AM189" s="11">
        <f t="shared" si="168"/>
        <v>6</v>
      </c>
      <c r="AN189" s="11">
        <f t="shared" si="169"/>
        <v>6</v>
      </c>
      <c r="AO189" s="35">
        <f t="shared" si="170"/>
        <v>1533.2941176470588</v>
      </c>
      <c r="AP189" s="35">
        <f t="shared" si="171"/>
        <v>1722.05</v>
      </c>
      <c r="AQ189" s="35">
        <f t="shared" si="172"/>
        <v>2078.2666666666669</v>
      </c>
      <c r="AR189" s="35">
        <f t="shared" si="173"/>
        <v>1627.9428571428571</v>
      </c>
      <c r="AS189" s="35">
        <f t="shared" si="174"/>
        <v>1820.9230769230769</v>
      </c>
      <c r="AT189" s="35">
        <f t="shared" si="175"/>
        <v>1681.7307692307693</v>
      </c>
      <c r="AU189" s="35">
        <f t="shared" si="176"/>
        <v>1434.4848484848485</v>
      </c>
      <c r="AV189" s="35">
        <f t="shared" si="177"/>
        <v>1642.45</v>
      </c>
      <c r="AW189" s="35">
        <f t="shared" si="178"/>
        <v>1284.25</v>
      </c>
      <c r="AX189" s="35">
        <f t="shared" si="179"/>
        <v>1526.8421052631579</v>
      </c>
      <c r="AY189" s="28">
        <f t="shared" si="180"/>
        <v>1635.2234441358437</v>
      </c>
      <c r="AZ189" s="35">
        <f t="shared" si="181"/>
        <v>-315.22344413584369</v>
      </c>
      <c r="BA189" s="35">
        <f t="shared" si="182"/>
        <v>315.22344413584369</v>
      </c>
      <c r="BB189" s="35">
        <f t="shared" si="183"/>
        <v>99365.819732863369</v>
      </c>
      <c r="BC189" s="35">
        <f t="shared" si="184"/>
        <v>314040.49645700923</v>
      </c>
      <c r="BE189" s="37">
        <v>0</v>
      </c>
      <c r="BF189" s="37">
        <v>3</v>
      </c>
      <c r="BG189" s="37">
        <v>0</v>
      </c>
      <c r="BH189" s="37">
        <v>2</v>
      </c>
      <c r="BI189" s="37">
        <v>2</v>
      </c>
      <c r="BJ189" s="37">
        <v>4</v>
      </c>
      <c r="BK189" s="37">
        <v>1</v>
      </c>
      <c r="BL189" s="37">
        <v>1</v>
      </c>
      <c r="BM189" s="37">
        <v>1</v>
      </c>
      <c r="BN189" s="37">
        <v>3</v>
      </c>
      <c r="BO189" s="11">
        <f t="shared" si="185"/>
        <v>4</v>
      </c>
      <c r="BP189" s="11">
        <f t="shared" si="186"/>
        <v>4</v>
      </c>
      <c r="BQ189" s="11">
        <f t="shared" si="187"/>
        <v>4</v>
      </c>
      <c r="BR189" s="11">
        <f t="shared" si="188"/>
        <v>4</v>
      </c>
      <c r="BS189" s="11">
        <f t="shared" si="189"/>
        <v>4</v>
      </c>
      <c r="BT189" s="11">
        <f t="shared" si="190"/>
        <v>4</v>
      </c>
      <c r="BU189" s="11">
        <f t="shared" si="191"/>
        <v>3</v>
      </c>
      <c r="BV189" s="11">
        <f t="shared" si="192"/>
        <v>4</v>
      </c>
      <c r="BW189" s="11">
        <f t="shared" si="193"/>
        <v>4</v>
      </c>
      <c r="BX189" s="11">
        <f t="shared" si="194"/>
        <v>4</v>
      </c>
      <c r="BY189" s="35">
        <f t="shared" si="195"/>
        <v>1064.1818181818182</v>
      </c>
      <c r="BZ189" s="35">
        <f t="shared" si="196"/>
        <v>1019.8181818181819</v>
      </c>
      <c r="CA189" s="35">
        <f t="shared" si="197"/>
        <v>1010.6551724137931</v>
      </c>
      <c r="CB189" s="35">
        <f t="shared" si="198"/>
        <v>1067.3953488372092</v>
      </c>
      <c r="CC189" s="35">
        <f t="shared" si="199"/>
        <v>1186.5882352941176</v>
      </c>
      <c r="CD189" s="35">
        <f t="shared" si="200"/>
        <v>1025.608695652174</v>
      </c>
      <c r="CE189" s="35">
        <f t="shared" si="201"/>
        <v>737.21875</v>
      </c>
      <c r="CF189" s="35">
        <f t="shared" si="202"/>
        <v>1130.5</v>
      </c>
      <c r="CG189" s="35">
        <f t="shared" si="203"/>
        <v>1060.5135135135135</v>
      </c>
      <c r="CH189" s="35">
        <f t="shared" si="204"/>
        <v>1071.409090909091</v>
      </c>
      <c r="CI189" s="28">
        <f t="shared" si="205"/>
        <v>1037.38888066199</v>
      </c>
      <c r="CJ189" s="35">
        <f t="shared" si="206"/>
        <v>282.61111933800998</v>
      </c>
      <c r="CK189" s="35">
        <f t="shared" si="207"/>
        <v>282.61111933800998</v>
      </c>
      <c r="CL189" s="35">
        <f t="shared" si="208"/>
        <v>79869.044773482921</v>
      </c>
      <c r="CM189" s="35">
        <f t="shared" si="209"/>
        <v>314040.49645700923</v>
      </c>
    </row>
    <row r="190" spans="1:91" x14ac:dyDescent="0.3">
      <c r="A190" s="4" t="str">
        <f>DATASETS!A117</f>
        <v>MARCOS HIGHWAY</v>
      </c>
      <c r="B190" s="4" t="str">
        <f>DATASETS!E117</f>
        <v>Training</v>
      </c>
      <c r="C190" s="9">
        <f>DATASETS!C117</f>
        <v>162662</v>
      </c>
      <c r="D190" s="4">
        <f>DATASETS!B117</f>
        <v>2017</v>
      </c>
      <c r="E190" s="6">
        <f>DATASETS!I117</f>
        <v>1320</v>
      </c>
      <c r="F190" s="9">
        <f>DATASETS!H117</f>
        <v>705</v>
      </c>
      <c r="G190" s="11">
        <f t="shared" ref="G190:S199" si="210">IF($A190=G$88,1,0)</f>
        <v>0</v>
      </c>
      <c r="H190" s="11">
        <f t="shared" si="210"/>
        <v>0</v>
      </c>
      <c r="I190" s="11">
        <f t="shared" si="210"/>
        <v>0</v>
      </c>
      <c r="J190" s="11">
        <f t="shared" si="210"/>
        <v>0</v>
      </c>
      <c r="K190" s="11">
        <f t="shared" si="210"/>
        <v>0</v>
      </c>
      <c r="L190" s="11">
        <f t="shared" si="210"/>
        <v>0</v>
      </c>
      <c r="M190" s="11">
        <f t="shared" si="210"/>
        <v>0</v>
      </c>
      <c r="N190" s="11">
        <f t="shared" si="210"/>
        <v>0</v>
      </c>
      <c r="O190" s="11">
        <f t="shared" si="210"/>
        <v>0</v>
      </c>
      <c r="P190" s="11">
        <f t="shared" si="210"/>
        <v>0</v>
      </c>
      <c r="Q190" s="11">
        <f t="shared" si="210"/>
        <v>0</v>
      </c>
      <c r="R190" s="11">
        <f t="shared" si="210"/>
        <v>1</v>
      </c>
      <c r="S190" s="11">
        <f t="shared" si="210"/>
        <v>0</v>
      </c>
      <c r="T190" s="6">
        <f>DATASETS!D117</f>
        <v>688</v>
      </c>
      <c r="U190" s="37">
        <v>1</v>
      </c>
      <c r="V190" s="37">
        <v>0</v>
      </c>
      <c r="W190" s="37">
        <v>0</v>
      </c>
      <c r="X190" s="37">
        <v>1</v>
      </c>
      <c r="Y190" s="37">
        <v>0</v>
      </c>
      <c r="Z190" s="37">
        <v>2</v>
      </c>
      <c r="AA190" s="37">
        <v>3</v>
      </c>
      <c r="AB190" s="37">
        <v>0</v>
      </c>
      <c r="AC190" s="37">
        <v>3</v>
      </c>
      <c r="AD190" s="37">
        <v>3</v>
      </c>
      <c r="AE190" s="11">
        <f t="shared" si="160"/>
        <v>6</v>
      </c>
      <c r="AF190" s="11">
        <f t="shared" si="161"/>
        <v>6</v>
      </c>
      <c r="AG190" s="11">
        <f t="shared" si="162"/>
        <v>6</v>
      </c>
      <c r="AH190" s="11">
        <f t="shared" si="163"/>
        <v>6</v>
      </c>
      <c r="AI190" s="11">
        <f t="shared" si="164"/>
        <v>7</v>
      </c>
      <c r="AJ190" s="11">
        <f t="shared" si="165"/>
        <v>6</v>
      </c>
      <c r="AK190" s="11">
        <f t="shared" si="166"/>
        <v>6</v>
      </c>
      <c r="AL190" s="11">
        <f t="shared" si="167"/>
        <v>6</v>
      </c>
      <c r="AM190" s="11">
        <f t="shared" si="168"/>
        <v>6</v>
      </c>
      <c r="AN190" s="11">
        <f t="shared" si="169"/>
        <v>6</v>
      </c>
      <c r="AO190" s="35">
        <f t="shared" si="170"/>
        <v>1533.2941176470588</v>
      </c>
      <c r="AP190" s="35">
        <f t="shared" si="171"/>
        <v>1722.05</v>
      </c>
      <c r="AQ190" s="35">
        <f t="shared" si="172"/>
        <v>2078.2666666666669</v>
      </c>
      <c r="AR190" s="35">
        <f t="shared" si="173"/>
        <v>1627.9428571428571</v>
      </c>
      <c r="AS190" s="35">
        <f t="shared" si="174"/>
        <v>1820.9230769230769</v>
      </c>
      <c r="AT190" s="35">
        <f t="shared" si="175"/>
        <v>1681.7307692307693</v>
      </c>
      <c r="AU190" s="35">
        <f t="shared" si="176"/>
        <v>1434.4848484848485</v>
      </c>
      <c r="AV190" s="35">
        <f t="shared" si="177"/>
        <v>1642.45</v>
      </c>
      <c r="AW190" s="35">
        <f t="shared" si="178"/>
        <v>1284.25</v>
      </c>
      <c r="AX190" s="35">
        <f t="shared" si="179"/>
        <v>1526.8421052631579</v>
      </c>
      <c r="AY190" s="28">
        <f t="shared" si="180"/>
        <v>1635.2234441358437</v>
      </c>
      <c r="AZ190" s="35">
        <f t="shared" si="181"/>
        <v>-947.22344413584369</v>
      </c>
      <c r="BA190" s="35">
        <f t="shared" si="182"/>
        <v>947.22344413584369</v>
      </c>
      <c r="BB190" s="35">
        <f t="shared" si="183"/>
        <v>897232.25312056975</v>
      </c>
      <c r="BC190" s="35">
        <f t="shared" si="184"/>
        <v>1421801.4537219664</v>
      </c>
      <c r="BE190" s="37">
        <v>1</v>
      </c>
      <c r="BF190" s="37">
        <v>0</v>
      </c>
      <c r="BG190" s="37">
        <v>0</v>
      </c>
      <c r="BH190" s="37">
        <v>1</v>
      </c>
      <c r="BI190" s="37">
        <v>0</v>
      </c>
      <c r="BJ190" s="37">
        <v>2</v>
      </c>
      <c r="BK190" s="37">
        <v>3</v>
      </c>
      <c r="BL190" s="37">
        <v>0</v>
      </c>
      <c r="BM190" s="37">
        <v>3</v>
      </c>
      <c r="BN190" s="37">
        <v>3</v>
      </c>
      <c r="BO190" s="11">
        <f t="shared" si="185"/>
        <v>4</v>
      </c>
      <c r="BP190" s="11">
        <f t="shared" si="186"/>
        <v>6</v>
      </c>
      <c r="BQ190" s="11">
        <f t="shared" si="187"/>
        <v>4</v>
      </c>
      <c r="BR190" s="11">
        <f t="shared" si="188"/>
        <v>4</v>
      </c>
      <c r="BS190" s="11">
        <f t="shared" si="189"/>
        <v>4</v>
      </c>
      <c r="BT190" s="11">
        <f t="shared" si="190"/>
        <v>6</v>
      </c>
      <c r="BU190" s="11">
        <f t="shared" si="191"/>
        <v>3</v>
      </c>
      <c r="BV190" s="11">
        <f t="shared" si="192"/>
        <v>4</v>
      </c>
      <c r="BW190" s="11">
        <f t="shared" si="193"/>
        <v>4</v>
      </c>
      <c r="BX190" s="11">
        <f t="shared" si="194"/>
        <v>4</v>
      </c>
      <c r="BY190" s="35">
        <f t="shared" si="195"/>
        <v>1064.1818181818182</v>
      </c>
      <c r="BZ190" s="35">
        <f t="shared" si="196"/>
        <v>2135.1666666666665</v>
      </c>
      <c r="CA190" s="35">
        <f t="shared" si="197"/>
        <v>1010.6551724137931</v>
      </c>
      <c r="CB190" s="35">
        <f t="shared" si="198"/>
        <v>1067.3953488372092</v>
      </c>
      <c r="CC190" s="35">
        <f t="shared" si="199"/>
        <v>1186.5882352941176</v>
      </c>
      <c r="CD190" s="35">
        <f t="shared" si="200"/>
        <v>1283.8095238095239</v>
      </c>
      <c r="CE190" s="35">
        <f t="shared" si="201"/>
        <v>737.21875</v>
      </c>
      <c r="CF190" s="35">
        <f t="shared" si="202"/>
        <v>1130.5</v>
      </c>
      <c r="CG190" s="35">
        <f t="shared" si="203"/>
        <v>1060.5135135135135</v>
      </c>
      <c r="CH190" s="35">
        <f t="shared" si="204"/>
        <v>1071.409090909091</v>
      </c>
      <c r="CI190" s="28">
        <f t="shared" si="205"/>
        <v>1174.7438119625735</v>
      </c>
      <c r="CJ190" s="35">
        <f t="shared" si="206"/>
        <v>-486.74381196257355</v>
      </c>
      <c r="CK190" s="35">
        <f t="shared" si="207"/>
        <v>486.74381196257355</v>
      </c>
      <c r="CL190" s="35">
        <f t="shared" si="208"/>
        <v>236919.53848385715</v>
      </c>
      <c r="CM190" s="35">
        <f t="shared" si="209"/>
        <v>1421801.4537219664</v>
      </c>
    </row>
    <row r="191" spans="1:91" x14ac:dyDescent="0.3">
      <c r="A191" s="4" t="str">
        <f>DATASETS!A118</f>
        <v>MARCOS HIGHWAY</v>
      </c>
      <c r="B191" s="4" t="str">
        <f>DATASETS!E118</f>
        <v>Training</v>
      </c>
      <c r="C191" s="9">
        <f>DATASETS!C118</f>
        <v>178214</v>
      </c>
      <c r="D191" s="4">
        <f>DATASETS!B118</f>
        <v>2018</v>
      </c>
      <c r="E191" s="6">
        <f>DATASETS!I118</f>
        <v>688</v>
      </c>
      <c r="F191" s="9">
        <f>DATASETS!H118</f>
        <v>705</v>
      </c>
      <c r="G191" s="11">
        <f t="shared" si="210"/>
        <v>0</v>
      </c>
      <c r="H191" s="11">
        <f t="shared" si="210"/>
        <v>0</v>
      </c>
      <c r="I191" s="11">
        <f t="shared" si="210"/>
        <v>0</v>
      </c>
      <c r="J191" s="11">
        <f t="shared" si="210"/>
        <v>0</v>
      </c>
      <c r="K191" s="11">
        <f t="shared" si="210"/>
        <v>0</v>
      </c>
      <c r="L191" s="11">
        <f t="shared" si="210"/>
        <v>0</v>
      </c>
      <c r="M191" s="11">
        <f t="shared" si="210"/>
        <v>0</v>
      </c>
      <c r="N191" s="11">
        <f t="shared" si="210"/>
        <v>0</v>
      </c>
      <c r="O191" s="11">
        <f t="shared" si="210"/>
        <v>0</v>
      </c>
      <c r="P191" s="11">
        <f t="shared" si="210"/>
        <v>0</v>
      </c>
      <c r="Q191" s="11">
        <f t="shared" si="210"/>
        <v>0</v>
      </c>
      <c r="R191" s="11">
        <f t="shared" si="210"/>
        <v>1</v>
      </c>
      <c r="S191" s="11">
        <f t="shared" si="210"/>
        <v>0</v>
      </c>
      <c r="T191" s="6">
        <f>DATASETS!D118</f>
        <v>1332</v>
      </c>
      <c r="U191" s="37">
        <v>1</v>
      </c>
      <c r="V191" s="37">
        <v>2</v>
      </c>
      <c r="W191" s="37">
        <v>1</v>
      </c>
      <c r="X191" s="37">
        <v>1</v>
      </c>
      <c r="Y191" s="37">
        <v>0</v>
      </c>
      <c r="Z191" s="37">
        <v>0</v>
      </c>
      <c r="AA191" s="37">
        <v>2</v>
      </c>
      <c r="AB191" s="37">
        <v>0</v>
      </c>
      <c r="AC191" s="37">
        <v>0</v>
      </c>
      <c r="AD191" s="37">
        <v>2</v>
      </c>
      <c r="AE191" s="11">
        <f t="shared" si="160"/>
        <v>6</v>
      </c>
      <c r="AF191" s="11">
        <f t="shared" si="161"/>
        <v>7</v>
      </c>
      <c r="AG191" s="11">
        <f t="shared" si="162"/>
        <v>6</v>
      </c>
      <c r="AH191" s="11">
        <f t="shared" si="163"/>
        <v>6</v>
      </c>
      <c r="AI191" s="11">
        <f t="shared" si="164"/>
        <v>7</v>
      </c>
      <c r="AJ191" s="11">
        <f t="shared" si="165"/>
        <v>6</v>
      </c>
      <c r="AK191" s="11">
        <f t="shared" si="166"/>
        <v>6</v>
      </c>
      <c r="AL191" s="11">
        <f t="shared" si="167"/>
        <v>6</v>
      </c>
      <c r="AM191" s="11">
        <f t="shared" si="168"/>
        <v>7</v>
      </c>
      <c r="AN191" s="11">
        <f t="shared" si="169"/>
        <v>6</v>
      </c>
      <c r="AO191" s="35">
        <f t="shared" si="170"/>
        <v>1533.2941176470588</v>
      </c>
      <c r="AP191" s="35">
        <f t="shared" si="171"/>
        <v>1396.0454545454545</v>
      </c>
      <c r="AQ191" s="35">
        <f t="shared" si="172"/>
        <v>2078.2666666666669</v>
      </c>
      <c r="AR191" s="35">
        <f t="shared" si="173"/>
        <v>1627.9428571428571</v>
      </c>
      <c r="AS191" s="35">
        <f t="shared" si="174"/>
        <v>1820.9230769230769</v>
      </c>
      <c r="AT191" s="35">
        <f t="shared" si="175"/>
        <v>1681.7307692307693</v>
      </c>
      <c r="AU191" s="35">
        <f t="shared" si="176"/>
        <v>1434.4848484848485</v>
      </c>
      <c r="AV191" s="35">
        <f t="shared" si="177"/>
        <v>1642.45</v>
      </c>
      <c r="AW191" s="35">
        <f t="shared" si="178"/>
        <v>1715.36</v>
      </c>
      <c r="AX191" s="35">
        <f t="shared" si="179"/>
        <v>1526.8421052631579</v>
      </c>
      <c r="AY191" s="28">
        <f t="shared" si="180"/>
        <v>1645.733989590389</v>
      </c>
      <c r="AZ191" s="35">
        <f t="shared" si="181"/>
        <v>-313.733989590389</v>
      </c>
      <c r="BA191" s="35">
        <f t="shared" si="182"/>
        <v>313.733989590389</v>
      </c>
      <c r="BB191" s="35">
        <f t="shared" si="183"/>
        <v>98429.016224302308</v>
      </c>
      <c r="BC191" s="35">
        <f t="shared" si="184"/>
        <v>300735.06055957335</v>
      </c>
      <c r="BE191" s="37">
        <v>1</v>
      </c>
      <c r="BF191" s="37">
        <v>2</v>
      </c>
      <c r="BG191" s="37">
        <v>1</v>
      </c>
      <c r="BH191" s="37">
        <v>1</v>
      </c>
      <c r="BI191" s="37">
        <v>0</v>
      </c>
      <c r="BJ191" s="37">
        <v>0</v>
      </c>
      <c r="BK191" s="37">
        <v>2</v>
      </c>
      <c r="BL191" s="37">
        <v>0</v>
      </c>
      <c r="BM191" s="37">
        <v>0</v>
      </c>
      <c r="BN191" s="37">
        <v>2</v>
      </c>
      <c r="BO191" s="11">
        <f t="shared" si="185"/>
        <v>3</v>
      </c>
      <c r="BP191" s="11">
        <f t="shared" si="186"/>
        <v>4</v>
      </c>
      <c r="BQ191" s="11">
        <f t="shared" si="187"/>
        <v>4</v>
      </c>
      <c r="BR191" s="11">
        <f t="shared" si="188"/>
        <v>3</v>
      </c>
      <c r="BS191" s="11">
        <f t="shared" si="189"/>
        <v>3</v>
      </c>
      <c r="BT191" s="11">
        <f t="shared" si="190"/>
        <v>3</v>
      </c>
      <c r="BU191" s="11">
        <f t="shared" si="191"/>
        <v>3</v>
      </c>
      <c r="BV191" s="11">
        <f t="shared" si="192"/>
        <v>3</v>
      </c>
      <c r="BW191" s="11">
        <f t="shared" si="193"/>
        <v>3</v>
      </c>
      <c r="BX191" s="11">
        <f t="shared" si="194"/>
        <v>4</v>
      </c>
      <c r="BY191" s="35">
        <f t="shared" si="195"/>
        <v>526.31578947368416</v>
      </c>
      <c r="BZ191" s="35">
        <f t="shared" si="196"/>
        <v>1019.8181818181819</v>
      </c>
      <c r="CA191" s="35">
        <f t="shared" si="197"/>
        <v>1010.6551724137931</v>
      </c>
      <c r="CB191" s="35">
        <f t="shared" si="198"/>
        <v>468.77777777777777</v>
      </c>
      <c r="CC191" s="35">
        <f t="shared" si="199"/>
        <v>493.23809523809524</v>
      </c>
      <c r="CD191" s="35">
        <f t="shared" si="200"/>
        <v>501.72972972972974</v>
      </c>
      <c r="CE191" s="35">
        <f t="shared" si="201"/>
        <v>737.21875</v>
      </c>
      <c r="CF191" s="35">
        <f t="shared" si="202"/>
        <v>454.56</v>
      </c>
      <c r="CG191" s="35">
        <f t="shared" si="203"/>
        <v>490.4848484848485</v>
      </c>
      <c r="CH191" s="35">
        <f t="shared" si="204"/>
        <v>1071.409090909091</v>
      </c>
      <c r="CI191" s="28">
        <f t="shared" si="205"/>
        <v>677.42074358452021</v>
      </c>
      <c r="CJ191" s="35">
        <f t="shared" si="206"/>
        <v>654.57925641547979</v>
      </c>
      <c r="CK191" s="35">
        <f t="shared" si="207"/>
        <v>654.57925641547979</v>
      </c>
      <c r="CL191" s="35">
        <f t="shared" si="208"/>
        <v>428474.00292944245</v>
      </c>
      <c r="CM191" s="35">
        <f t="shared" si="209"/>
        <v>300735.06055957335</v>
      </c>
    </row>
    <row r="192" spans="1:91" x14ac:dyDescent="0.3">
      <c r="A192" s="4" t="str">
        <f>DATASETS!A119</f>
        <v>MARCOS HIGHWAY</v>
      </c>
      <c r="B192" s="4" t="str">
        <f>DATASETS!E119</f>
        <v>Training</v>
      </c>
      <c r="C192" s="9">
        <f>DATASETS!C119</f>
        <v>221360</v>
      </c>
      <c r="D192" s="4">
        <f>DATASETS!B119</f>
        <v>2019</v>
      </c>
      <c r="E192" s="6">
        <f>DATASETS!I119</f>
        <v>1332</v>
      </c>
      <c r="F192" s="9">
        <f>DATASETS!H119</f>
        <v>705</v>
      </c>
      <c r="G192" s="11">
        <f t="shared" si="210"/>
        <v>0</v>
      </c>
      <c r="H192" s="11">
        <f t="shared" si="210"/>
        <v>0</v>
      </c>
      <c r="I192" s="11">
        <f t="shared" si="210"/>
        <v>0</v>
      </c>
      <c r="J192" s="11">
        <f t="shared" si="210"/>
        <v>0</v>
      </c>
      <c r="K192" s="11">
        <f t="shared" si="210"/>
        <v>0</v>
      </c>
      <c r="L192" s="11">
        <f t="shared" si="210"/>
        <v>0</v>
      </c>
      <c r="M192" s="11">
        <f t="shared" si="210"/>
        <v>0</v>
      </c>
      <c r="N192" s="11">
        <f t="shared" si="210"/>
        <v>0</v>
      </c>
      <c r="O192" s="11">
        <f t="shared" si="210"/>
        <v>0</v>
      </c>
      <c r="P192" s="11">
        <f t="shared" si="210"/>
        <v>0</v>
      </c>
      <c r="Q192" s="11">
        <f t="shared" si="210"/>
        <v>0</v>
      </c>
      <c r="R192" s="11">
        <f t="shared" si="210"/>
        <v>1</v>
      </c>
      <c r="S192" s="11">
        <f t="shared" si="210"/>
        <v>0</v>
      </c>
      <c r="T192" s="6">
        <f>DATASETS!D119</f>
        <v>1321</v>
      </c>
      <c r="U192" s="37">
        <v>0</v>
      </c>
      <c r="V192" s="37">
        <v>0</v>
      </c>
      <c r="W192" s="37">
        <v>0</v>
      </c>
      <c r="X192" s="37">
        <v>1</v>
      </c>
      <c r="Y192" s="37">
        <v>3</v>
      </c>
      <c r="Z192" s="37">
        <v>5</v>
      </c>
      <c r="AA192" s="37">
        <v>0</v>
      </c>
      <c r="AB192" s="37">
        <v>0</v>
      </c>
      <c r="AC192" s="37">
        <v>2</v>
      </c>
      <c r="AD192" s="37">
        <v>0</v>
      </c>
      <c r="AE192" s="11">
        <f t="shared" si="160"/>
        <v>9</v>
      </c>
      <c r="AF192" s="11">
        <f t="shared" si="161"/>
        <v>10</v>
      </c>
      <c r="AG192" s="11">
        <f t="shared" si="162"/>
        <v>11</v>
      </c>
      <c r="AH192" s="11">
        <f t="shared" si="163"/>
        <v>11</v>
      </c>
      <c r="AI192" s="11">
        <f t="shared" si="164"/>
        <v>11</v>
      </c>
      <c r="AJ192" s="11">
        <f t="shared" si="165"/>
        <v>11</v>
      </c>
      <c r="AK192" s="11">
        <f t="shared" si="166"/>
        <v>11</v>
      </c>
      <c r="AL192" s="11">
        <f t="shared" si="167"/>
        <v>10</v>
      </c>
      <c r="AM192" s="11">
        <f t="shared" si="168"/>
        <v>7</v>
      </c>
      <c r="AN192" s="11">
        <f t="shared" si="169"/>
        <v>10</v>
      </c>
      <c r="AO192" s="35">
        <f t="shared" si="170"/>
        <v>4308.1428571428569</v>
      </c>
      <c r="AP192" s="35">
        <f t="shared" si="171"/>
        <v>4547</v>
      </c>
      <c r="AQ192" s="35">
        <f t="shared" si="172"/>
        <v>953.16666666666663</v>
      </c>
      <c r="AR192" s="35">
        <f t="shared" si="173"/>
        <v>5356.5</v>
      </c>
      <c r="AS192" s="35">
        <f t="shared" si="174"/>
        <v>960.18181818181813</v>
      </c>
      <c r="AT192" s="35">
        <f t="shared" si="175"/>
        <v>1861.4285714285713</v>
      </c>
      <c r="AU192" s="35">
        <f t="shared" si="176"/>
        <v>1263.8333333333333</v>
      </c>
      <c r="AV192" s="35">
        <f t="shared" si="177"/>
        <v>6311.666666666667</v>
      </c>
      <c r="AW192" s="35">
        <f t="shared" si="178"/>
        <v>1715.36</v>
      </c>
      <c r="AX192" s="35">
        <f t="shared" si="179"/>
        <v>3516.5</v>
      </c>
      <c r="AY192" s="28">
        <f t="shared" si="180"/>
        <v>3079.3779913419912</v>
      </c>
      <c r="AZ192" s="35">
        <f t="shared" si="181"/>
        <v>-1758.3779913419912</v>
      </c>
      <c r="BA192" s="35">
        <f t="shared" si="182"/>
        <v>1758.3779913419912</v>
      </c>
      <c r="BB192" s="35">
        <f t="shared" si="183"/>
        <v>3091893.1604358959</v>
      </c>
      <c r="BC192" s="35">
        <f t="shared" si="184"/>
        <v>312920.71013222291</v>
      </c>
      <c r="BE192" s="37">
        <v>0</v>
      </c>
      <c r="BF192" s="37">
        <v>0</v>
      </c>
      <c r="BG192" s="37">
        <v>0</v>
      </c>
      <c r="BH192" s="37">
        <v>1</v>
      </c>
      <c r="BI192" s="37">
        <v>3</v>
      </c>
      <c r="BJ192" s="37">
        <v>5</v>
      </c>
      <c r="BK192" s="37">
        <v>0</v>
      </c>
      <c r="BL192" s="37">
        <v>0</v>
      </c>
      <c r="BM192" s="37">
        <v>2</v>
      </c>
      <c r="BN192" s="37">
        <v>0</v>
      </c>
      <c r="BO192" s="11">
        <f t="shared" si="185"/>
        <v>4</v>
      </c>
      <c r="BP192" s="11">
        <f t="shared" si="186"/>
        <v>6</v>
      </c>
      <c r="BQ192" s="11">
        <f t="shared" si="187"/>
        <v>4</v>
      </c>
      <c r="BR192" s="11">
        <f t="shared" si="188"/>
        <v>4</v>
      </c>
      <c r="BS192" s="11">
        <f t="shared" si="189"/>
        <v>4</v>
      </c>
      <c r="BT192" s="11">
        <f t="shared" si="190"/>
        <v>6</v>
      </c>
      <c r="BU192" s="11">
        <f t="shared" si="191"/>
        <v>3</v>
      </c>
      <c r="BV192" s="11">
        <f t="shared" si="192"/>
        <v>4</v>
      </c>
      <c r="BW192" s="11">
        <f t="shared" si="193"/>
        <v>4</v>
      </c>
      <c r="BX192" s="11">
        <f t="shared" si="194"/>
        <v>4</v>
      </c>
      <c r="BY192" s="35">
        <f t="shared" si="195"/>
        <v>1064.1818181818182</v>
      </c>
      <c r="BZ192" s="35">
        <f t="shared" si="196"/>
        <v>2135.1666666666665</v>
      </c>
      <c r="CA192" s="35">
        <f t="shared" si="197"/>
        <v>1010.6551724137931</v>
      </c>
      <c r="CB192" s="35">
        <f t="shared" si="198"/>
        <v>1067.3953488372092</v>
      </c>
      <c r="CC192" s="35">
        <f t="shared" si="199"/>
        <v>1186.5882352941176</v>
      </c>
      <c r="CD192" s="35">
        <f t="shared" si="200"/>
        <v>1283.8095238095239</v>
      </c>
      <c r="CE192" s="35">
        <f t="shared" si="201"/>
        <v>737.21875</v>
      </c>
      <c r="CF192" s="35">
        <f t="shared" si="202"/>
        <v>1130.5</v>
      </c>
      <c r="CG192" s="35">
        <f t="shared" si="203"/>
        <v>1060.5135135135135</v>
      </c>
      <c r="CH192" s="35">
        <f t="shared" si="204"/>
        <v>1071.409090909091</v>
      </c>
      <c r="CI192" s="28">
        <f t="shared" si="205"/>
        <v>1174.7438119625735</v>
      </c>
      <c r="CJ192" s="35">
        <f t="shared" si="206"/>
        <v>146.25618803742645</v>
      </c>
      <c r="CK192" s="35">
        <f t="shared" si="207"/>
        <v>146.25618803742645</v>
      </c>
      <c r="CL192" s="35">
        <f t="shared" si="208"/>
        <v>21390.872539239044</v>
      </c>
      <c r="CM192" s="35">
        <f t="shared" si="209"/>
        <v>312920.71013222291</v>
      </c>
    </row>
    <row r="193" spans="1:91" x14ac:dyDescent="0.3">
      <c r="A193" s="4" t="str">
        <f>DATASETS!A120</f>
        <v>MARCOS HIGHWAY</v>
      </c>
      <c r="B193" s="4" t="str">
        <f>DATASETS!E120</f>
        <v>Training</v>
      </c>
      <c r="C193" s="9">
        <f>DATASETS!C120</f>
        <v>223133</v>
      </c>
      <c r="D193" s="4">
        <f>DATASETS!B120</f>
        <v>2020</v>
      </c>
      <c r="E193" s="6">
        <f>DATASETS!I120</f>
        <v>1321</v>
      </c>
      <c r="F193" s="9">
        <f>DATASETS!H120</f>
        <v>705</v>
      </c>
      <c r="G193" s="11">
        <f t="shared" si="210"/>
        <v>0</v>
      </c>
      <c r="H193" s="11">
        <f t="shared" si="210"/>
        <v>0</v>
      </c>
      <c r="I193" s="11">
        <f t="shared" si="210"/>
        <v>0</v>
      </c>
      <c r="J193" s="11">
        <f t="shared" si="210"/>
        <v>0</v>
      </c>
      <c r="K193" s="11">
        <f t="shared" si="210"/>
        <v>0</v>
      </c>
      <c r="L193" s="11">
        <f t="shared" si="210"/>
        <v>0</v>
      </c>
      <c r="M193" s="11">
        <f t="shared" si="210"/>
        <v>0</v>
      </c>
      <c r="N193" s="11">
        <f t="shared" si="210"/>
        <v>0</v>
      </c>
      <c r="O193" s="11">
        <f t="shared" si="210"/>
        <v>0</v>
      </c>
      <c r="P193" s="11">
        <f t="shared" si="210"/>
        <v>0</v>
      </c>
      <c r="Q193" s="11">
        <f t="shared" si="210"/>
        <v>0</v>
      </c>
      <c r="R193" s="11">
        <f t="shared" si="210"/>
        <v>1</v>
      </c>
      <c r="S193" s="11">
        <f t="shared" si="210"/>
        <v>0</v>
      </c>
      <c r="T193" s="6">
        <f>DATASETS!D120</f>
        <v>514</v>
      </c>
      <c r="U193" s="37">
        <v>2</v>
      </c>
      <c r="V193" s="37">
        <v>1</v>
      </c>
      <c r="W193" s="37">
        <v>1</v>
      </c>
      <c r="X193" s="37">
        <v>0</v>
      </c>
      <c r="Y193" s="37">
        <v>2</v>
      </c>
      <c r="Z193" s="37">
        <v>1</v>
      </c>
      <c r="AA193" s="37">
        <v>2</v>
      </c>
      <c r="AB193" s="37">
        <v>0</v>
      </c>
      <c r="AC193" s="37">
        <v>0</v>
      </c>
      <c r="AD193" s="37">
        <v>0</v>
      </c>
      <c r="AE193" s="11">
        <f t="shared" si="160"/>
        <v>9</v>
      </c>
      <c r="AF193" s="11">
        <f t="shared" si="161"/>
        <v>10</v>
      </c>
      <c r="AG193" s="11">
        <f t="shared" si="162"/>
        <v>11</v>
      </c>
      <c r="AH193" s="11">
        <f t="shared" si="163"/>
        <v>11</v>
      </c>
      <c r="AI193" s="11">
        <f t="shared" si="164"/>
        <v>11</v>
      </c>
      <c r="AJ193" s="11">
        <f t="shared" si="165"/>
        <v>11</v>
      </c>
      <c r="AK193" s="11">
        <f t="shared" si="166"/>
        <v>11</v>
      </c>
      <c r="AL193" s="11">
        <f t="shared" si="167"/>
        <v>10</v>
      </c>
      <c r="AM193" s="11">
        <f t="shared" si="168"/>
        <v>7</v>
      </c>
      <c r="AN193" s="11">
        <f t="shared" si="169"/>
        <v>10</v>
      </c>
      <c r="AO193" s="35">
        <f t="shared" si="170"/>
        <v>4308.1428571428569</v>
      </c>
      <c r="AP193" s="35">
        <f t="shared" si="171"/>
        <v>4547</v>
      </c>
      <c r="AQ193" s="35">
        <f t="shared" si="172"/>
        <v>953.16666666666663</v>
      </c>
      <c r="AR193" s="35">
        <f t="shared" si="173"/>
        <v>5356.5</v>
      </c>
      <c r="AS193" s="35">
        <f t="shared" si="174"/>
        <v>960.18181818181813</v>
      </c>
      <c r="AT193" s="35">
        <f t="shared" si="175"/>
        <v>1861.4285714285713</v>
      </c>
      <c r="AU193" s="35">
        <f t="shared" si="176"/>
        <v>1263.8333333333333</v>
      </c>
      <c r="AV193" s="35">
        <f t="shared" si="177"/>
        <v>6311.666666666667</v>
      </c>
      <c r="AW193" s="35">
        <f t="shared" si="178"/>
        <v>1715.36</v>
      </c>
      <c r="AX193" s="35">
        <f t="shared" si="179"/>
        <v>3516.5</v>
      </c>
      <c r="AY193" s="28">
        <f t="shared" si="180"/>
        <v>3079.3779913419912</v>
      </c>
      <c r="AZ193" s="35">
        <f t="shared" si="181"/>
        <v>-2565.3779913419912</v>
      </c>
      <c r="BA193" s="35">
        <f t="shared" si="182"/>
        <v>2565.3779913419912</v>
      </c>
      <c r="BB193" s="35">
        <f t="shared" si="183"/>
        <v>6581164.2384618698</v>
      </c>
      <c r="BC193" s="35">
        <f t="shared" si="184"/>
        <v>1867030.2742347869</v>
      </c>
      <c r="BE193" s="37">
        <v>2</v>
      </c>
      <c r="BF193" s="37">
        <v>1</v>
      </c>
      <c r="BG193" s="37">
        <v>1</v>
      </c>
      <c r="BH193" s="37">
        <v>0</v>
      </c>
      <c r="BI193" s="37">
        <v>2</v>
      </c>
      <c r="BJ193" s="37">
        <v>1</v>
      </c>
      <c r="BK193" s="37">
        <v>2</v>
      </c>
      <c r="BL193" s="37">
        <v>0</v>
      </c>
      <c r="BM193" s="37">
        <v>0</v>
      </c>
      <c r="BN193" s="37">
        <v>0</v>
      </c>
      <c r="BO193" s="11">
        <f t="shared" si="185"/>
        <v>4</v>
      </c>
      <c r="BP193" s="11">
        <f t="shared" si="186"/>
        <v>7</v>
      </c>
      <c r="BQ193" s="11">
        <f t="shared" si="187"/>
        <v>4</v>
      </c>
      <c r="BR193" s="11">
        <f t="shared" si="188"/>
        <v>4</v>
      </c>
      <c r="BS193" s="11">
        <f t="shared" si="189"/>
        <v>4</v>
      </c>
      <c r="BT193" s="11">
        <f t="shared" si="190"/>
        <v>6</v>
      </c>
      <c r="BU193" s="11">
        <f t="shared" si="191"/>
        <v>3</v>
      </c>
      <c r="BV193" s="11">
        <f t="shared" si="192"/>
        <v>4</v>
      </c>
      <c r="BW193" s="11">
        <f t="shared" si="193"/>
        <v>4</v>
      </c>
      <c r="BX193" s="11">
        <f t="shared" si="194"/>
        <v>4</v>
      </c>
      <c r="BY193" s="35">
        <f t="shared" si="195"/>
        <v>1064.1818181818182</v>
      </c>
      <c r="BZ193" s="35">
        <f t="shared" si="196"/>
        <v>1290.3333333333333</v>
      </c>
      <c r="CA193" s="35">
        <f t="shared" si="197"/>
        <v>1010.6551724137931</v>
      </c>
      <c r="CB193" s="35">
        <f t="shared" si="198"/>
        <v>1067.3953488372092</v>
      </c>
      <c r="CC193" s="35">
        <f t="shared" si="199"/>
        <v>1186.5882352941176</v>
      </c>
      <c r="CD193" s="35">
        <f t="shared" si="200"/>
        <v>1283.8095238095239</v>
      </c>
      <c r="CE193" s="35">
        <f t="shared" si="201"/>
        <v>737.21875</v>
      </c>
      <c r="CF193" s="35">
        <f t="shared" si="202"/>
        <v>1130.5</v>
      </c>
      <c r="CG193" s="35">
        <f t="shared" si="203"/>
        <v>1060.5135135135135</v>
      </c>
      <c r="CH193" s="35">
        <f t="shared" si="204"/>
        <v>1071.409090909091</v>
      </c>
      <c r="CI193" s="28">
        <f t="shared" si="205"/>
        <v>1090.26047862924</v>
      </c>
      <c r="CJ193" s="35">
        <f t="shared" si="206"/>
        <v>-576.26047862923997</v>
      </c>
      <c r="CK193" s="35">
        <f t="shared" si="207"/>
        <v>576.26047862923997</v>
      </c>
      <c r="CL193" s="35">
        <f t="shared" si="208"/>
        <v>332076.13923000073</v>
      </c>
      <c r="CM193" s="35">
        <f t="shared" si="209"/>
        <v>1867030.2742347869</v>
      </c>
    </row>
    <row r="194" spans="1:91" x14ac:dyDescent="0.3">
      <c r="A194" s="4" t="str">
        <f>DATASETS!A121</f>
        <v>MARCOS HIGHWAY</v>
      </c>
      <c r="B194" s="4" t="str">
        <f>DATASETS!E121</f>
        <v>Training</v>
      </c>
      <c r="C194" s="9">
        <f>DATASETS!C121</f>
        <v>233466</v>
      </c>
      <c r="D194" s="4">
        <f>DATASETS!B121</f>
        <v>2021</v>
      </c>
      <c r="E194" s="6">
        <f>DATASETS!I121</f>
        <v>514</v>
      </c>
      <c r="F194" s="9">
        <f>DATASETS!H121</f>
        <v>705</v>
      </c>
      <c r="G194" s="11">
        <f t="shared" si="210"/>
        <v>0</v>
      </c>
      <c r="H194" s="11">
        <f t="shared" si="210"/>
        <v>0</v>
      </c>
      <c r="I194" s="11">
        <f t="shared" si="210"/>
        <v>0</v>
      </c>
      <c r="J194" s="11">
        <f t="shared" si="210"/>
        <v>0</v>
      </c>
      <c r="K194" s="11">
        <f t="shared" si="210"/>
        <v>0</v>
      </c>
      <c r="L194" s="11">
        <f t="shared" si="210"/>
        <v>0</v>
      </c>
      <c r="M194" s="11">
        <f t="shared" si="210"/>
        <v>0</v>
      </c>
      <c r="N194" s="11">
        <f t="shared" si="210"/>
        <v>0</v>
      </c>
      <c r="O194" s="11">
        <f t="shared" si="210"/>
        <v>0</v>
      </c>
      <c r="P194" s="11">
        <f t="shared" si="210"/>
        <v>0</v>
      </c>
      <c r="Q194" s="11">
        <f t="shared" si="210"/>
        <v>0</v>
      </c>
      <c r="R194" s="11">
        <f t="shared" si="210"/>
        <v>1</v>
      </c>
      <c r="S194" s="11">
        <f t="shared" si="210"/>
        <v>0</v>
      </c>
      <c r="T194" s="6">
        <f>DATASETS!D121</f>
        <v>533</v>
      </c>
      <c r="U194" s="37">
        <v>2</v>
      </c>
      <c r="V194" s="37">
        <v>1</v>
      </c>
      <c r="W194" s="37">
        <v>2</v>
      </c>
      <c r="X194" s="37">
        <v>0</v>
      </c>
      <c r="Y194" s="37">
        <v>1</v>
      </c>
      <c r="Z194" s="37">
        <v>0</v>
      </c>
      <c r="AA194" s="37">
        <v>1</v>
      </c>
      <c r="AB194" s="37">
        <v>0</v>
      </c>
      <c r="AC194" s="37">
        <v>0</v>
      </c>
      <c r="AD194" s="37">
        <v>0</v>
      </c>
      <c r="AE194" s="11">
        <f t="shared" si="160"/>
        <v>11</v>
      </c>
      <c r="AF194" s="11">
        <f t="shared" si="161"/>
        <v>10</v>
      </c>
      <c r="AG194" s="11">
        <f t="shared" si="162"/>
        <v>11</v>
      </c>
      <c r="AH194" s="11">
        <f t="shared" si="163"/>
        <v>11</v>
      </c>
      <c r="AI194" s="11">
        <f t="shared" si="164"/>
        <v>11</v>
      </c>
      <c r="AJ194" s="11">
        <f t="shared" si="165"/>
        <v>13</v>
      </c>
      <c r="AK194" s="11">
        <f t="shared" si="166"/>
        <v>11</v>
      </c>
      <c r="AL194" s="11">
        <f t="shared" si="167"/>
        <v>11</v>
      </c>
      <c r="AM194" s="11">
        <f t="shared" si="168"/>
        <v>9</v>
      </c>
      <c r="AN194" s="11">
        <f t="shared" si="169"/>
        <v>11</v>
      </c>
      <c r="AO194" s="35">
        <f t="shared" si="170"/>
        <v>1013.2857142857143</v>
      </c>
      <c r="AP194" s="35">
        <f t="shared" si="171"/>
        <v>4547</v>
      </c>
      <c r="AQ194" s="35">
        <f t="shared" si="172"/>
        <v>953.16666666666663</v>
      </c>
      <c r="AR194" s="35">
        <f t="shared" si="173"/>
        <v>5356.5</v>
      </c>
      <c r="AS194" s="35">
        <f t="shared" si="174"/>
        <v>960.18181818181813</v>
      </c>
      <c r="AT194" s="35">
        <f t="shared" si="175"/>
        <v>5849.666666666667</v>
      </c>
      <c r="AU194" s="35">
        <f t="shared" si="176"/>
        <v>1263.8333333333333</v>
      </c>
      <c r="AV194" s="35">
        <f t="shared" si="177"/>
        <v>7225.2</v>
      </c>
      <c r="AW194" s="35">
        <f t="shared" si="178"/>
        <v>7189.666666666667</v>
      </c>
      <c r="AX194" s="35">
        <f t="shared" si="179"/>
        <v>6672.375</v>
      </c>
      <c r="AY194" s="28">
        <f t="shared" si="180"/>
        <v>4103.0875865800863</v>
      </c>
      <c r="AZ194" s="35">
        <f t="shared" si="181"/>
        <v>-3570.0875865800863</v>
      </c>
      <c r="BA194" s="35">
        <f t="shared" si="182"/>
        <v>3570.0875865800863</v>
      </c>
      <c r="BB194" s="35">
        <f t="shared" si="183"/>
        <v>12745525.375853226</v>
      </c>
      <c r="BC194" s="35">
        <f t="shared" si="184"/>
        <v>1815468.3340638469</v>
      </c>
      <c r="BE194" s="37">
        <v>2</v>
      </c>
      <c r="BF194" s="37">
        <v>1</v>
      </c>
      <c r="BG194" s="37">
        <v>2</v>
      </c>
      <c r="BH194" s="37">
        <v>0</v>
      </c>
      <c r="BI194" s="37">
        <v>1</v>
      </c>
      <c r="BJ194" s="37">
        <v>0</v>
      </c>
      <c r="BK194" s="37">
        <v>1</v>
      </c>
      <c r="BL194" s="37">
        <v>0</v>
      </c>
      <c r="BM194" s="37">
        <v>0</v>
      </c>
      <c r="BN194" s="37">
        <v>0</v>
      </c>
      <c r="BO194" s="11">
        <f t="shared" si="185"/>
        <v>3</v>
      </c>
      <c r="BP194" s="11">
        <f t="shared" si="186"/>
        <v>3</v>
      </c>
      <c r="BQ194" s="11">
        <f t="shared" si="187"/>
        <v>3</v>
      </c>
      <c r="BR194" s="11">
        <f t="shared" si="188"/>
        <v>3</v>
      </c>
      <c r="BS194" s="11">
        <f t="shared" si="189"/>
        <v>3</v>
      </c>
      <c r="BT194" s="11">
        <f t="shared" si="190"/>
        <v>3</v>
      </c>
      <c r="BU194" s="11">
        <f t="shared" si="191"/>
        <v>3</v>
      </c>
      <c r="BV194" s="11">
        <f t="shared" si="192"/>
        <v>3</v>
      </c>
      <c r="BW194" s="11">
        <f t="shared" si="193"/>
        <v>3</v>
      </c>
      <c r="BX194" s="11">
        <f t="shared" si="194"/>
        <v>3</v>
      </c>
      <c r="BY194" s="35">
        <f t="shared" si="195"/>
        <v>526.31578947368416</v>
      </c>
      <c r="BZ194" s="35">
        <f t="shared" si="196"/>
        <v>549.21428571428567</v>
      </c>
      <c r="CA194" s="35">
        <f t="shared" si="197"/>
        <v>431.78571428571428</v>
      </c>
      <c r="CB194" s="35">
        <f t="shared" si="198"/>
        <v>468.77777777777777</v>
      </c>
      <c r="CC194" s="35">
        <f t="shared" si="199"/>
        <v>493.23809523809524</v>
      </c>
      <c r="CD194" s="35">
        <f t="shared" si="200"/>
        <v>501.72972972972974</v>
      </c>
      <c r="CE194" s="35">
        <f t="shared" si="201"/>
        <v>737.21875</v>
      </c>
      <c r="CF194" s="35">
        <f t="shared" si="202"/>
        <v>454.56</v>
      </c>
      <c r="CG194" s="35">
        <f t="shared" si="203"/>
        <v>490.4848484848485</v>
      </c>
      <c r="CH194" s="35">
        <f t="shared" si="204"/>
        <v>453.52</v>
      </c>
      <c r="CI194" s="28">
        <f t="shared" si="205"/>
        <v>510.68449907041361</v>
      </c>
      <c r="CJ194" s="35">
        <f t="shared" si="206"/>
        <v>22.315500929586392</v>
      </c>
      <c r="CK194" s="35">
        <f t="shared" si="207"/>
        <v>22.315500929586392</v>
      </c>
      <c r="CL194" s="35">
        <f t="shared" si="208"/>
        <v>497.98158173837112</v>
      </c>
      <c r="CM194" s="35">
        <f t="shared" si="209"/>
        <v>1815468.3340638469</v>
      </c>
    </row>
    <row r="195" spans="1:91" x14ac:dyDescent="0.3">
      <c r="A195" s="4" t="str">
        <f>DATASETS!A122</f>
        <v>MARCOS HIGHWAY</v>
      </c>
      <c r="B195" s="4" t="str">
        <f>DATASETS!E122</f>
        <v>Training</v>
      </c>
      <c r="C195" s="9">
        <f>DATASETS!C122</f>
        <v>228470</v>
      </c>
      <c r="D195" s="4">
        <f>DATASETS!B122</f>
        <v>2022</v>
      </c>
      <c r="E195" s="6">
        <f>DATASETS!I122</f>
        <v>533</v>
      </c>
      <c r="F195" s="9">
        <f>DATASETS!H122</f>
        <v>705</v>
      </c>
      <c r="G195" s="11">
        <f t="shared" si="210"/>
        <v>0</v>
      </c>
      <c r="H195" s="11">
        <f t="shared" si="210"/>
        <v>0</v>
      </c>
      <c r="I195" s="11">
        <f t="shared" si="210"/>
        <v>0</v>
      </c>
      <c r="J195" s="11">
        <f t="shared" si="210"/>
        <v>0</v>
      </c>
      <c r="K195" s="11">
        <f t="shared" si="210"/>
        <v>0</v>
      </c>
      <c r="L195" s="11">
        <f t="shared" si="210"/>
        <v>0</v>
      </c>
      <c r="M195" s="11">
        <f t="shared" si="210"/>
        <v>0</v>
      </c>
      <c r="N195" s="11">
        <f t="shared" si="210"/>
        <v>0</v>
      </c>
      <c r="O195" s="11">
        <f t="shared" si="210"/>
        <v>0</v>
      </c>
      <c r="P195" s="11">
        <f t="shared" si="210"/>
        <v>0</v>
      </c>
      <c r="Q195" s="11">
        <f t="shared" si="210"/>
        <v>0</v>
      </c>
      <c r="R195" s="11">
        <f t="shared" si="210"/>
        <v>1</v>
      </c>
      <c r="S195" s="11">
        <f t="shared" si="210"/>
        <v>0</v>
      </c>
      <c r="T195" s="6">
        <f>DATASETS!D122</f>
        <v>752</v>
      </c>
      <c r="U195" s="37">
        <v>3</v>
      </c>
      <c r="V195" s="37">
        <v>0</v>
      </c>
      <c r="W195" s="37">
        <v>2</v>
      </c>
      <c r="X195" s="37">
        <v>0</v>
      </c>
      <c r="Y195" s="37">
        <v>2</v>
      </c>
      <c r="Z195" s="37">
        <v>0</v>
      </c>
      <c r="AA195" s="37">
        <v>1</v>
      </c>
      <c r="AB195" s="37">
        <v>0</v>
      </c>
      <c r="AC195" s="37">
        <v>3</v>
      </c>
      <c r="AD195" s="37">
        <v>3</v>
      </c>
      <c r="AE195" s="11">
        <f t="shared" si="160"/>
        <v>11</v>
      </c>
      <c r="AF195" s="11">
        <f t="shared" si="161"/>
        <v>10</v>
      </c>
      <c r="AG195" s="11">
        <f t="shared" si="162"/>
        <v>11</v>
      </c>
      <c r="AH195" s="11">
        <f t="shared" si="163"/>
        <v>11</v>
      </c>
      <c r="AI195" s="11">
        <f t="shared" si="164"/>
        <v>11</v>
      </c>
      <c r="AJ195" s="11">
        <f t="shared" si="165"/>
        <v>11</v>
      </c>
      <c r="AK195" s="11">
        <f t="shared" si="166"/>
        <v>11</v>
      </c>
      <c r="AL195" s="11">
        <f t="shared" si="167"/>
        <v>11</v>
      </c>
      <c r="AM195" s="11">
        <f t="shared" si="168"/>
        <v>7</v>
      </c>
      <c r="AN195" s="11">
        <f t="shared" si="169"/>
        <v>10</v>
      </c>
      <c r="AO195" s="35">
        <f t="shared" si="170"/>
        <v>1013.2857142857143</v>
      </c>
      <c r="AP195" s="35">
        <f t="shared" si="171"/>
        <v>4547</v>
      </c>
      <c r="AQ195" s="35">
        <f t="shared" si="172"/>
        <v>953.16666666666663</v>
      </c>
      <c r="AR195" s="35">
        <f t="shared" si="173"/>
        <v>5356.5</v>
      </c>
      <c r="AS195" s="35">
        <f t="shared" si="174"/>
        <v>960.18181818181813</v>
      </c>
      <c r="AT195" s="35">
        <f t="shared" si="175"/>
        <v>1861.4285714285713</v>
      </c>
      <c r="AU195" s="35">
        <f t="shared" si="176"/>
        <v>1263.8333333333333</v>
      </c>
      <c r="AV195" s="35">
        <f t="shared" si="177"/>
        <v>7225.2</v>
      </c>
      <c r="AW195" s="35">
        <f t="shared" si="178"/>
        <v>1715.36</v>
      </c>
      <c r="AX195" s="35">
        <f t="shared" si="179"/>
        <v>3516.5</v>
      </c>
      <c r="AY195" s="28">
        <f t="shared" si="180"/>
        <v>2841.2456103896102</v>
      </c>
      <c r="AZ195" s="35">
        <f t="shared" si="181"/>
        <v>-2089.2456103896102</v>
      </c>
      <c r="BA195" s="35">
        <f t="shared" si="182"/>
        <v>2089.2456103896102</v>
      </c>
      <c r="BB195" s="35">
        <f t="shared" si="183"/>
        <v>4364947.2205322552</v>
      </c>
      <c r="BC195" s="35">
        <f t="shared" si="184"/>
        <v>1273271.1289356416</v>
      </c>
      <c r="BE195" s="37">
        <v>3</v>
      </c>
      <c r="BF195" s="37">
        <v>0</v>
      </c>
      <c r="BG195" s="37">
        <v>2</v>
      </c>
      <c r="BH195" s="37">
        <v>0</v>
      </c>
      <c r="BI195" s="37">
        <v>2</v>
      </c>
      <c r="BJ195" s="37">
        <v>0</v>
      </c>
      <c r="BK195" s="37">
        <v>1</v>
      </c>
      <c r="BL195" s="37">
        <v>0</v>
      </c>
      <c r="BM195" s="37">
        <v>3</v>
      </c>
      <c r="BN195" s="37">
        <v>3</v>
      </c>
      <c r="BO195" s="11">
        <f t="shared" si="185"/>
        <v>3</v>
      </c>
      <c r="BP195" s="11">
        <f t="shared" si="186"/>
        <v>3</v>
      </c>
      <c r="BQ195" s="11">
        <f t="shared" si="187"/>
        <v>3</v>
      </c>
      <c r="BR195" s="11">
        <f t="shared" si="188"/>
        <v>3</v>
      </c>
      <c r="BS195" s="11">
        <f t="shared" si="189"/>
        <v>3</v>
      </c>
      <c r="BT195" s="11">
        <f t="shared" si="190"/>
        <v>3</v>
      </c>
      <c r="BU195" s="11">
        <f t="shared" si="191"/>
        <v>3</v>
      </c>
      <c r="BV195" s="11">
        <f t="shared" si="192"/>
        <v>3</v>
      </c>
      <c r="BW195" s="11">
        <f t="shared" si="193"/>
        <v>3</v>
      </c>
      <c r="BX195" s="11">
        <f t="shared" si="194"/>
        <v>3</v>
      </c>
      <c r="BY195" s="35">
        <f t="shared" si="195"/>
        <v>526.31578947368416</v>
      </c>
      <c r="BZ195" s="35">
        <f t="shared" si="196"/>
        <v>549.21428571428567</v>
      </c>
      <c r="CA195" s="35">
        <f t="shared" si="197"/>
        <v>431.78571428571428</v>
      </c>
      <c r="CB195" s="35">
        <f t="shared" si="198"/>
        <v>468.77777777777777</v>
      </c>
      <c r="CC195" s="35">
        <f t="shared" si="199"/>
        <v>493.23809523809524</v>
      </c>
      <c r="CD195" s="35">
        <f t="shared" si="200"/>
        <v>501.72972972972974</v>
      </c>
      <c r="CE195" s="35">
        <f t="shared" si="201"/>
        <v>737.21875</v>
      </c>
      <c r="CF195" s="35">
        <f t="shared" si="202"/>
        <v>454.56</v>
      </c>
      <c r="CG195" s="35">
        <f t="shared" si="203"/>
        <v>490.4848484848485</v>
      </c>
      <c r="CH195" s="35">
        <f t="shared" si="204"/>
        <v>453.52</v>
      </c>
      <c r="CI195" s="28">
        <f t="shared" si="205"/>
        <v>510.68449907041361</v>
      </c>
      <c r="CJ195" s="35">
        <f t="shared" si="206"/>
        <v>241.31550092958639</v>
      </c>
      <c r="CK195" s="35">
        <f t="shared" si="207"/>
        <v>241.31550092958639</v>
      </c>
      <c r="CL195" s="35">
        <f t="shared" si="208"/>
        <v>58233.170988897211</v>
      </c>
      <c r="CM195" s="35">
        <f t="shared" si="209"/>
        <v>1273271.1289356416</v>
      </c>
    </row>
    <row r="196" spans="1:91" x14ac:dyDescent="0.3">
      <c r="A196" s="4" t="str">
        <f>DATASETS!A123</f>
        <v>MARCOS HIGHWAY</v>
      </c>
      <c r="B196" s="4" t="str">
        <f>DATASETS!E123</f>
        <v>Training</v>
      </c>
      <c r="C196" s="9">
        <f>DATASETS!C123</f>
        <v>243636</v>
      </c>
      <c r="D196" s="4">
        <f>DATASETS!B123</f>
        <v>2023</v>
      </c>
      <c r="E196" s="6">
        <f>DATASETS!I123</f>
        <v>752</v>
      </c>
      <c r="F196" s="9">
        <f>DATASETS!H123</f>
        <v>705</v>
      </c>
      <c r="G196" s="11">
        <f t="shared" si="210"/>
        <v>0</v>
      </c>
      <c r="H196" s="11">
        <f t="shared" si="210"/>
        <v>0</v>
      </c>
      <c r="I196" s="11">
        <f t="shared" si="210"/>
        <v>0</v>
      </c>
      <c r="J196" s="11">
        <f t="shared" si="210"/>
        <v>0</v>
      </c>
      <c r="K196" s="11">
        <f t="shared" si="210"/>
        <v>0</v>
      </c>
      <c r="L196" s="11">
        <f t="shared" si="210"/>
        <v>0</v>
      </c>
      <c r="M196" s="11">
        <f t="shared" si="210"/>
        <v>0</v>
      </c>
      <c r="N196" s="11">
        <f t="shared" si="210"/>
        <v>0</v>
      </c>
      <c r="O196" s="11">
        <f t="shared" si="210"/>
        <v>0</v>
      </c>
      <c r="P196" s="11">
        <f t="shared" si="210"/>
        <v>0</v>
      </c>
      <c r="Q196" s="11">
        <f t="shared" si="210"/>
        <v>0</v>
      </c>
      <c r="R196" s="11">
        <f t="shared" si="210"/>
        <v>1</v>
      </c>
      <c r="S196" s="11">
        <f t="shared" si="210"/>
        <v>0</v>
      </c>
      <c r="T196" s="6">
        <f>DATASETS!D123</f>
        <v>1136</v>
      </c>
      <c r="U196" s="37">
        <v>1</v>
      </c>
      <c r="V196" s="37">
        <v>1</v>
      </c>
      <c r="W196" s="37">
        <v>0</v>
      </c>
      <c r="X196" s="37">
        <v>3</v>
      </c>
      <c r="Y196" s="37">
        <v>0</v>
      </c>
      <c r="Z196" s="37">
        <v>2</v>
      </c>
      <c r="AA196" s="37">
        <v>1</v>
      </c>
      <c r="AB196" s="37">
        <v>0</v>
      </c>
      <c r="AC196" s="37">
        <v>1</v>
      </c>
      <c r="AD196" s="37">
        <v>2</v>
      </c>
      <c r="AE196" s="11">
        <f t="shared" si="160"/>
        <v>11</v>
      </c>
      <c r="AF196" s="11">
        <f t="shared" si="161"/>
        <v>13</v>
      </c>
      <c r="AG196" s="11">
        <f t="shared" si="162"/>
        <v>13</v>
      </c>
      <c r="AH196" s="11">
        <f t="shared" si="163"/>
        <v>13</v>
      </c>
      <c r="AI196" s="11">
        <f t="shared" si="164"/>
        <v>12</v>
      </c>
      <c r="AJ196" s="11">
        <f t="shared" si="165"/>
        <v>14</v>
      </c>
      <c r="AK196" s="11">
        <f t="shared" si="166"/>
        <v>12</v>
      </c>
      <c r="AL196" s="11">
        <f t="shared" si="167"/>
        <v>13</v>
      </c>
      <c r="AM196" s="11">
        <f t="shared" si="168"/>
        <v>11</v>
      </c>
      <c r="AN196" s="11">
        <f t="shared" si="169"/>
        <v>11</v>
      </c>
      <c r="AO196" s="35">
        <f t="shared" si="170"/>
        <v>1013.2857142857143</v>
      </c>
      <c r="AP196" s="35">
        <f t="shared" si="171"/>
        <v>4972.333333333333</v>
      </c>
      <c r="AQ196" s="35">
        <f t="shared" si="172"/>
        <v>6677.833333333333</v>
      </c>
      <c r="AR196" s="35">
        <f t="shared" si="173"/>
        <v>3359.2857142857142</v>
      </c>
      <c r="AS196" s="35">
        <f t="shared" si="174"/>
        <v>3307.5294117647059</v>
      </c>
      <c r="AT196" s="35">
        <f t="shared" si="175"/>
        <v>3280.125</v>
      </c>
      <c r="AU196" s="35">
        <f t="shared" si="176"/>
        <v>4402.375</v>
      </c>
      <c r="AV196" s="35">
        <f t="shared" si="177"/>
        <v>3066.2307692307691</v>
      </c>
      <c r="AW196" s="35">
        <f t="shared" si="178"/>
        <v>2801</v>
      </c>
      <c r="AX196" s="35">
        <f t="shared" si="179"/>
        <v>6672.375</v>
      </c>
      <c r="AY196" s="28">
        <f t="shared" si="180"/>
        <v>3955.237327623357</v>
      </c>
      <c r="AZ196" s="35">
        <f t="shared" si="181"/>
        <v>-2819.237327623357</v>
      </c>
      <c r="BA196" s="35">
        <f t="shared" si="182"/>
        <v>2819.237327623357</v>
      </c>
      <c r="BB196" s="35">
        <f t="shared" si="183"/>
        <v>7948099.1094648875</v>
      </c>
      <c r="BC196" s="35">
        <f t="shared" si="184"/>
        <v>554121.18021769298</v>
      </c>
      <c r="BE196" s="37">
        <v>1</v>
      </c>
      <c r="BF196" s="37">
        <v>1</v>
      </c>
      <c r="BG196" s="37">
        <v>0</v>
      </c>
      <c r="BH196" s="37">
        <v>3</v>
      </c>
      <c r="BI196" s="37">
        <v>0</v>
      </c>
      <c r="BJ196" s="37">
        <v>2</v>
      </c>
      <c r="BK196" s="37">
        <v>1</v>
      </c>
      <c r="BL196" s="37">
        <v>0</v>
      </c>
      <c r="BM196" s="37">
        <v>1</v>
      </c>
      <c r="BN196" s="37">
        <v>2</v>
      </c>
      <c r="BO196" s="11">
        <f t="shared" si="185"/>
        <v>4</v>
      </c>
      <c r="BP196" s="11">
        <f t="shared" si="186"/>
        <v>4</v>
      </c>
      <c r="BQ196" s="11">
        <f t="shared" si="187"/>
        <v>4</v>
      </c>
      <c r="BR196" s="11">
        <f t="shared" si="188"/>
        <v>4</v>
      </c>
      <c r="BS196" s="11">
        <f t="shared" si="189"/>
        <v>3</v>
      </c>
      <c r="BT196" s="11">
        <f t="shared" si="190"/>
        <v>4</v>
      </c>
      <c r="BU196" s="11">
        <f t="shared" si="191"/>
        <v>3</v>
      </c>
      <c r="BV196" s="11">
        <f t="shared" si="192"/>
        <v>3</v>
      </c>
      <c r="BW196" s="11">
        <f t="shared" si="193"/>
        <v>4</v>
      </c>
      <c r="BX196" s="11">
        <f t="shared" si="194"/>
        <v>4</v>
      </c>
      <c r="BY196" s="35">
        <f t="shared" si="195"/>
        <v>1064.1818181818182</v>
      </c>
      <c r="BZ196" s="35">
        <f t="shared" si="196"/>
        <v>1019.8181818181819</v>
      </c>
      <c r="CA196" s="35">
        <f t="shared" si="197"/>
        <v>1010.6551724137931</v>
      </c>
      <c r="CB196" s="35">
        <f t="shared" si="198"/>
        <v>1067.3953488372092</v>
      </c>
      <c r="CC196" s="35">
        <f t="shared" si="199"/>
        <v>493.23809523809524</v>
      </c>
      <c r="CD196" s="35">
        <f t="shared" si="200"/>
        <v>1025.608695652174</v>
      </c>
      <c r="CE196" s="35">
        <f t="shared" si="201"/>
        <v>737.21875</v>
      </c>
      <c r="CF196" s="35">
        <f t="shared" si="202"/>
        <v>454.56</v>
      </c>
      <c r="CG196" s="35">
        <f t="shared" si="203"/>
        <v>1060.5135135135135</v>
      </c>
      <c r="CH196" s="35">
        <f t="shared" si="204"/>
        <v>1071.409090909091</v>
      </c>
      <c r="CI196" s="28">
        <f t="shared" si="205"/>
        <v>900.4598666563877</v>
      </c>
      <c r="CJ196" s="35">
        <f t="shared" si="206"/>
        <v>235.5401333436123</v>
      </c>
      <c r="CK196" s="35">
        <f t="shared" si="207"/>
        <v>235.5401333436123</v>
      </c>
      <c r="CL196" s="35">
        <f t="shared" si="208"/>
        <v>55479.15441552666</v>
      </c>
      <c r="CM196" s="35">
        <f t="shared" si="209"/>
        <v>554121.18021769298</v>
      </c>
    </row>
    <row r="197" spans="1:91" x14ac:dyDescent="0.3">
      <c r="A197" s="4" t="str">
        <f>DATASETS!A124</f>
        <v>MARCOS HIGHWAY</v>
      </c>
      <c r="B197" s="4" t="str">
        <f>DATASETS!E124</f>
        <v>Training</v>
      </c>
      <c r="C197" s="9">
        <f>DATASETS!C124</f>
        <v>266610</v>
      </c>
      <c r="D197" s="4">
        <f>DATASETS!B124</f>
        <v>2024</v>
      </c>
      <c r="E197" s="6">
        <f>DATASETS!I124</f>
        <v>1136</v>
      </c>
      <c r="F197" s="9">
        <f>DATASETS!H124</f>
        <v>705</v>
      </c>
      <c r="G197" s="11">
        <f t="shared" si="210"/>
        <v>0</v>
      </c>
      <c r="H197" s="11">
        <f t="shared" si="210"/>
        <v>0</v>
      </c>
      <c r="I197" s="11">
        <f t="shared" si="210"/>
        <v>0</v>
      </c>
      <c r="J197" s="11">
        <f t="shared" si="210"/>
        <v>0</v>
      </c>
      <c r="K197" s="11">
        <f t="shared" si="210"/>
        <v>0</v>
      </c>
      <c r="L197" s="11">
        <f t="shared" si="210"/>
        <v>0</v>
      </c>
      <c r="M197" s="11">
        <f t="shared" si="210"/>
        <v>0</v>
      </c>
      <c r="N197" s="11">
        <f t="shared" si="210"/>
        <v>0</v>
      </c>
      <c r="O197" s="11">
        <f t="shared" si="210"/>
        <v>0</v>
      </c>
      <c r="P197" s="11">
        <f t="shared" si="210"/>
        <v>0</v>
      </c>
      <c r="Q197" s="11">
        <f t="shared" si="210"/>
        <v>0</v>
      </c>
      <c r="R197" s="11">
        <f t="shared" si="210"/>
        <v>1</v>
      </c>
      <c r="S197" s="11">
        <f t="shared" si="210"/>
        <v>0</v>
      </c>
      <c r="T197" s="6">
        <f>DATASETS!D124</f>
        <v>1358</v>
      </c>
      <c r="U197" s="37">
        <v>2</v>
      </c>
      <c r="V197" s="37">
        <v>1</v>
      </c>
      <c r="W197" s="37">
        <v>0</v>
      </c>
      <c r="X197" s="37">
        <v>3</v>
      </c>
      <c r="Y197" s="37">
        <v>2</v>
      </c>
      <c r="Z197" s="37">
        <v>2</v>
      </c>
      <c r="AA197" s="37">
        <v>1</v>
      </c>
      <c r="AB197" s="37">
        <v>2</v>
      </c>
      <c r="AC197" s="37">
        <v>1</v>
      </c>
      <c r="AD197" s="37">
        <v>0</v>
      </c>
      <c r="AE197" s="11">
        <f t="shared" si="160"/>
        <v>12</v>
      </c>
      <c r="AF197" s="11">
        <f t="shared" si="161"/>
        <v>14</v>
      </c>
      <c r="AG197" s="11">
        <f t="shared" si="162"/>
        <v>14</v>
      </c>
      <c r="AH197" s="11">
        <f t="shared" si="163"/>
        <v>14</v>
      </c>
      <c r="AI197" s="11">
        <f t="shared" si="164"/>
        <v>12</v>
      </c>
      <c r="AJ197" s="11">
        <f t="shared" si="165"/>
        <v>14</v>
      </c>
      <c r="AK197" s="11">
        <f t="shared" si="166"/>
        <v>12</v>
      </c>
      <c r="AL197" s="11">
        <f t="shared" si="167"/>
        <v>13</v>
      </c>
      <c r="AM197" s="11">
        <f t="shared" si="168"/>
        <v>11</v>
      </c>
      <c r="AN197" s="11">
        <f t="shared" si="169"/>
        <v>13</v>
      </c>
      <c r="AO197" s="35">
        <f t="shared" si="170"/>
        <v>3512.1428571428573</v>
      </c>
      <c r="AP197" s="35">
        <f t="shared" si="171"/>
        <v>4040.3636363636365</v>
      </c>
      <c r="AQ197" s="35">
        <f t="shared" si="172"/>
        <v>3393.8823529411766</v>
      </c>
      <c r="AR197" s="35">
        <f t="shared" si="173"/>
        <v>2684.8333333333335</v>
      </c>
      <c r="AS197" s="35">
        <f t="shared" si="174"/>
        <v>3307.5294117647059</v>
      </c>
      <c r="AT197" s="35">
        <f t="shared" si="175"/>
        <v>3280.125</v>
      </c>
      <c r="AU197" s="35">
        <f t="shared" si="176"/>
        <v>4402.375</v>
      </c>
      <c r="AV197" s="35">
        <f t="shared" si="177"/>
        <v>3066.2307692307691</v>
      </c>
      <c r="AW197" s="35">
        <f t="shared" si="178"/>
        <v>2801</v>
      </c>
      <c r="AX197" s="35">
        <f t="shared" si="179"/>
        <v>2367</v>
      </c>
      <c r="AY197" s="28">
        <f t="shared" si="180"/>
        <v>3285.5482360776477</v>
      </c>
      <c r="AZ197" s="35">
        <f t="shared" si="181"/>
        <v>-1927.5482360776477</v>
      </c>
      <c r="BA197" s="35">
        <f t="shared" si="182"/>
        <v>1927.5482360776477</v>
      </c>
      <c r="BB197" s="35">
        <f t="shared" si="183"/>
        <v>3715442.2024060511</v>
      </c>
      <c r="BC197" s="35">
        <f t="shared" si="184"/>
        <v>272894.61611512891</v>
      </c>
      <c r="BE197" s="37">
        <v>2</v>
      </c>
      <c r="BF197" s="37">
        <v>1</v>
      </c>
      <c r="BG197" s="37">
        <v>0</v>
      </c>
      <c r="BH197" s="37">
        <v>3</v>
      </c>
      <c r="BI197" s="37">
        <v>2</v>
      </c>
      <c r="BJ197" s="37">
        <v>2</v>
      </c>
      <c r="BK197" s="37">
        <v>1</v>
      </c>
      <c r="BL197" s="37">
        <v>2</v>
      </c>
      <c r="BM197" s="37">
        <v>1</v>
      </c>
      <c r="BN197" s="37">
        <v>0</v>
      </c>
      <c r="BO197" s="11">
        <f t="shared" si="185"/>
        <v>4</v>
      </c>
      <c r="BP197" s="11">
        <f t="shared" si="186"/>
        <v>7</v>
      </c>
      <c r="BQ197" s="11">
        <f t="shared" si="187"/>
        <v>4</v>
      </c>
      <c r="BR197" s="11">
        <f t="shared" si="188"/>
        <v>4</v>
      </c>
      <c r="BS197" s="11">
        <f t="shared" si="189"/>
        <v>4</v>
      </c>
      <c r="BT197" s="11">
        <f t="shared" si="190"/>
        <v>6</v>
      </c>
      <c r="BU197" s="11">
        <f t="shared" si="191"/>
        <v>3</v>
      </c>
      <c r="BV197" s="11">
        <f t="shared" si="192"/>
        <v>4</v>
      </c>
      <c r="BW197" s="11">
        <f t="shared" si="193"/>
        <v>4</v>
      </c>
      <c r="BX197" s="11">
        <f t="shared" si="194"/>
        <v>4</v>
      </c>
      <c r="BY197" s="35">
        <f t="shared" si="195"/>
        <v>1064.1818181818182</v>
      </c>
      <c r="BZ197" s="35">
        <f t="shared" si="196"/>
        <v>1290.3333333333333</v>
      </c>
      <c r="CA197" s="35">
        <f t="shared" si="197"/>
        <v>1010.6551724137931</v>
      </c>
      <c r="CB197" s="35">
        <f t="shared" si="198"/>
        <v>1067.3953488372092</v>
      </c>
      <c r="CC197" s="35">
        <f t="shared" si="199"/>
        <v>1186.5882352941176</v>
      </c>
      <c r="CD197" s="35">
        <f t="shared" si="200"/>
        <v>1283.8095238095239</v>
      </c>
      <c r="CE197" s="35">
        <f t="shared" si="201"/>
        <v>737.21875</v>
      </c>
      <c r="CF197" s="35">
        <f t="shared" si="202"/>
        <v>1130.5</v>
      </c>
      <c r="CG197" s="35">
        <f t="shared" si="203"/>
        <v>1060.5135135135135</v>
      </c>
      <c r="CH197" s="35">
        <f t="shared" si="204"/>
        <v>1071.409090909091</v>
      </c>
      <c r="CI197" s="28">
        <f t="shared" si="205"/>
        <v>1090.26047862924</v>
      </c>
      <c r="CJ197" s="35">
        <f t="shared" si="206"/>
        <v>267.73952137076003</v>
      </c>
      <c r="CK197" s="35">
        <f t="shared" si="207"/>
        <v>267.73952137076003</v>
      </c>
      <c r="CL197" s="35">
        <f t="shared" si="208"/>
        <v>71684.451303843671</v>
      </c>
      <c r="CM197" s="35">
        <f t="shared" si="209"/>
        <v>272894.61611512891</v>
      </c>
    </row>
    <row r="198" spans="1:91" x14ac:dyDescent="0.3">
      <c r="A198" s="4" t="str">
        <f>DATASETS!A126</f>
        <v>MCARTHUR HIGHWAY</v>
      </c>
      <c r="B198" s="4" t="str">
        <f>DATASETS!E126</f>
        <v>Training</v>
      </c>
      <c r="C198" s="9">
        <f>DATASETS!C126</f>
        <v>80079</v>
      </c>
      <c r="D198" s="4">
        <f>DATASETS!B126</f>
        <v>2016</v>
      </c>
      <c r="E198" s="6">
        <f>DATASETS!I126</f>
        <v>279</v>
      </c>
      <c r="F198" s="9">
        <f>DATASETS!H126</f>
        <v>4109.13</v>
      </c>
      <c r="G198" s="11">
        <f t="shared" si="210"/>
        <v>0</v>
      </c>
      <c r="H198" s="11">
        <f t="shared" si="210"/>
        <v>0</v>
      </c>
      <c r="I198" s="11">
        <f t="shared" si="210"/>
        <v>0</v>
      </c>
      <c r="J198" s="11">
        <f t="shared" si="210"/>
        <v>0</v>
      </c>
      <c r="K198" s="11">
        <f t="shared" si="210"/>
        <v>0</v>
      </c>
      <c r="L198" s="11">
        <f t="shared" si="210"/>
        <v>0</v>
      </c>
      <c r="M198" s="11">
        <f t="shared" si="210"/>
        <v>0</v>
      </c>
      <c r="N198" s="11">
        <f t="shared" si="210"/>
        <v>0</v>
      </c>
      <c r="O198" s="11">
        <f t="shared" si="210"/>
        <v>0</v>
      </c>
      <c r="P198" s="11">
        <f t="shared" si="210"/>
        <v>0</v>
      </c>
      <c r="Q198" s="11">
        <f t="shared" si="210"/>
        <v>0</v>
      </c>
      <c r="R198" s="11">
        <f t="shared" si="210"/>
        <v>0</v>
      </c>
      <c r="S198" s="11">
        <f t="shared" si="210"/>
        <v>1</v>
      </c>
      <c r="T198" s="6">
        <f>DATASETS!D126</f>
        <v>126</v>
      </c>
      <c r="U198" s="37">
        <v>1</v>
      </c>
      <c r="V198" s="37">
        <v>0</v>
      </c>
      <c r="W198" s="37">
        <v>2</v>
      </c>
      <c r="X198" s="37">
        <v>0</v>
      </c>
      <c r="Y198" s="37">
        <v>2</v>
      </c>
      <c r="Z198" s="37">
        <v>0</v>
      </c>
      <c r="AA198" s="37">
        <v>1</v>
      </c>
      <c r="AB198" s="37">
        <v>0</v>
      </c>
      <c r="AC198" s="37">
        <v>2</v>
      </c>
      <c r="AD198" s="37">
        <v>2</v>
      </c>
      <c r="AE198" s="11">
        <f t="shared" si="160"/>
        <v>3</v>
      </c>
      <c r="AF198" s="11">
        <f t="shared" si="161"/>
        <v>3</v>
      </c>
      <c r="AG198" s="11">
        <f t="shared" si="162"/>
        <v>3</v>
      </c>
      <c r="AH198" s="11">
        <f t="shared" si="163"/>
        <v>3</v>
      </c>
      <c r="AI198" s="11">
        <f t="shared" si="164"/>
        <v>3</v>
      </c>
      <c r="AJ198" s="11">
        <f t="shared" si="165"/>
        <v>3</v>
      </c>
      <c r="AK198" s="11">
        <f t="shared" si="166"/>
        <v>3</v>
      </c>
      <c r="AL198" s="11">
        <f t="shared" si="167"/>
        <v>3</v>
      </c>
      <c r="AM198" s="11">
        <f t="shared" si="168"/>
        <v>3</v>
      </c>
      <c r="AN198" s="11">
        <f t="shared" si="169"/>
        <v>3</v>
      </c>
      <c r="AO198" s="35">
        <f t="shared" si="170"/>
        <v>600.81818181818187</v>
      </c>
      <c r="AP198" s="35">
        <f t="shared" si="171"/>
        <v>879.5</v>
      </c>
      <c r="AQ198" s="35">
        <f t="shared" si="172"/>
        <v>558</v>
      </c>
      <c r="AR198" s="35">
        <f t="shared" si="173"/>
        <v>668.6</v>
      </c>
      <c r="AS198" s="35">
        <f t="shared" si="174"/>
        <v>609.80952380952385</v>
      </c>
      <c r="AT198" s="35">
        <f t="shared" si="175"/>
        <v>730.06451612903231</v>
      </c>
      <c r="AU198" s="35">
        <f t="shared" si="176"/>
        <v>554.66666666666663</v>
      </c>
      <c r="AV198" s="35">
        <f t="shared" si="177"/>
        <v>703.24</v>
      </c>
      <c r="AW198" s="35">
        <f t="shared" si="178"/>
        <v>252.66666666666666</v>
      </c>
      <c r="AX198" s="35">
        <f t="shared" si="179"/>
        <v>889.97222222222217</v>
      </c>
      <c r="AY198" s="28">
        <f t="shared" si="180"/>
        <v>644.73377773122934</v>
      </c>
      <c r="AZ198" s="35">
        <f t="shared" si="181"/>
        <v>-518.73377773122934</v>
      </c>
      <c r="BA198" s="35">
        <f t="shared" si="182"/>
        <v>518.73377773122934</v>
      </c>
      <c r="BB198" s="35">
        <f t="shared" si="183"/>
        <v>269084.73215931247</v>
      </c>
      <c r="BC198" s="35">
        <f t="shared" si="184"/>
        <v>3077895.3682518811</v>
      </c>
      <c r="BE198" s="37">
        <v>1</v>
      </c>
      <c r="BF198" s="37">
        <v>0</v>
      </c>
      <c r="BG198" s="37">
        <v>2</v>
      </c>
      <c r="BH198" s="37">
        <v>0</v>
      </c>
      <c r="BI198" s="37">
        <v>2</v>
      </c>
      <c r="BJ198" s="37">
        <v>0</v>
      </c>
      <c r="BK198" s="37">
        <v>1</v>
      </c>
      <c r="BL198" s="37">
        <v>0</v>
      </c>
      <c r="BM198" s="37">
        <v>2</v>
      </c>
      <c r="BN198" s="37">
        <v>2</v>
      </c>
      <c r="BO198" s="11">
        <f t="shared" si="185"/>
        <v>3</v>
      </c>
      <c r="BP198" s="11">
        <f t="shared" si="186"/>
        <v>3</v>
      </c>
      <c r="BQ198" s="11">
        <f t="shared" si="187"/>
        <v>3</v>
      </c>
      <c r="BR198" s="11">
        <f t="shared" si="188"/>
        <v>3</v>
      </c>
      <c r="BS198" s="11">
        <f t="shared" si="189"/>
        <v>3</v>
      </c>
      <c r="BT198" s="11">
        <f t="shared" si="190"/>
        <v>3</v>
      </c>
      <c r="BU198" s="11">
        <f t="shared" si="191"/>
        <v>3</v>
      </c>
      <c r="BV198" s="11">
        <f t="shared" si="192"/>
        <v>3</v>
      </c>
      <c r="BW198" s="11">
        <f t="shared" si="193"/>
        <v>3</v>
      </c>
      <c r="BX198" s="11">
        <f t="shared" si="194"/>
        <v>3</v>
      </c>
      <c r="BY198" s="35">
        <f t="shared" si="195"/>
        <v>526.31578947368416</v>
      </c>
      <c r="BZ198" s="35">
        <f t="shared" si="196"/>
        <v>549.21428571428567</v>
      </c>
      <c r="CA198" s="35">
        <f t="shared" si="197"/>
        <v>431.78571428571428</v>
      </c>
      <c r="CB198" s="35">
        <f t="shared" si="198"/>
        <v>468.77777777777777</v>
      </c>
      <c r="CC198" s="35">
        <f t="shared" si="199"/>
        <v>493.23809523809524</v>
      </c>
      <c r="CD198" s="35">
        <f t="shared" si="200"/>
        <v>501.72972972972974</v>
      </c>
      <c r="CE198" s="35">
        <f t="shared" si="201"/>
        <v>737.21875</v>
      </c>
      <c r="CF198" s="35">
        <f t="shared" si="202"/>
        <v>454.56</v>
      </c>
      <c r="CG198" s="35">
        <f t="shared" si="203"/>
        <v>490.4848484848485</v>
      </c>
      <c r="CH198" s="35">
        <f t="shared" si="204"/>
        <v>453.52</v>
      </c>
      <c r="CI198" s="28">
        <f t="shared" si="205"/>
        <v>510.68449907041361</v>
      </c>
      <c r="CJ198" s="35">
        <f t="shared" si="206"/>
        <v>-384.68449907041361</v>
      </c>
      <c r="CK198" s="35">
        <f t="shared" si="207"/>
        <v>384.68449907041361</v>
      </c>
      <c r="CL198" s="35">
        <f t="shared" si="208"/>
        <v>147982.16382505506</v>
      </c>
      <c r="CM198" s="35">
        <f t="shared" si="209"/>
        <v>3077895.3682518811</v>
      </c>
    </row>
    <row r="199" spans="1:91" x14ac:dyDescent="0.3">
      <c r="A199" s="4" t="str">
        <f>DATASETS!A127</f>
        <v>MCARTHUR HIGHWAY</v>
      </c>
      <c r="B199" s="4" t="str">
        <f>DATASETS!E127</f>
        <v>Training</v>
      </c>
      <c r="C199" s="9">
        <f>DATASETS!C127</f>
        <v>82957</v>
      </c>
      <c r="D199" s="4">
        <f>DATASETS!B127</f>
        <v>2017</v>
      </c>
      <c r="E199" s="6">
        <f>DATASETS!I127</f>
        <v>126</v>
      </c>
      <c r="F199" s="9">
        <f>DATASETS!H127</f>
        <v>4109.13</v>
      </c>
      <c r="G199" s="11">
        <f t="shared" si="210"/>
        <v>0</v>
      </c>
      <c r="H199" s="11">
        <f t="shared" si="210"/>
        <v>0</v>
      </c>
      <c r="I199" s="11">
        <f t="shared" si="210"/>
        <v>0</v>
      </c>
      <c r="J199" s="11">
        <f t="shared" si="210"/>
        <v>0</v>
      </c>
      <c r="K199" s="11">
        <f t="shared" si="210"/>
        <v>0</v>
      </c>
      <c r="L199" s="11">
        <f t="shared" si="210"/>
        <v>0</v>
      </c>
      <c r="M199" s="11">
        <f t="shared" si="210"/>
        <v>0</v>
      </c>
      <c r="N199" s="11">
        <f t="shared" si="210"/>
        <v>0</v>
      </c>
      <c r="O199" s="11">
        <f t="shared" si="210"/>
        <v>0</v>
      </c>
      <c r="P199" s="11">
        <f t="shared" si="210"/>
        <v>0</v>
      </c>
      <c r="Q199" s="11">
        <f t="shared" si="210"/>
        <v>0</v>
      </c>
      <c r="R199" s="11">
        <f t="shared" si="210"/>
        <v>0</v>
      </c>
      <c r="S199" s="11">
        <f t="shared" si="210"/>
        <v>1</v>
      </c>
      <c r="T199" s="6">
        <f>DATASETS!D127</f>
        <v>891</v>
      </c>
      <c r="U199" s="37">
        <v>1</v>
      </c>
      <c r="V199" s="37">
        <v>1</v>
      </c>
      <c r="W199" s="37">
        <v>0</v>
      </c>
      <c r="X199" s="37">
        <v>1</v>
      </c>
      <c r="Y199" s="37">
        <v>2</v>
      </c>
      <c r="Z199" s="37">
        <v>2</v>
      </c>
      <c r="AA199" s="37">
        <v>1</v>
      </c>
      <c r="AB199" s="37">
        <v>0</v>
      </c>
      <c r="AC199" s="37">
        <v>2</v>
      </c>
      <c r="AD199" s="37">
        <v>0</v>
      </c>
      <c r="AE199" s="11">
        <f t="shared" si="160"/>
        <v>3</v>
      </c>
      <c r="AF199" s="11">
        <f t="shared" si="161"/>
        <v>3</v>
      </c>
      <c r="AG199" s="11">
        <f t="shared" si="162"/>
        <v>3</v>
      </c>
      <c r="AH199" s="11">
        <f t="shared" si="163"/>
        <v>3</v>
      </c>
      <c r="AI199" s="11">
        <f t="shared" si="164"/>
        <v>3</v>
      </c>
      <c r="AJ199" s="11">
        <f t="shared" si="165"/>
        <v>3</v>
      </c>
      <c r="AK199" s="11">
        <f t="shared" si="166"/>
        <v>4</v>
      </c>
      <c r="AL199" s="11">
        <f t="shared" si="167"/>
        <v>3</v>
      </c>
      <c r="AM199" s="11">
        <f t="shared" si="168"/>
        <v>4</v>
      </c>
      <c r="AN199" s="11">
        <f t="shared" si="169"/>
        <v>3</v>
      </c>
      <c r="AO199" s="35">
        <f t="shared" si="170"/>
        <v>600.81818181818187</v>
      </c>
      <c r="AP199" s="35">
        <f t="shared" si="171"/>
        <v>879.5</v>
      </c>
      <c r="AQ199" s="35">
        <f t="shared" si="172"/>
        <v>558</v>
      </c>
      <c r="AR199" s="35">
        <f t="shared" si="173"/>
        <v>668.6</v>
      </c>
      <c r="AS199" s="35">
        <f t="shared" si="174"/>
        <v>609.80952380952385</v>
      </c>
      <c r="AT199" s="35">
        <f t="shared" si="175"/>
        <v>730.06451612903231</v>
      </c>
      <c r="AU199" s="35">
        <f t="shared" si="176"/>
        <v>763.24242424242425</v>
      </c>
      <c r="AV199" s="35">
        <f t="shared" si="177"/>
        <v>703.24</v>
      </c>
      <c r="AW199" s="35">
        <f t="shared" si="178"/>
        <v>838.3125</v>
      </c>
      <c r="AX199" s="35">
        <f t="shared" si="179"/>
        <v>889.97222222222217</v>
      </c>
      <c r="AY199" s="28">
        <f t="shared" si="180"/>
        <v>724.15593682213841</v>
      </c>
      <c r="AZ199" s="35">
        <f t="shared" si="181"/>
        <v>166.84406317786159</v>
      </c>
      <c r="BA199" s="35">
        <f t="shared" si="182"/>
        <v>166.84406317786159</v>
      </c>
      <c r="BB199" s="35">
        <f t="shared" si="183"/>
        <v>27836.941417698268</v>
      </c>
      <c r="BC199" s="35">
        <f t="shared" si="184"/>
        <v>978898.82979034248</v>
      </c>
      <c r="BE199" s="37">
        <v>1</v>
      </c>
      <c r="BF199" s="37">
        <v>1</v>
      </c>
      <c r="BG199" s="37">
        <v>0</v>
      </c>
      <c r="BH199" s="37">
        <v>1</v>
      </c>
      <c r="BI199" s="37">
        <v>2</v>
      </c>
      <c r="BJ199" s="37">
        <v>2</v>
      </c>
      <c r="BK199" s="37">
        <v>1</v>
      </c>
      <c r="BL199" s="37">
        <v>0</v>
      </c>
      <c r="BM199" s="37">
        <v>2</v>
      </c>
      <c r="BN199" s="37">
        <v>0</v>
      </c>
      <c r="BO199" s="11">
        <f t="shared" si="185"/>
        <v>3</v>
      </c>
      <c r="BP199" s="11">
        <f t="shared" si="186"/>
        <v>3</v>
      </c>
      <c r="BQ199" s="11">
        <f t="shared" si="187"/>
        <v>3</v>
      </c>
      <c r="BR199" s="11">
        <f t="shared" si="188"/>
        <v>3</v>
      </c>
      <c r="BS199" s="11">
        <f t="shared" si="189"/>
        <v>3</v>
      </c>
      <c r="BT199" s="11">
        <f t="shared" si="190"/>
        <v>3</v>
      </c>
      <c r="BU199" s="11">
        <f t="shared" si="191"/>
        <v>3</v>
      </c>
      <c r="BV199" s="11">
        <f t="shared" si="192"/>
        <v>3</v>
      </c>
      <c r="BW199" s="11">
        <f t="shared" si="193"/>
        <v>3</v>
      </c>
      <c r="BX199" s="11">
        <f t="shared" si="194"/>
        <v>3</v>
      </c>
      <c r="BY199" s="35">
        <f t="shared" si="195"/>
        <v>526.31578947368416</v>
      </c>
      <c r="BZ199" s="35">
        <f t="shared" si="196"/>
        <v>549.21428571428567</v>
      </c>
      <c r="CA199" s="35">
        <f t="shared" si="197"/>
        <v>431.78571428571428</v>
      </c>
      <c r="CB199" s="35">
        <f t="shared" si="198"/>
        <v>468.77777777777777</v>
      </c>
      <c r="CC199" s="35">
        <f t="shared" si="199"/>
        <v>493.23809523809524</v>
      </c>
      <c r="CD199" s="35">
        <f t="shared" si="200"/>
        <v>501.72972972972974</v>
      </c>
      <c r="CE199" s="35">
        <f t="shared" si="201"/>
        <v>737.21875</v>
      </c>
      <c r="CF199" s="35">
        <f t="shared" si="202"/>
        <v>454.56</v>
      </c>
      <c r="CG199" s="35">
        <f t="shared" si="203"/>
        <v>490.4848484848485</v>
      </c>
      <c r="CH199" s="35">
        <f t="shared" si="204"/>
        <v>453.52</v>
      </c>
      <c r="CI199" s="28">
        <f t="shared" si="205"/>
        <v>510.68449907041361</v>
      </c>
      <c r="CJ199" s="35">
        <f t="shared" si="206"/>
        <v>380.31550092958639</v>
      </c>
      <c r="CK199" s="35">
        <f t="shared" si="207"/>
        <v>380.31550092958639</v>
      </c>
      <c r="CL199" s="35">
        <f t="shared" si="208"/>
        <v>144639.88024732223</v>
      </c>
      <c r="CM199" s="35">
        <f t="shared" si="209"/>
        <v>978898.82979034248</v>
      </c>
    </row>
    <row r="200" spans="1:91" x14ac:dyDescent="0.3">
      <c r="A200" s="4" t="str">
        <f>DATASETS!A128</f>
        <v>MCARTHUR HIGHWAY</v>
      </c>
      <c r="B200" s="4" t="str">
        <f>DATASETS!E128</f>
        <v>Training</v>
      </c>
      <c r="C200" s="9">
        <f>DATASETS!C128</f>
        <v>92165</v>
      </c>
      <c r="D200" s="4">
        <f>DATASETS!B128</f>
        <v>2018</v>
      </c>
      <c r="E200" s="6">
        <f>DATASETS!I128</f>
        <v>891</v>
      </c>
      <c r="F200" s="9">
        <f>DATASETS!H128</f>
        <v>4109.13</v>
      </c>
      <c r="G200" s="11">
        <f t="shared" ref="G200:S209" si="211">IF($A200=G$88,1,0)</f>
        <v>0</v>
      </c>
      <c r="H200" s="11">
        <f t="shared" si="211"/>
        <v>0</v>
      </c>
      <c r="I200" s="11">
        <f t="shared" si="211"/>
        <v>0</v>
      </c>
      <c r="J200" s="11">
        <f t="shared" si="211"/>
        <v>0</v>
      </c>
      <c r="K200" s="11">
        <f t="shared" si="211"/>
        <v>0</v>
      </c>
      <c r="L200" s="11">
        <f t="shared" si="211"/>
        <v>0</v>
      </c>
      <c r="M200" s="11">
        <f t="shared" si="211"/>
        <v>0</v>
      </c>
      <c r="N200" s="11">
        <f t="shared" si="211"/>
        <v>0</v>
      </c>
      <c r="O200" s="11">
        <f t="shared" si="211"/>
        <v>0</v>
      </c>
      <c r="P200" s="11">
        <f t="shared" si="211"/>
        <v>0</v>
      </c>
      <c r="Q200" s="11">
        <f t="shared" si="211"/>
        <v>0</v>
      </c>
      <c r="R200" s="11">
        <f t="shared" si="211"/>
        <v>0</v>
      </c>
      <c r="S200" s="11">
        <f t="shared" si="211"/>
        <v>1</v>
      </c>
      <c r="T200" s="6">
        <f>DATASETS!D128</f>
        <v>812</v>
      </c>
      <c r="U200" s="37">
        <v>0</v>
      </c>
      <c r="V200" s="37">
        <v>0</v>
      </c>
      <c r="W200" s="37">
        <v>0</v>
      </c>
      <c r="X200" s="37">
        <v>0</v>
      </c>
      <c r="Y200" s="37">
        <v>1</v>
      </c>
      <c r="Z200" s="37">
        <v>1</v>
      </c>
      <c r="AA200" s="37">
        <v>1</v>
      </c>
      <c r="AB200" s="37">
        <v>3</v>
      </c>
      <c r="AC200" s="37">
        <v>1</v>
      </c>
      <c r="AD200" s="37">
        <v>1</v>
      </c>
      <c r="AE200" s="11">
        <f t="shared" si="160"/>
        <v>3</v>
      </c>
      <c r="AF200" s="11">
        <f t="shared" si="161"/>
        <v>3</v>
      </c>
      <c r="AG200" s="11">
        <f t="shared" si="162"/>
        <v>4</v>
      </c>
      <c r="AH200" s="11">
        <f t="shared" si="163"/>
        <v>3</v>
      </c>
      <c r="AI200" s="11">
        <f t="shared" si="164"/>
        <v>3</v>
      </c>
      <c r="AJ200" s="11">
        <f t="shared" si="165"/>
        <v>3</v>
      </c>
      <c r="AK200" s="11">
        <f t="shared" si="166"/>
        <v>4</v>
      </c>
      <c r="AL200" s="11">
        <f t="shared" si="167"/>
        <v>3</v>
      </c>
      <c r="AM200" s="11">
        <f t="shared" si="168"/>
        <v>4</v>
      </c>
      <c r="AN200" s="11">
        <f t="shared" si="169"/>
        <v>3</v>
      </c>
      <c r="AO200" s="35">
        <f t="shared" si="170"/>
        <v>600.81818181818187</v>
      </c>
      <c r="AP200" s="35">
        <f t="shared" si="171"/>
        <v>879.5</v>
      </c>
      <c r="AQ200" s="35">
        <f t="shared" si="172"/>
        <v>800.71794871794873</v>
      </c>
      <c r="AR200" s="35">
        <f t="shared" si="173"/>
        <v>668.6</v>
      </c>
      <c r="AS200" s="35">
        <f t="shared" si="174"/>
        <v>609.80952380952385</v>
      </c>
      <c r="AT200" s="35">
        <f t="shared" si="175"/>
        <v>730.06451612903231</v>
      </c>
      <c r="AU200" s="35">
        <f t="shared" si="176"/>
        <v>763.24242424242425</v>
      </c>
      <c r="AV200" s="35">
        <f t="shared" si="177"/>
        <v>703.24</v>
      </c>
      <c r="AW200" s="35">
        <f t="shared" si="178"/>
        <v>838.3125</v>
      </c>
      <c r="AX200" s="35">
        <f t="shared" si="179"/>
        <v>889.97222222222217</v>
      </c>
      <c r="AY200" s="28">
        <f t="shared" si="180"/>
        <v>748.42773169393331</v>
      </c>
      <c r="AZ200" s="35">
        <f t="shared" si="181"/>
        <v>63.57226830606669</v>
      </c>
      <c r="BA200" s="35">
        <f t="shared" si="182"/>
        <v>63.57226830606669</v>
      </c>
      <c r="BB200" s="35">
        <f t="shared" si="183"/>
        <v>4041.4332975785314</v>
      </c>
      <c r="BC200" s="35">
        <f t="shared" si="184"/>
        <v>1141463.9494484621</v>
      </c>
      <c r="BE200" s="37">
        <v>0</v>
      </c>
      <c r="BF200" s="37">
        <v>0</v>
      </c>
      <c r="BG200" s="37">
        <v>0</v>
      </c>
      <c r="BH200" s="37">
        <v>0</v>
      </c>
      <c r="BI200" s="37">
        <v>1</v>
      </c>
      <c r="BJ200" s="37">
        <v>1</v>
      </c>
      <c r="BK200" s="37">
        <v>1</v>
      </c>
      <c r="BL200" s="37">
        <v>3</v>
      </c>
      <c r="BM200" s="37">
        <v>1</v>
      </c>
      <c r="BN200" s="37">
        <v>1</v>
      </c>
      <c r="BO200" s="11">
        <f t="shared" si="185"/>
        <v>4</v>
      </c>
      <c r="BP200" s="11">
        <f t="shared" si="186"/>
        <v>4</v>
      </c>
      <c r="BQ200" s="11">
        <f t="shared" si="187"/>
        <v>4</v>
      </c>
      <c r="BR200" s="11">
        <f t="shared" si="188"/>
        <v>4</v>
      </c>
      <c r="BS200" s="11">
        <f t="shared" si="189"/>
        <v>4</v>
      </c>
      <c r="BT200" s="11">
        <f t="shared" si="190"/>
        <v>4</v>
      </c>
      <c r="BU200" s="11">
        <f t="shared" si="191"/>
        <v>3</v>
      </c>
      <c r="BV200" s="11">
        <f t="shared" si="192"/>
        <v>4</v>
      </c>
      <c r="BW200" s="11">
        <f t="shared" si="193"/>
        <v>4</v>
      </c>
      <c r="BX200" s="11">
        <f t="shared" si="194"/>
        <v>4</v>
      </c>
      <c r="BY200" s="35">
        <f t="shared" si="195"/>
        <v>1064.1818181818182</v>
      </c>
      <c r="BZ200" s="35">
        <f t="shared" si="196"/>
        <v>1019.8181818181819</v>
      </c>
      <c r="CA200" s="35">
        <f t="shared" si="197"/>
        <v>1010.6551724137931</v>
      </c>
      <c r="CB200" s="35">
        <f t="shared" si="198"/>
        <v>1067.3953488372092</v>
      </c>
      <c r="CC200" s="35">
        <f t="shared" si="199"/>
        <v>1186.5882352941176</v>
      </c>
      <c r="CD200" s="35">
        <f t="shared" si="200"/>
        <v>1025.608695652174</v>
      </c>
      <c r="CE200" s="35">
        <f t="shared" si="201"/>
        <v>737.21875</v>
      </c>
      <c r="CF200" s="35">
        <f t="shared" si="202"/>
        <v>1130.5</v>
      </c>
      <c r="CG200" s="35">
        <f t="shared" si="203"/>
        <v>1060.5135135135135</v>
      </c>
      <c r="CH200" s="35">
        <f t="shared" si="204"/>
        <v>1071.409090909091</v>
      </c>
      <c r="CI200" s="28">
        <f t="shared" si="205"/>
        <v>1037.38888066199</v>
      </c>
      <c r="CJ200" s="35">
        <f t="shared" si="206"/>
        <v>-225.38888066199002</v>
      </c>
      <c r="CK200" s="35">
        <f t="shared" si="207"/>
        <v>225.38888066199002</v>
      </c>
      <c r="CL200" s="35">
        <f t="shared" si="208"/>
        <v>50800.147526064779</v>
      </c>
      <c r="CM200" s="35">
        <f t="shared" si="209"/>
        <v>1141463.9494484621</v>
      </c>
    </row>
    <row r="201" spans="1:91" x14ac:dyDescent="0.3">
      <c r="A201" s="4" t="str">
        <f>DATASETS!A129</f>
        <v>MCARTHUR HIGHWAY</v>
      </c>
      <c r="B201" s="4" t="str">
        <f>DATASETS!E129</f>
        <v>Training</v>
      </c>
      <c r="C201" s="9">
        <f>DATASETS!C129</f>
        <v>97927</v>
      </c>
      <c r="D201" s="4">
        <f>DATASETS!B129</f>
        <v>2019</v>
      </c>
      <c r="E201" s="6">
        <f>DATASETS!I129</f>
        <v>812</v>
      </c>
      <c r="F201" s="9">
        <f>DATASETS!H129</f>
        <v>4109.13</v>
      </c>
      <c r="G201" s="11">
        <f t="shared" si="211"/>
        <v>0</v>
      </c>
      <c r="H201" s="11">
        <f t="shared" si="211"/>
        <v>0</v>
      </c>
      <c r="I201" s="11">
        <f t="shared" si="211"/>
        <v>0</v>
      </c>
      <c r="J201" s="11">
        <f t="shared" si="211"/>
        <v>0</v>
      </c>
      <c r="K201" s="11">
        <f t="shared" si="211"/>
        <v>0</v>
      </c>
      <c r="L201" s="11">
        <f t="shared" si="211"/>
        <v>0</v>
      </c>
      <c r="M201" s="11">
        <f t="shared" si="211"/>
        <v>0</v>
      </c>
      <c r="N201" s="11">
        <f t="shared" si="211"/>
        <v>0</v>
      </c>
      <c r="O201" s="11">
        <f t="shared" si="211"/>
        <v>0</v>
      </c>
      <c r="P201" s="11">
        <f t="shared" si="211"/>
        <v>0</v>
      </c>
      <c r="Q201" s="11">
        <f t="shared" si="211"/>
        <v>0</v>
      </c>
      <c r="R201" s="11">
        <f t="shared" si="211"/>
        <v>0</v>
      </c>
      <c r="S201" s="11">
        <f t="shared" si="211"/>
        <v>1</v>
      </c>
      <c r="T201" s="6">
        <f>DATASETS!D129</f>
        <v>882</v>
      </c>
      <c r="U201" s="37">
        <v>2</v>
      </c>
      <c r="V201" s="37">
        <v>1</v>
      </c>
      <c r="W201" s="37">
        <v>0</v>
      </c>
      <c r="X201" s="37">
        <v>1</v>
      </c>
      <c r="Y201" s="37">
        <v>0</v>
      </c>
      <c r="Z201" s="37">
        <v>0</v>
      </c>
      <c r="AA201" s="37">
        <v>0</v>
      </c>
      <c r="AB201" s="37">
        <v>3</v>
      </c>
      <c r="AC201" s="37">
        <v>1</v>
      </c>
      <c r="AD201" s="37">
        <v>1</v>
      </c>
      <c r="AE201" s="11">
        <f t="shared" si="160"/>
        <v>4</v>
      </c>
      <c r="AF201" s="11">
        <f t="shared" si="161"/>
        <v>3</v>
      </c>
      <c r="AG201" s="11">
        <f t="shared" si="162"/>
        <v>4</v>
      </c>
      <c r="AH201" s="11">
        <f t="shared" si="163"/>
        <v>3</v>
      </c>
      <c r="AI201" s="11">
        <f t="shared" si="164"/>
        <v>3</v>
      </c>
      <c r="AJ201" s="11">
        <f t="shared" si="165"/>
        <v>3</v>
      </c>
      <c r="AK201" s="11">
        <f t="shared" si="166"/>
        <v>4</v>
      </c>
      <c r="AL201" s="11">
        <f t="shared" si="167"/>
        <v>3</v>
      </c>
      <c r="AM201" s="11">
        <f t="shared" si="168"/>
        <v>4</v>
      </c>
      <c r="AN201" s="11">
        <f t="shared" si="169"/>
        <v>3</v>
      </c>
      <c r="AO201" s="35">
        <f t="shared" si="170"/>
        <v>920.9375</v>
      </c>
      <c r="AP201" s="35">
        <f t="shared" si="171"/>
        <v>879.5</v>
      </c>
      <c r="AQ201" s="35">
        <f t="shared" si="172"/>
        <v>800.71794871794873</v>
      </c>
      <c r="AR201" s="35">
        <f t="shared" si="173"/>
        <v>668.6</v>
      </c>
      <c r="AS201" s="35">
        <f t="shared" si="174"/>
        <v>609.80952380952385</v>
      </c>
      <c r="AT201" s="35">
        <f t="shared" si="175"/>
        <v>730.06451612903231</v>
      </c>
      <c r="AU201" s="35">
        <f t="shared" si="176"/>
        <v>763.24242424242425</v>
      </c>
      <c r="AV201" s="35">
        <f t="shared" si="177"/>
        <v>703.24</v>
      </c>
      <c r="AW201" s="35">
        <f t="shared" si="178"/>
        <v>838.3125</v>
      </c>
      <c r="AX201" s="35">
        <f t="shared" si="179"/>
        <v>889.97222222222217</v>
      </c>
      <c r="AY201" s="28">
        <f t="shared" si="180"/>
        <v>780.43966351211509</v>
      </c>
      <c r="AZ201" s="35">
        <f t="shared" si="181"/>
        <v>101.56033648788491</v>
      </c>
      <c r="BA201" s="35">
        <f t="shared" si="182"/>
        <v>101.56033648788491</v>
      </c>
      <c r="BB201" s="35">
        <f t="shared" si="183"/>
        <v>10314.501947532408</v>
      </c>
      <c r="BC201" s="35">
        <f t="shared" si="184"/>
        <v>996788.90671341948</v>
      </c>
      <c r="BE201" s="37">
        <v>2</v>
      </c>
      <c r="BF201" s="37">
        <v>1</v>
      </c>
      <c r="BG201" s="37">
        <v>0</v>
      </c>
      <c r="BH201" s="37">
        <v>1</v>
      </c>
      <c r="BI201" s="37">
        <v>0</v>
      </c>
      <c r="BJ201" s="37">
        <v>0</v>
      </c>
      <c r="BK201" s="37">
        <v>0</v>
      </c>
      <c r="BL201" s="37">
        <v>3</v>
      </c>
      <c r="BM201" s="37">
        <v>1</v>
      </c>
      <c r="BN201" s="37">
        <v>1</v>
      </c>
      <c r="BO201" s="11">
        <f t="shared" si="185"/>
        <v>4</v>
      </c>
      <c r="BP201" s="11">
        <f t="shared" si="186"/>
        <v>4</v>
      </c>
      <c r="BQ201" s="11">
        <f t="shared" si="187"/>
        <v>4</v>
      </c>
      <c r="BR201" s="11">
        <f t="shared" si="188"/>
        <v>4</v>
      </c>
      <c r="BS201" s="11">
        <f t="shared" si="189"/>
        <v>4</v>
      </c>
      <c r="BT201" s="11">
        <f t="shared" si="190"/>
        <v>4</v>
      </c>
      <c r="BU201" s="11">
        <f t="shared" si="191"/>
        <v>3</v>
      </c>
      <c r="BV201" s="11">
        <f t="shared" si="192"/>
        <v>4</v>
      </c>
      <c r="BW201" s="11">
        <f t="shared" si="193"/>
        <v>4</v>
      </c>
      <c r="BX201" s="11">
        <f t="shared" si="194"/>
        <v>4</v>
      </c>
      <c r="BY201" s="35">
        <f t="shared" si="195"/>
        <v>1064.1818181818182</v>
      </c>
      <c r="BZ201" s="35">
        <f t="shared" si="196"/>
        <v>1019.8181818181819</v>
      </c>
      <c r="CA201" s="35">
        <f t="shared" si="197"/>
        <v>1010.6551724137931</v>
      </c>
      <c r="CB201" s="35">
        <f t="shared" si="198"/>
        <v>1067.3953488372092</v>
      </c>
      <c r="CC201" s="35">
        <f t="shared" si="199"/>
        <v>1186.5882352941176</v>
      </c>
      <c r="CD201" s="35">
        <f t="shared" si="200"/>
        <v>1025.608695652174</v>
      </c>
      <c r="CE201" s="35">
        <f t="shared" si="201"/>
        <v>737.21875</v>
      </c>
      <c r="CF201" s="35">
        <f t="shared" si="202"/>
        <v>1130.5</v>
      </c>
      <c r="CG201" s="35">
        <f t="shared" si="203"/>
        <v>1060.5135135135135</v>
      </c>
      <c r="CH201" s="35">
        <f t="shared" si="204"/>
        <v>1071.409090909091</v>
      </c>
      <c r="CI201" s="28">
        <f t="shared" si="205"/>
        <v>1037.38888066199</v>
      </c>
      <c r="CJ201" s="35">
        <f t="shared" si="206"/>
        <v>-155.38888066199002</v>
      </c>
      <c r="CK201" s="35">
        <f t="shared" si="207"/>
        <v>155.38888066199002</v>
      </c>
      <c r="CL201" s="35">
        <f t="shared" si="208"/>
        <v>24145.704233386175</v>
      </c>
      <c r="CM201" s="35">
        <f t="shared" si="209"/>
        <v>996788.90671341948</v>
      </c>
    </row>
    <row r="202" spans="1:91" x14ac:dyDescent="0.3">
      <c r="A202" s="4" t="str">
        <f>DATASETS!A130</f>
        <v>MCARTHUR HIGHWAY</v>
      </c>
      <c r="B202" s="4" t="str">
        <f>DATASETS!E130</f>
        <v>Training</v>
      </c>
      <c r="C202" s="9">
        <f>DATASETS!C130</f>
        <v>111070</v>
      </c>
      <c r="D202" s="4">
        <f>DATASETS!B130</f>
        <v>2020</v>
      </c>
      <c r="E202" s="6">
        <f>DATASETS!I130</f>
        <v>882</v>
      </c>
      <c r="F202" s="9">
        <f>DATASETS!H130</f>
        <v>4109.13</v>
      </c>
      <c r="G202" s="11">
        <f t="shared" si="211"/>
        <v>0</v>
      </c>
      <c r="H202" s="11">
        <f t="shared" si="211"/>
        <v>0</v>
      </c>
      <c r="I202" s="11">
        <f t="shared" si="211"/>
        <v>0</v>
      </c>
      <c r="J202" s="11">
        <f t="shared" si="211"/>
        <v>0</v>
      </c>
      <c r="K202" s="11">
        <f t="shared" si="211"/>
        <v>0</v>
      </c>
      <c r="L202" s="11">
        <f t="shared" si="211"/>
        <v>0</v>
      </c>
      <c r="M202" s="11">
        <f t="shared" si="211"/>
        <v>0</v>
      </c>
      <c r="N202" s="11">
        <f t="shared" si="211"/>
        <v>0</v>
      </c>
      <c r="O202" s="11">
        <f t="shared" si="211"/>
        <v>0</v>
      </c>
      <c r="P202" s="11">
        <f t="shared" si="211"/>
        <v>0</v>
      </c>
      <c r="Q202" s="11">
        <f t="shared" si="211"/>
        <v>0</v>
      </c>
      <c r="R202" s="11">
        <f t="shared" si="211"/>
        <v>0</v>
      </c>
      <c r="S202" s="11">
        <f t="shared" si="211"/>
        <v>1</v>
      </c>
      <c r="T202" s="6">
        <f>DATASETS!D130</f>
        <v>721</v>
      </c>
      <c r="U202" s="37">
        <v>0</v>
      </c>
      <c r="V202" s="37">
        <v>0</v>
      </c>
      <c r="W202" s="37">
        <v>2</v>
      </c>
      <c r="X202" s="37">
        <v>2</v>
      </c>
      <c r="Y202" s="37">
        <v>2</v>
      </c>
      <c r="Z202" s="37">
        <v>0</v>
      </c>
      <c r="AA202" s="37">
        <v>0</v>
      </c>
      <c r="AB202" s="37">
        <v>0</v>
      </c>
      <c r="AC202" s="37">
        <v>1</v>
      </c>
      <c r="AD202" s="37">
        <v>0</v>
      </c>
      <c r="AE202" s="11">
        <f t="shared" si="160"/>
        <v>4</v>
      </c>
      <c r="AF202" s="11">
        <f t="shared" si="161"/>
        <v>3</v>
      </c>
      <c r="AG202" s="11">
        <f t="shared" si="162"/>
        <v>4</v>
      </c>
      <c r="AH202" s="11">
        <f t="shared" si="163"/>
        <v>3</v>
      </c>
      <c r="AI202" s="11">
        <f t="shared" si="164"/>
        <v>4</v>
      </c>
      <c r="AJ202" s="11">
        <f t="shared" si="165"/>
        <v>4</v>
      </c>
      <c r="AK202" s="11">
        <f t="shared" si="166"/>
        <v>4</v>
      </c>
      <c r="AL202" s="11">
        <f t="shared" si="167"/>
        <v>4</v>
      </c>
      <c r="AM202" s="11">
        <f t="shared" si="168"/>
        <v>4</v>
      </c>
      <c r="AN202" s="11">
        <f t="shared" si="169"/>
        <v>4</v>
      </c>
      <c r="AO202" s="35">
        <f t="shared" si="170"/>
        <v>920.9375</v>
      </c>
      <c r="AP202" s="35">
        <f t="shared" si="171"/>
        <v>879.5</v>
      </c>
      <c r="AQ202" s="35">
        <f t="shared" si="172"/>
        <v>800.71794871794873</v>
      </c>
      <c r="AR202" s="35">
        <f t="shared" si="173"/>
        <v>668.6</v>
      </c>
      <c r="AS202" s="35">
        <f t="shared" si="174"/>
        <v>938.71428571428567</v>
      </c>
      <c r="AT202" s="35">
        <f t="shared" si="175"/>
        <v>516.90476190476193</v>
      </c>
      <c r="AU202" s="35">
        <f t="shared" si="176"/>
        <v>763.24242424242425</v>
      </c>
      <c r="AV202" s="35">
        <f t="shared" si="177"/>
        <v>986.22580645161293</v>
      </c>
      <c r="AW202" s="35">
        <f t="shared" si="178"/>
        <v>838.3125</v>
      </c>
      <c r="AX202" s="35">
        <f t="shared" si="179"/>
        <v>556.0625</v>
      </c>
      <c r="AY202" s="28">
        <f t="shared" si="180"/>
        <v>786.92177270310322</v>
      </c>
      <c r="AZ202" s="35">
        <f t="shared" si="181"/>
        <v>-65.921772703103215</v>
      </c>
      <c r="BA202" s="35">
        <f t="shared" si="182"/>
        <v>65.921772703103215</v>
      </c>
      <c r="BB202" s="35">
        <f t="shared" si="183"/>
        <v>4345.6801163196042</v>
      </c>
      <c r="BC202" s="35">
        <f t="shared" si="184"/>
        <v>1344192.5050040178</v>
      </c>
      <c r="BE202" s="37">
        <v>0</v>
      </c>
      <c r="BF202" s="37">
        <v>0</v>
      </c>
      <c r="BG202" s="37">
        <v>2</v>
      </c>
      <c r="BH202" s="37">
        <v>2</v>
      </c>
      <c r="BI202" s="37">
        <v>2</v>
      </c>
      <c r="BJ202" s="37">
        <v>0</v>
      </c>
      <c r="BK202" s="37">
        <v>0</v>
      </c>
      <c r="BL202" s="37">
        <v>0</v>
      </c>
      <c r="BM202" s="37">
        <v>1</v>
      </c>
      <c r="BN202" s="37">
        <v>0</v>
      </c>
      <c r="BO202" s="11">
        <f t="shared" si="185"/>
        <v>4</v>
      </c>
      <c r="BP202" s="11">
        <f t="shared" si="186"/>
        <v>4</v>
      </c>
      <c r="BQ202" s="11">
        <f t="shared" si="187"/>
        <v>4</v>
      </c>
      <c r="BR202" s="11">
        <f t="shared" si="188"/>
        <v>4</v>
      </c>
      <c r="BS202" s="11">
        <f t="shared" si="189"/>
        <v>4</v>
      </c>
      <c r="BT202" s="11">
        <f t="shared" si="190"/>
        <v>4</v>
      </c>
      <c r="BU202" s="11">
        <f t="shared" si="191"/>
        <v>3</v>
      </c>
      <c r="BV202" s="11">
        <f t="shared" si="192"/>
        <v>4</v>
      </c>
      <c r="BW202" s="11">
        <f t="shared" si="193"/>
        <v>4</v>
      </c>
      <c r="BX202" s="11">
        <f t="shared" si="194"/>
        <v>4</v>
      </c>
      <c r="BY202" s="35">
        <f t="shared" si="195"/>
        <v>1064.1818181818182</v>
      </c>
      <c r="BZ202" s="35">
        <f t="shared" si="196"/>
        <v>1019.8181818181819</v>
      </c>
      <c r="CA202" s="35">
        <f t="shared" si="197"/>
        <v>1010.6551724137931</v>
      </c>
      <c r="CB202" s="35">
        <f t="shared" si="198"/>
        <v>1067.3953488372092</v>
      </c>
      <c r="CC202" s="35">
        <f t="shared" si="199"/>
        <v>1186.5882352941176</v>
      </c>
      <c r="CD202" s="35">
        <f t="shared" si="200"/>
        <v>1025.608695652174</v>
      </c>
      <c r="CE202" s="35">
        <f t="shared" si="201"/>
        <v>737.21875</v>
      </c>
      <c r="CF202" s="35">
        <f t="shared" si="202"/>
        <v>1130.5</v>
      </c>
      <c r="CG202" s="35">
        <f t="shared" si="203"/>
        <v>1060.5135135135135</v>
      </c>
      <c r="CH202" s="35">
        <f t="shared" si="204"/>
        <v>1071.409090909091</v>
      </c>
      <c r="CI202" s="28">
        <f t="shared" si="205"/>
        <v>1037.38888066199</v>
      </c>
      <c r="CJ202" s="35">
        <f t="shared" si="206"/>
        <v>-316.38888066199002</v>
      </c>
      <c r="CK202" s="35">
        <f t="shared" si="207"/>
        <v>316.38888066199002</v>
      </c>
      <c r="CL202" s="35">
        <f t="shared" si="208"/>
        <v>100101.92380654695</v>
      </c>
      <c r="CM202" s="35">
        <f t="shared" si="209"/>
        <v>1344192.5050040178</v>
      </c>
    </row>
    <row r="203" spans="1:91" x14ac:dyDescent="0.3">
      <c r="A203" s="4" t="str">
        <f>DATASETS!A131</f>
        <v>MCARTHUR HIGHWAY</v>
      </c>
      <c r="B203" s="4" t="str">
        <f>DATASETS!E131</f>
        <v>Training</v>
      </c>
      <c r="C203" s="9">
        <f>DATASETS!C131</f>
        <v>123390</v>
      </c>
      <c r="D203" s="4">
        <f>DATASETS!B131</f>
        <v>2021</v>
      </c>
      <c r="E203" s="6">
        <f>DATASETS!I131</f>
        <v>721</v>
      </c>
      <c r="F203" s="9">
        <f>DATASETS!H131</f>
        <v>4109.13</v>
      </c>
      <c r="G203" s="11">
        <f t="shared" si="211"/>
        <v>0</v>
      </c>
      <c r="H203" s="11">
        <f t="shared" si="211"/>
        <v>0</v>
      </c>
      <c r="I203" s="11">
        <f t="shared" si="211"/>
        <v>0</v>
      </c>
      <c r="J203" s="11">
        <f t="shared" si="211"/>
        <v>0</v>
      </c>
      <c r="K203" s="11">
        <f t="shared" si="211"/>
        <v>0</v>
      </c>
      <c r="L203" s="11">
        <f t="shared" si="211"/>
        <v>0</v>
      </c>
      <c r="M203" s="11">
        <f t="shared" si="211"/>
        <v>0</v>
      </c>
      <c r="N203" s="11">
        <f t="shared" si="211"/>
        <v>0</v>
      </c>
      <c r="O203" s="11">
        <f t="shared" si="211"/>
        <v>0</v>
      </c>
      <c r="P203" s="11">
        <f t="shared" si="211"/>
        <v>0</v>
      </c>
      <c r="Q203" s="11">
        <f t="shared" si="211"/>
        <v>0</v>
      </c>
      <c r="R203" s="11">
        <f t="shared" si="211"/>
        <v>0</v>
      </c>
      <c r="S203" s="11">
        <f t="shared" si="211"/>
        <v>1</v>
      </c>
      <c r="T203" s="6">
        <f>DATASETS!D131</f>
        <v>463</v>
      </c>
      <c r="U203" s="37">
        <v>2</v>
      </c>
      <c r="V203" s="37">
        <v>2</v>
      </c>
      <c r="W203" s="37">
        <v>0</v>
      </c>
      <c r="X203" s="37">
        <v>2</v>
      </c>
      <c r="Y203" s="37">
        <v>0</v>
      </c>
      <c r="Z203" s="37">
        <v>3</v>
      </c>
      <c r="AA203" s="37">
        <v>0</v>
      </c>
      <c r="AB203" s="37">
        <v>1</v>
      </c>
      <c r="AC203" s="37">
        <v>2</v>
      </c>
      <c r="AD203" s="37">
        <v>0</v>
      </c>
      <c r="AE203" s="11">
        <f t="shared" si="160"/>
        <v>4</v>
      </c>
      <c r="AF203" s="11">
        <f t="shared" si="161"/>
        <v>4</v>
      </c>
      <c r="AG203" s="11">
        <f t="shared" si="162"/>
        <v>4</v>
      </c>
      <c r="AH203" s="11">
        <f t="shared" si="163"/>
        <v>4</v>
      </c>
      <c r="AI203" s="11">
        <f t="shared" si="164"/>
        <v>6</v>
      </c>
      <c r="AJ203" s="11">
        <f t="shared" si="165"/>
        <v>4</v>
      </c>
      <c r="AK203" s="11">
        <f t="shared" si="166"/>
        <v>6</v>
      </c>
      <c r="AL203" s="11">
        <f t="shared" si="167"/>
        <v>4</v>
      </c>
      <c r="AM203" s="11">
        <f t="shared" si="168"/>
        <v>4</v>
      </c>
      <c r="AN203" s="11">
        <f t="shared" si="169"/>
        <v>4</v>
      </c>
      <c r="AO203" s="35">
        <f t="shared" si="170"/>
        <v>920.9375</v>
      </c>
      <c r="AP203" s="35">
        <f t="shared" si="171"/>
        <v>450</v>
      </c>
      <c r="AQ203" s="35">
        <f t="shared" si="172"/>
        <v>800.71794871794873</v>
      </c>
      <c r="AR203" s="35">
        <f t="shared" si="173"/>
        <v>1087.8888888888889</v>
      </c>
      <c r="AS203" s="35">
        <f t="shared" si="174"/>
        <v>1491.3571428571429</v>
      </c>
      <c r="AT203" s="35">
        <f t="shared" si="175"/>
        <v>516.90476190476193</v>
      </c>
      <c r="AU203" s="35">
        <f t="shared" si="176"/>
        <v>1434.4848484848485</v>
      </c>
      <c r="AV203" s="35">
        <f t="shared" si="177"/>
        <v>986.22580645161293</v>
      </c>
      <c r="AW203" s="35">
        <f t="shared" si="178"/>
        <v>838.3125</v>
      </c>
      <c r="AX203" s="35">
        <f t="shared" si="179"/>
        <v>556.0625</v>
      </c>
      <c r="AY203" s="28">
        <f t="shared" si="180"/>
        <v>908.28918973052021</v>
      </c>
      <c r="AZ203" s="35">
        <f t="shared" si="181"/>
        <v>-445.28918973052021</v>
      </c>
      <c r="BA203" s="35">
        <f t="shared" si="182"/>
        <v>445.28918973052021</v>
      </c>
      <c r="BB203" s="35">
        <f t="shared" si="183"/>
        <v>198282.46249086322</v>
      </c>
      <c r="BC203" s="35">
        <f t="shared" si="184"/>
        <v>2009003.3767988896</v>
      </c>
      <c r="BE203" s="37">
        <v>2</v>
      </c>
      <c r="BF203" s="37">
        <v>2</v>
      </c>
      <c r="BG203" s="37">
        <v>0</v>
      </c>
      <c r="BH203" s="37">
        <v>2</v>
      </c>
      <c r="BI203" s="37">
        <v>0</v>
      </c>
      <c r="BJ203" s="37">
        <v>3</v>
      </c>
      <c r="BK203" s="37">
        <v>0</v>
      </c>
      <c r="BL203" s="37">
        <v>1</v>
      </c>
      <c r="BM203" s="37">
        <v>2</v>
      </c>
      <c r="BN203" s="37">
        <v>0</v>
      </c>
      <c r="BO203" s="11">
        <f t="shared" si="185"/>
        <v>3</v>
      </c>
      <c r="BP203" s="11">
        <f t="shared" si="186"/>
        <v>4</v>
      </c>
      <c r="BQ203" s="11">
        <f t="shared" si="187"/>
        <v>4</v>
      </c>
      <c r="BR203" s="11">
        <f t="shared" si="188"/>
        <v>3</v>
      </c>
      <c r="BS203" s="11">
        <f t="shared" si="189"/>
        <v>3</v>
      </c>
      <c r="BT203" s="11">
        <f t="shared" si="190"/>
        <v>3</v>
      </c>
      <c r="BU203" s="11">
        <f t="shared" si="191"/>
        <v>3</v>
      </c>
      <c r="BV203" s="11">
        <f t="shared" si="192"/>
        <v>3</v>
      </c>
      <c r="BW203" s="11">
        <f t="shared" si="193"/>
        <v>3</v>
      </c>
      <c r="BX203" s="11">
        <f t="shared" si="194"/>
        <v>4</v>
      </c>
      <c r="BY203" s="35">
        <f t="shared" si="195"/>
        <v>526.31578947368416</v>
      </c>
      <c r="BZ203" s="35">
        <f t="shared" si="196"/>
        <v>1019.8181818181819</v>
      </c>
      <c r="CA203" s="35">
        <f t="shared" si="197"/>
        <v>1010.6551724137931</v>
      </c>
      <c r="CB203" s="35">
        <f t="shared" si="198"/>
        <v>468.77777777777777</v>
      </c>
      <c r="CC203" s="35">
        <f t="shared" si="199"/>
        <v>493.23809523809524</v>
      </c>
      <c r="CD203" s="35">
        <f t="shared" si="200"/>
        <v>501.72972972972974</v>
      </c>
      <c r="CE203" s="35">
        <f t="shared" si="201"/>
        <v>737.21875</v>
      </c>
      <c r="CF203" s="35">
        <f t="shared" si="202"/>
        <v>454.56</v>
      </c>
      <c r="CG203" s="35">
        <f t="shared" si="203"/>
        <v>490.4848484848485</v>
      </c>
      <c r="CH203" s="35">
        <f t="shared" si="204"/>
        <v>1071.409090909091</v>
      </c>
      <c r="CI203" s="28">
        <f t="shared" si="205"/>
        <v>677.42074358452021</v>
      </c>
      <c r="CJ203" s="35">
        <f t="shared" si="206"/>
        <v>-214.42074358452021</v>
      </c>
      <c r="CK203" s="35">
        <f t="shared" si="207"/>
        <v>214.42074358452021</v>
      </c>
      <c r="CL203" s="35">
        <f t="shared" si="208"/>
        <v>45976.255279338562</v>
      </c>
      <c r="CM203" s="35">
        <f t="shared" si="209"/>
        <v>2009003.3767988896</v>
      </c>
    </row>
    <row r="204" spans="1:91" x14ac:dyDescent="0.3">
      <c r="A204" s="4" t="str">
        <f>DATASETS!A132</f>
        <v>MCARTHUR HIGHWAY</v>
      </c>
      <c r="B204" s="4" t="str">
        <f>DATASETS!E132</f>
        <v>Training</v>
      </c>
      <c r="C204" s="9">
        <f>DATASETS!C132</f>
        <v>100556</v>
      </c>
      <c r="D204" s="4">
        <f>DATASETS!B132</f>
        <v>2022</v>
      </c>
      <c r="E204" s="6">
        <f>DATASETS!I132</f>
        <v>463</v>
      </c>
      <c r="F204" s="9">
        <f>DATASETS!H132</f>
        <v>4109.13</v>
      </c>
      <c r="G204" s="11">
        <f t="shared" si="211"/>
        <v>0</v>
      </c>
      <c r="H204" s="11">
        <f t="shared" si="211"/>
        <v>0</v>
      </c>
      <c r="I204" s="11">
        <f t="shared" si="211"/>
        <v>0</v>
      </c>
      <c r="J204" s="11">
        <f t="shared" si="211"/>
        <v>0</v>
      </c>
      <c r="K204" s="11">
        <f t="shared" si="211"/>
        <v>0</v>
      </c>
      <c r="L204" s="11">
        <f t="shared" si="211"/>
        <v>0</v>
      </c>
      <c r="M204" s="11">
        <f t="shared" si="211"/>
        <v>0</v>
      </c>
      <c r="N204" s="11">
        <f t="shared" si="211"/>
        <v>0</v>
      </c>
      <c r="O204" s="11">
        <f t="shared" si="211"/>
        <v>0</v>
      </c>
      <c r="P204" s="11">
        <f t="shared" si="211"/>
        <v>0</v>
      </c>
      <c r="Q204" s="11">
        <f t="shared" si="211"/>
        <v>0</v>
      </c>
      <c r="R204" s="11">
        <f t="shared" si="211"/>
        <v>0</v>
      </c>
      <c r="S204" s="11">
        <f t="shared" si="211"/>
        <v>1</v>
      </c>
      <c r="T204" s="6">
        <f>DATASETS!D132</f>
        <v>334</v>
      </c>
      <c r="U204" s="37">
        <v>2</v>
      </c>
      <c r="V204" s="37">
        <v>0</v>
      </c>
      <c r="W204" s="37">
        <v>2</v>
      </c>
      <c r="X204" s="37">
        <v>0</v>
      </c>
      <c r="Y204" s="37">
        <v>2</v>
      </c>
      <c r="Z204" s="37">
        <v>1</v>
      </c>
      <c r="AA204" s="37">
        <v>0</v>
      </c>
      <c r="AB204" s="37">
        <v>0</v>
      </c>
      <c r="AC204" s="37">
        <v>3</v>
      </c>
      <c r="AD204" s="37">
        <v>0</v>
      </c>
      <c r="AE204" s="11">
        <f t="shared" si="160"/>
        <v>4</v>
      </c>
      <c r="AF204" s="11">
        <f t="shared" si="161"/>
        <v>3</v>
      </c>
      <c r="AG204" s="11">
        <f t="shared" si="162"/>
        <v>4</v>
      </c>
      <c r="AH204" s="11">
        <f t="shared" si="163"/>
        <v>3</v>
      </c>
      <c r="AI204" s="11">
        <f t="shared" si="164"/>
        <v>3</v>
      </c>
      <c r="AJ204" s="11">
        <f t="shared" si="165"/>
        <v>3</v>
      </c>
      <c r="AK204" s="11">
        <f t="shared" si="166"/>
        <v>4</v>
      </c>
      <c r="AL204" s="11">
        <f t="shared" si="167"/>
        <v>4</v>
      </c>
      <c r="AM204" s="11">
        <f t="shared" si="168"/>
        <v>4</v>
      </c>
      <c r="AN204" s="11">
        <f t="shared" si="169"/>
        <v>3</v>
      </c>
      <c r="AO204" s="35">
        <f t="shared" si="170"/>
        <v>920.9375</v>
      </c>
      <c r="AP204" s="35">
        <f t="shared" si="171"/>
        <v>879.5</v>
      </c>
      <c r="AQ204" s="35">
        <f t="shared" si="172"/>
        <v>800.71794871794873</v>
      </c>
      <c r="AR204" s="35">
        <f t="shared" si="173"/>
        <v>668.6</v>
      </c>
      <c r="AS204" s="35">
        <f t="shared" si="174"/>
        <v>609.80952380952385</v>
      </c>
      <c r="AT204" s="35">
        <f t="shared" si="175"/>
        <v>730.06451612903231</v>
      </c>
      <c r="AU204" s="35">
        <f t="shared" si="176"/>
        <v>763.24242424242425</v>
      </c>
      <c r="AV204" s="35">
        <f t="shared" si="177"/>
        <v>986.22580645161293</v>
      </c>
      <c r="AW204" s="35">
        <f t="shared" si="178"/>
        <v>838.3125</v>
      </c>
      <c r="AX204" s="35">
        <f t="shared" si="179"/>
        <v>889.97222222222217</v>
      </c>
      <c r="AY204" s="28">
        <f t="shared" si="180"/>
        <v>808.73824415727631</v>
      </c>
      <c r="AZ204" s="35">
        <f t="shared" si="181"/>
        <v>-474.73824415727631</v>
      </c>
      <c r="BA204" s="35">
        <f t="shared" si="182"/>
        <v>474.73824415727631</v>
      </c>
      <c r="BB204" s="35">
        <f t="shared" si="183"/>
        <v>225376.40046553369</v>
      </c>
      <c r="BC204" s="35">
        <f t="shared" si="184"/>
        <v>2391331.8126963256</v>
      </c>
      <c r="BE204" s="37">
        <v>2</v>
      </c>
      <c r="BF204" s="37">
        <v>0</v>
      </c>
      <c r="BG204" s="37">
        <v>2</v>
      </c>
      <c r="BH204" s="37">
        <v>0</v>
      </c>
      <c r="BI204" s="37">
        <v>2</v>
      </c>
      <c r="BJ204" s="37">
        <v>1</v>
      </c>
      <c r="BK204" s="37">
        <v>0</v>
      </c>
      <c r="BL204" s="37">
        <v>0</v>
      </c>
      <c r="BM204" s="37">
        <v>3</v>
      </c>
      <c r="BN204" s="37">
        <v>0</v>
      </c>
      <c r="BO204" s="11">
        <f t="shared" si="185"/>
        <v>3</v>
      </c>
      <c r="BP204" s="11">
        <f t="shared" si="186"/>
        <v>3</v>
      </c>
      <c r="BQ204" s="11">
        <f t="shared" si="187"/>
        <v>3</v>
      </c>
      <c r="BR204" s="11">
        <f t="shared" si="188"/>
        <v>3</v>
      </c>
      <c r="BS204" s="11">
        <f t="shared" si="189"/>
        <v>3</v>
      </c>
      <c r="BT204" s="11">
        <f t="shared" si="190"/>
        <v>3</v>
      </c>
      <c r="BU204" s="11">
        <f t="shared" si="191"/>
        <v>3</v>
      </c>
      <c r="BV204" s="11">
        <f t="shared" si="192"/>
        <v>3</v>
      </c>
      <c r="BW204" s="11">
        <f t="shared" si="193"/>
        <v>3</v>
      </c>
      <c r="BX204" s="11">
        <f t="shared" si="194"/>
        <v>3</v>
      </c>
      <c r="BY204" s="35">
        <f t="shared" si="195"/>
        <v>526.31578947368416</v>
      </c>
      <c r="BZ204" s="35">
        <f t="shared" si="196"/>
        <v>549.21428571428567</v>
      </c>
      <c r="CA204" s="35">
        <f t="shared" si="197"/>
        <v>431.78571428571428</v>
      </c>
      <c r="CB204" s="35">
        <f t="shared" si="198"/>
        <v>468.77777777777777</v>
      </c>
      <c r="CC204" s="35">
        <f t="shared" si="199"/>
        <v>493.23809523809524</v>
      </c>
      <c r="CD204" s="35">
        <f t="shared" si="200"/>
        <v>501.72972972972974</v>
      </c>
      <c r="CE204" s="35">
        <f t="shared" si="201"/>
        <v>737.21875</v>
      </c>
      <c r="CF204" s="35">
        <f t="shared" si="202"/>
        <v>454.56</v>
      </c>
      <c r="CG204" s="35">
        <f t="shared" si="203"/>
        <v>490.4848484848485</v>
      </c>
      <c r="CH204" s="35">
        <f t="shared" si="204"/>
        <v>453.52</v>
      </c>
      <c r="CI204" s="28">
        <f t="shared" si="205"/>
        <v>510.68449907041361</v>
      </c>
      <c r="CJ204" s="35">
        <f t="shared" si="206"/>
        <v>-176.68449907041361</v>
      </c>
      <c r="CK204" s="35">
        <f t="shared" si="207"/>
        <v>176.68449907041361</v>
      </c>
      <c r="CL204" s="35">
        <f t="shared" si="208"/>
        <v>31217.412211762989</v>
      </c>
      <c r="CM204" s="35">
        <f t="shared" si="209"/>
        <v>2391331.8126963256</v>
      </c>
    </row>
    <row r="205" spans="1:91" x14ac:dyDescent="0.3">
      <c r="A205" s="4" t="str">
        <f>DATASETS!A133</f>
        <v>MCARTHUR HIGHWAY</v>
      </c>
      <c r="B205" s="4" t="str">
        <f>DATASETS!E133</f>
        <v>Training</v>
      </c>
      <c r="C205" s="9">
        <f>DATASETS!C133</f>
        <v>121189</v>
      </c>
      <c r="D205" s="4">
        <f>DATASETS!B133</f>
        <v>2023</v>
      </c>
      <c r="E205" s="6">
        <f>DATASETS!I133</f>
        <v>334</v>
      </c>
      <c r="F205" s="9">
        <f>DATASETS!H133</f>
        <v>4109.13</v>
      </c>
      <c r="G205" s="11">
        <f t="shared" si="211"/>
        <v>0</v>
      </c>
      <c r="H205" s="11">
        <f t="shared" si="211"/>
        <v>0</v>
      </c>
      <c r="I205" s="11">
        <f t="shared" si="211"/>
        <v>0</v>
      </c>
      <c r="J205" s="11">
        <f t="shared" si="211"/>
        <v>0</v>
      </c>
      <c r="K205" s="11">
        <f t="shared" si="211"/>
        <v>0</v>
      </c>
      <c r="L205" s="11">
        <f t="shared" si="211"/>
        <v>0</v>
      </c>
      <c r="M205" s="11">
        <f t="shared" si="211"/>
        <v>0</v>
      </c>
      <c r="N205" s="11">
        <f t="shared" si="211"/>
        <v>0</v>
      </c>
      <c r="O205" s="11">
        <f t="shared" si="211"/>
        <v>0</v>
      </c>
      <c r="P205" s="11">
        <f t="shared" si="211"/>
        <v>0</v>
      </c>
      <c r="Q205" s="11">
        <f t="shared" si="211"/>
        <v>0</v>
      </c>
      <c r="R205" s="11">
        <f t="shared" si="211"/>
        <v>0</v>
      </c>
      <c r="S205" s="11">
        <f t="shared" si="211"/>
        <v>1</v>
      </c>
      <c r="T205" s="6">
        <f>DATASETS!D133</f>
        <v>426</v>
      </c>
      <c r="U205" s="37">
        <v>2</v>
      </c>
      <c r="V205" s="37">
        <v>3</v>
      </c>
      <c r="W205" s="37">
        <v>1</v>
      </c>
      <c r="X205" s="37">
        <v>0</v>
      </c>
      <c r="Y205" s="37">
        <v>0</v>
      </c>
      <c r="Z205" s="37">
        <v>3</v>
      </c>
      <c r="AA205" s="37">
        <v>3</v>
      </c>
      <c r="AB205" s="37">
        <v>2</v>
      </c>
      <c r="AC205" s="37">
        <v>1</v>
      </c>
      <c r="AD205" s="37">
        <v>1</v>
      </c>
      <c r="AE205" s="11">
        <f t="shared" si="160"/>
        <v>4</v>
      </c>
      <c r="AF205" s="11">
        <f t="shared" si="161"/>
        <v>4</v>
      </c>
      <c r="AG205" s="11">
        <f t="shared" si="162"/>
        <v>4</v>
      </c>
      <c r="AH205" s="11">
        <f t="shared" si="163"/>
        <v>4</v>
      </c>
      <c r="AI205" s="11">
        <f t="shared" si="164"/>
        <v>6</v>
      </c>
      <c r="AJ205" s="11">
        <f t="shared" si="165"/>
        <v>4</v>
      </c>
      <c r="AK205" s="11">
        <f t="shared" si="166"/>
        <v>6</v>
      </c>
      <c r="AL205" s="11">
        <f t="shared" si="167"/>
        <v>4</v>
      </c>
      <c r="AM205" s="11">
        <f t="shared" si="168"/>
        <v>4</v>
      </c>
      <c r="AN205" s="11">
        <f t="shared" si="169"/>
        <v>4</v>
      </c>
      <c r="AO205" s="35">
        <f t="shared" si="170"/>
        <v>920.9375</v>
      </c>
      <c r="AP205" s="35">
        <f t="shared" si="171"/>
        <v>450</v>
      </c>
      <c r="AQ205" s="35">
        <f t="shared" si="172"/>
        <v>800.71794871794873</v>
      </c>
      <c r="AR205" s="35">
        <f t="shared" si="173"/>
        <v>1087.8888888888889</v>
      </c>
      <c r="AS205" s="35">
        <f t="shared" si="174"/>
        <v>1491.3571428571429</v>
      </c>
      <c r="AT205" s="35">
        <f t="shared" si="175"/>
        <v>516.90476190476193</v>
      </c>
      <c r="AU205" s="35">
        <f t="shared" si="176"/>
        <v>1434.4848484848485</v>
      </c>
      <c r="AV205" s="35">
        <f t="shared" si="177"/>
        <v>986.22580645161293</v>
      </c>
      <c r="AW205" s="35">
        <f t="shared" si="178"/>
        <v>838.3125</v>
      </c>
      <c r="AX205" s="35">
        <f t="shared" si="179"/>
        <v>556.0625</v>
      </c>
      <c r="AY205" s="28">
        <f t="shared" si="180"/>
        <v>908.28918973052021</v>
      </c>
      <c r="AZ205" s="35">
        <f t="shared" si="181"/>
        <v>-482.28918973052021</v>
      </c>
      <c r="BA205" s="35">
        <f t="shared" si="182"/>
        <v>482.28918973052021</v>
      </c>
      <c r="BB205" s="35">
        <f t="shared" si="183"/>
        <v>232602.86253092173</v>
      </c>
      <c r="BC205" s="35">
        <f t="shared" si="184"/>
        <v>2115259.4708159836</v>
      </c>
      <c r="BE205" s="37">
        <v>2</v>
      </c>
      <c r="BF205" s="37">
        <v>3</v>
      </c>
      <c r="BG205" s="37">
        <v>1</v>
      </c>
      <c r="BH205" s="37">
        <v>0</v>
      </c>
      <c r="BI205" s="37">
        <v>0</v>
      </c>
      <c r="BJ205" s="37">
        <v>3</v>
      </c>
      <c r="BK205" s="37">
        <v>3</v>
      </c>
      <c r="BL205" s="37">
        <v>2</v>
      </c>
      <c r="BM205" s="37">
        <v>1</v>
      </c>
      <c r="BN205" s="37">
        <v>1</v>
      </c>
      <c r="BO205" s="11">
        <f t="shared" si="185"/>
        <v>3</v>
      </c>
      <c r="BP205" s="11">
        <f t="shared" si="186"/>
        <v>3</v>
      </c>
      <c r="BQ205" s="11">
        <f t="shared" si="187"/>
        <v>3</v>
      </c>
      <c r="BR205" s="11">
        <f t="shared" si="188"/>
        <v>3</v>
      </c>
      <c r="BS205" s="11">
        <f t="shared" si="189"/>
        <v>3</v>
      </c>
      <c r="BT205" s="11">
        <f t="shared" si="190"/>
        <v>3</v>
      </c>
      <c r="BU205" s="11">
        <f t="shared" si="191"/>
        <v>3</v>
      </c>
      <c r="BV205" s="11">
        <f t="shared" si="192"/>
        <v>3</v>
      </c>
      <c r="BW205" s="11">
        <f t="shared" si="193"/>
        <v>3</v>
      </c>
      <c r="BX205" s="11">
        <f t="shared" si="194"/>
        <v>3</v>
      </c>
      <c r="BY205" s="35">
        <f t="shared" si="195"/>
        <v>526.31578947368416</v>
      </c>
      <c r="BZ205" s="35">
        <f t="shared" si="196"/>
        <v>549.21428571428567</v>
      </c>
      <c r="CA205" s="35">
        <f t="shared" si="197"/>
        <v>431.78571428571428</v>
      </c>
      <c r="CB205" s="35">
        <f t="shared" si="198"/>
        <v>468.77777777777777</v>
      </c>
      <c r="CC205" s="35">
        <f t="shared" si="199"/>
        <v>493.23809523809524</v>
      </c>
      <c r="CD205" s="35">
        <f t="shared" si="200"/>
        <v>501.72972972972974</v>
      </c>
      <c r="CE205" s="35">
        <f t="shared" si="201"/>
        <v>737.21875</v>
      </c>
      <c r="CF205" s="35">
        <f t="shared" si="202"/>
        <v>454.56</v>
      </c>
      <c r="CG205" s="35">
        <f t="shared" si="203"/>
        <v>490.4848484848485</v>
      </c>
      <c r="CH205" s="35">
        <f t="shared" si="204"/>
        <v>453.52</v>
      </c>
      <c r="CI205" s="28">
        <f t="shared" si="205"/>
        <v>510.68449907041361</v>
      </c>
      <c r="CJ205" s="35">
        <f t="shared" si="206"/>
        <v>-84.684499070413608</v>
      </c>
      <c r="CK205" s="35">
        <f t="shared" si="207"/>
        <v>84.684499070413608</v>
      </c>
      <c r="CL205" s="35">
        <f t="shared" si="208"/>
        <v>7171.4643828068829</v>
      </c>
      <c r="CM205" s="35">
        <f t="shared" si="209"/>
        <v>2115259.4708159836</v>
      </c>
    </row>
    <row r="206" spans="1:91" x14ac:dyDescent="0.3">
      <c r="A206" s="4" t="str">
        <f>DATASETS!A134</f>
        <v>MCARTHUR HIGHWAY</v>
      </c>
      <c r="B206" s="4" t="str">
        <f>DATASETS!E134</f>
        <v>Training</v>
      </c>
      <c r="C206" s="9">
        <f>DATASETS!C134</f>
        <v>126009</v>
      </c>
      <c r="D206" s="4">
        <f>DATASETS!B134</f>
        <v>2024</v>
      </c>
      <c r="E206" s="6">
        <f>DATASETS!I134</f>
        <v>426</v>
      </c>
      <c r="F206" s="9">
        <f>DATASETS!H134</f>
        <v>4109.13</v>
      </c>
      <c r="G206" s="11">
        <f t="shared" si="211"/>
        <v>0</v>
      </c>
      <c r="H206" s="11">
        <f t="shared" si="211"/>
        <v>0</v>
      </c>
      <c r="I206" s="11">
        <f t="shared" si="211"/>
        <v>0</v>
      </c>
      <c r="J206" s="11">
        <f t="shared" si="211"/>
        <v>0</v>
      </c>
      <c r="K206" s="11">
        <f t="shared" si="211"/>
        <v>0</v>
      </c>
      <c r="L206" s="11">
        <f t="shared" si="211"/>
        <v>0</v>
      </c>
      <c r="M206" s="11">
        <f t="shared" si="211"/>
        <v>0</v>
      </c>
      <c r="N206" s="11">
        <f t="shared" si="211"/>
        <v>0</v>
      </c>
      <c r="O206" s="11">
        <f t="shared" si="211"/>
        <v>0</v>
      </c>
      <c r="P206" s="11">
        <f t="shared" si="211"/>
        <v>0</v>
      </c>
      <c r="Q206" s="11">
        <f t="shared" si="211"/>
        <v>0</v>
      </c>
      <c r="R206" s="11">
        <f t="shared" si="211"/>
        <v>0</v>
      </c>
      <c r="S206" s="11">
        <f t="shared" si="211"/>
        <v>1</v>
      </c>
      <c r="T206" s="6">
        <f>DATASETS!D134</f>
        <v>473</v>
      </c>
      <c r="U206" s="37">
        <v>2</v>
      </c>
      <c r="V206" s="37">
        <v>2</v>
      </c>
      <c r="W206" s="37">
        <v>0</v>
      </c>
      <c r="X206" s="37">
        <v>0</v>
      </c>
      <c r="Y206" s="37">
        <v>0</v>
      </c>
      <c r="Z206" s="37">
        <v>3</v>
      </c>
      <c r="AA206" s="37">
        <v>0</v>
      </c>
      <c r="AB206" s="37">
        <v>1</v>
      </c>
      <c r="AC206" s="37">
        <v>1</v>
      </c>
      <c r="AD206" s="37">
        <v>3</v>
      </c>
      <c r="AE206" s="11">
        <f t="shared" si="160"/>
        <v>4</v>
      </c>
      <c r="AF206" s="11">
        <f t="shared" si="161"/>
        <v>4</v>
      </c>
      <c r="AG206" s="11">
        <f t="shared" si="162"/>
        <v>4</v>
      </c>
      <c r="AH206" s="11">
        <f t="shared" si="163"/>
        <v>4</v>
      </c>
      <c r="AI206" s="11">
        <f t="shared" si="164"/>
        <v>6</v>
      </c>
      <c r="AJ206" s="11">
        <f t="shared" si="165"/>
        <v>4</v>
      </c>
      <c r="AK206" s="11">
        <f t="shared" si="166"/>
        <v>6</v>
      </c>
      <c r="AL206" s="11">
        <f t="shared" si="167"/>
        <v>4</v>
      </c>
      <c r="AM206" s="11">
        <f t="shared" si="168"/>
        <v>4</v>
      </c>
      <c r="AN206" s="11">
        <f t="shared" si="169"/>
        <v>4</v>
      </c>
      <c r="AO206" s="35">
        <f t="shared" si="170"/>
        <v>920.9375</v>
      </c>
      <c r="AP206" s="35">
        <f t="shared" si="171"/>
        <v>450</v>
      </c>
      <c r="AQ206" s="35">
        <f t="shared" si="172"/>
        <v>800.71794871794873</v>
      </c>
      <c r="AR206" s="35">
        <f t="shared" si="173"/>
        <v>1087.8888888888889</v>
      </c>
      <c r="AS206" s="35">
        <f t="shared" si="174"/>
        <v>1491.3571428571429</v>
      </c>
      <c r="AT206" s="35">
        <f t="shared" si="175"/>
        <v>516.90476190476193</v>
      </c>
      <c r="AU206" s="35">
        <f t="shared" si="176"/>
        <v>1434.4848484848485</v>
      </c>
      <c r="AV206" s="35">
        <f t="shared" si="177"/>
        <v>986.22580645161293</v>
      </c>
      <c r="AW206" s="35">
        <f t="shared" si="178"/>
        <v>838.3125</v>
      </c>
      <c r="AX206" s="35">
        <f t="shared" si="179"/>
        <v>556.0625</v>
      </c>
      <c r="AY206" s="28">
        <f t="shared" si="180"/>
        <v>908.28918973052021</v>
      </c>
      <c r="AZ206" s="35">
        <f t="shared" si="181"/>
        <v>-435.28918973052021</v>
      </c>
      <c r="BA206" s="35">
        <f t="shared" si="182"/>
        <v>435.28918973052021</v>
      </c>
      <c r="BB206" s="35">
        <f t="shared" si="183"/>
        <v>189476.67869625281</v>
      </c>
      <c r="BC206" s="35">
        <f t="shared" si="184"/>
        <v>1980755.5135510263</v>
      </c>
      <c r="BE206" s="37">
        <v>2</v>
      </c>
      <c r="BF206" s="37">
        <v>2</v>
      </c>
      <c r="BG206" s="37">
        <v>0</v>
      </c>
      <c r="BH206" s="37">
        <v>0</v>
      </c>
      <c r="BI206" s="37">
        <v>0</v>
      </c>
      <c r="BJ206" s="37">
        <v>3</v>
      </c>
      <c r="BK206" s="37">
        <v>0</v>
      </c>
      <c r="BL206" s="37">
        <v>1</v>
      </c>
      <c r="BM206" s="37">
        <v>1</v>
      </c>
      <c r="BN206" s="37">
        <v>3</v>
      </c>
      <c r="BO206" s="11">
        <f t="shared" si="185"/>
        <v>3</v>
      </c>
      <c r="BP206" s="11">
        <f t="shared" si="186"/>
        <v>3</v>
      </c>
      <c r="BQ206" s="11">
        <f t="shared" si="187"/>
        <v>3</v>
      </c>
      <c r="BR206" s="11">
        <f t="shared" si="188"/>
        <v>3</v>
      </c>
      <c r="BS206" s="11">
        <f t="shared" si="189"/>
        <v>3</v>
      </c>
      <c r="BT206" s="11">
        <f t="shared" si="190"/>
        <v>3</v>
      </c>
      <c r="BU206" s="11">
        <f t="shared" si="191"/>
        <v>3</v>
      </c>
      <c r="BV206" s="11">
        <f t="shared" si="192"/>
        <v>3</v>
      </c>
      <c r="BW206" s="11">
        <f t="shared" si="193"/>
        <v>3</v>
      </c>
      <c r="BX206" s="11">
        <f t="shared" si="194"/>
        <v>3</v>
      </c>
      <c r="BY206" s="35">
        <f t="shared" si="195"/>
        <v>526.31578947368416</v>
      </c>
      <c r="BZ206" s="35">
        <f t="shared" si="196"/>
        <v>549.21428571428567</v>
      </c>
      <c r="CA206" s="35">
        <f t="shared" si="197"/>
        <v>431.78571428571428</v>
      </c>
      <c r="CB206" s="35">
        <f t="shared" si="198"/>
        <v>468.77777777777777</v>
      </c>
      <c r="CC206" s="35">
        <f t="shared" si="199"/>
        <v>493.23809523809524</v>
      </c>
      <c r="CD206" s="35">
        <f t="shared" si="200"/>
        <v>501.72972972972974</v>
      </c>
      <c r="CE206" s="35">
        <f t="shared" si="201"/>
        <v>737.21875</v>
      </c>
      <c r="CF206" s="35">
        <f t="shared" si="202"/>
        <v>454.56</v>
      </c>
      <c r="CG206" s="35">
        <f t="shared" si="203"/>
        <v>490.4848484848485</v>
      </c>
      <c r="CH206" s="35">
        <f t="shared" si="204"/>
        <v>453.52</v>
      </c>
      <c r="CI206" s="28">
        <f t="shared" si="205"/>
        <v>510.68449907041361</v>
      </c>
      <c r="CJ206" s="35">
        <f t="shared" si="206"/>
        <v>-37.684499070413608</v>
      </c>
      <c r="CK206" s="35">
        <f t="shared" si="207"/>
        <v>37.684499070413608</v>
      </c>
      <c r="CL206" s="35">
        <f t="shared" si="208"/>
        <v>1420.1214701880042</v>
      </c>
      <c r="CM206" s="35">
        <f t="shared" si="209"/>
        <v>1980755.5135510263</v>
      </c>
    </row>
    <row r="207" spans="1:91" x14ac:dyDescent="0.3">
      <c r="A207" s="15" t="str">
        <f>DATASETS!A136</f>
        <v>EDSA</v>
      </c>
      <c r="B207" s="15" t="str">
        <f>DATASETS!E136</f>
        <v>EDSA Test</v>
      </c>
      <c r="C207" s="20">
        <f>DATASETS!C136</f>
        <v>364781</v>
      </c>
      <c r="D207" s="15">
        <f>DATASETS!B136</f>
        <v>2016</v>
      </c>
      <c r="E207" s="17">
        <f>DATASETS!I136</f>
        <v>9801</v>
      </c>
      <c r="F207" s="20">
        <f>DATASETS!H136</f>
        <v>285.60000000000002</v>
      </c>
      <c r="G207" s="22">
        <f t="shared" si="211"/>
        <v>0</v>
      </c>
      <c r="H207" s="22">
        <f t="shared" si="211"/>
        <v>0</v>
      </c>
      <c r="I207" s="22">
        <f t="shared" si="211"/>
        <v>0</v>
      </c>
      <c r="J207" s="22">
        <f t="shared" si="211"/>
        <v>0</v>
      </c>
      <c r="K207" s="22">
        <f t="shared" si="211"/>
        <v>0</v>
      </c>
      <c r="L207" s="22">
        <f t="shared" si="211"/>
        <v>0</v>
      </c>
      <c r="M207" s="22">
        <f t="shared" si="211"/>
        <v>0</v>
      </c>
      <c r="N207" s="22">
        <f t="shared" si="211"/>
        <v>0</v>
      </c>
      <c r="O207" s="22">
        <f t="shared" si="211"/>
        <v>0</v>
      </c>
      <c r="P207" s="22">
        <f t="shared" si="211"/>
        <v>0</v>
      </c>
      <c r="Q207" s="22">
        <f t="shared" si="211"/>
        <v>0</v>
      </c>
      <c r="R207" s="22">
        <f t="shared" si="211"/>
        <v>0</v>
      </c>
      <c r="S207" s="22">
        <f t="shared" si="211"/>
        <v>0</v>
      </c>
      <c r="T207" s="17">
        <f>DATASETS!D136</f>
        <v>13354</v>
      </c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22">
        <f t="shared" si="160"/>
        <v>12</v>
      </c>
      <c r="AF207" s="22">
        <f t="shared" si="161"/>
        <v>14</v>
      </c>
      <c r="AG207" s="22">
        <f t="shared" si="162"/>
        <v>14</v>
      </c>
      <c r="AH207" s="22">
        <f t="shared" si="163"/>
        <v>14</v>
      </c>
      <c r="AI207" s="22">
        <f t="shared" si="164"/>
        <v>12</v>
      </c>
      <c r="AJ207" s="22">
        <f t="shared" si="165"/>
        <v>14</v>
      </c>
      <c r="AK207" s="22">
        <f t="shared" si="166"/>
        <v>12</v>
      </c>
      <c r="AL207" s="22">
        <f t="shared" si="167"/>
        <v>14</v>
      </c>
      <c r="AM207" s="22">
        <f t="shared" si="168"/>
        <v>12</v>
      </c>
      <c r="AN207" s="22">
        <f t="shared" si="169"/>
        <v>14</v>
      </c>
      <c r="AO207" s="36">
        <f t="shared" si="170"/>
        <v>3512.1428571428573</v>
      </c>
      <c r="AP207" s="36">
        <f t="shared" si="171"/>
        <v>4040.3636363636365</v>
      </c>
      <c r="AQ207" s="36">
        <f t="shared" si="172"/>
        <v>3393.8823529411766</v>
      </c>
      <c r="AR207" s="36">
        <f t="shared" si="173"/>
        <v>2684.8333333333335</v>
      </c>
      <c r="AS207" s="36">
        <f t="shared" si="174"/>
        <v>3307.5294117647059</v>
      </c>
      <c r="AT207" s="36">
        <f t="shared" si="175"/>
        <v>3280.125</v>
      </c>
      <c r="AU207" s="36">
        <f t="shared" si="176"/>
        <v>4402.375</v>
      </c>
      <c r="AV207" s="36">
        <f t="shared" si="177"/>
        <v>4702.25</v>
      </c>
      <c r="AW207" s="36">
        <f t="shared" si="178"/>
        <v>5025.5555555555557</v>
      </c>
      <c r="AX207" s="36">
        <f t="shared" si="179"/>
        <v>3305.8571428571427</v>
      </c>
      <c r="AY207" s="43">
        <f t="shared" si="180"/>
        <v>3765.491428995841</v>
      </c>
      <c r="AZ207" s="36">
        <f t="shared" si="181"/>
        <v>9588.5085710041585</v>
      </c>
      <c r="BA207" s="36">
        <f t="shared" si="182"/>
        <v>9588.5085710041585</v>
      </c>
      <c r="BB207" s="36">
        <f t="shared" si="183"/>
        <v>91939496.616220206</v>
      </c>
      <c r="BC207" s="36">
        <f t="shared" si="184"/>
        <v>131643653.86397839</v>
      </c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22">
        <f t="shared" si="185"/>
        <v>11</v>
      </c>
      <c r="BP207" s="22">
        <f t="shared" si="186"/>
        <v>14</v>
      </c>
      <c r="BQ207" s="22">
        <f t="shared" si="187"/>
        <v>12</v>
      </c>
      <c r="BR207" s="22">
        <f t="shared" si="188"/>
        <v>9</v>
      </c>
      <c r="BS207" s="22">
        <f t="shared" si="189"/>
        <v>10</v>
      </c>
      <c r="BT207" s="22">
        <f t="shared" si="190"/>
        <v>12</v>
      </c>
      <c r="BU207" s="22">
        <f t="shared" si="191"/>
        <v>14</v>
      </c>
      <c r="BV207" s="22">
        <f t="shared" si="192"/>
        <v>12</v>
      </c>
      <c r="BW207" s="22">
        <f t="shared" si="193"/>
        <v>10</v>
      </c>
      <c r="BX207" s="22">
        <f t="shared" si="194"/>
        <v>10</v>
      </c>
      <c r="BY207" s="36">
        <f t="shared" si="195"/>
        <v>4669.25</v>
      </c>
      <c r="BZ207" s="36">
        <f t="shared" si="196"/>
        <v>8401.5</v>
      </c>
      <c r="CA207" s="36">
        <f t="shared" si="197"/>
        <v>7604.25</v>
      </c>
      <c r="CB207" s="36">
        <f t="shared" si="198"/>
        <v>4077.7142857142858</v>
      </c>
      <c r="CC207" s="36">
        <f t="shared" si="199"/>
        <v>4206.666666666667</v>
      </c>
      <c r="CD207" s="36">
        <f t="shared" si="200"/>
        <v>7763.833333333333</v>
      </c>
      <c r="CE207" s="36">
        <f t="shared" si="201"/>
        <v>8476.5</v>
      </c>
      <c r="CF207" s="36">
        <f t="shared" si="202"/>
        <v>7488.8888888888887</v>
      </c>
      <c r="CG207" s="36">
        <f t="shared" si="203"/>
        <v>8392</v>
      </c>
      <c r="CH207" s="36">
        <f t="shared" si="204"/>
        <v>8517.8333333333339</v>
      </c>
      <c r="CI207" s="43">
        <f t="shared" si="205"/>
        <v>6959.8436507936512</v>
      </c>
      <c r="CJ207" s="36">
        <f t="shared" si="206"/>
        <v>6394.1563492063488</v>
      </c>
      <c r="CK207" s="36">
        <f t="shared" si="207"/>
        <v>6394.1563492063488</v>
      </c>
      <c r="CL207" s="36">
        <f t="shared" si="208"/>
        <v>40885235.418095864</v>
      </c>
      <c r="CM207" s="36">
        <f t="shared" si="209"/>
        <v>131643653.86397839</v>
      </c>
    </row>
    <row r="208" spans="1:91" x14ac:dyDescent="0.3">
      <c r="A208" s="15" t="str">
        <f>DATASETS!A137</f>
        <v>EDSA</v>
      </c>
      <c r="B208" s="15" t="str">
        <f>DATASETS!E137</f>
        <v>EDSA Test</v>
      </c>
      <c r="C208" s="20">
        <f>DATASETS!C137</f>
        <v>367728</v>
      </c>
      <c r="D208" s="15">
        <f>DATASETS!B137</f>
        <v>2017</v>
      </c>
      <c r="E208" s="17">
        <f>DATASETS!I137</f>
        <v>13354</v>
      </c>
      <c r="F208" s="20">
        <f>DATASETS!H137</f>
        <v>285.60000000000002</v>
      </c>
      <c r="G208" s="22">
        <f t="shared" si="211"/>
        <v>0</v>
      </c>
      <c r="H208" s="22">
        <f t="shared" si="211"/>
        <v>0</v>
      </c>
      <c r="I208" s="22">
        <f t="shared" si="211"/>
        <v>0</v>
      </c>
      <c r="J208" s="22">
        <f t="shared" si="211"/>
        <v>0</v>
      </c>
      <c r="K208" s="22">
        <f t="shared" si="211"/>
        <v>0</v>
      </c>
      <c r="L208" s="22">
        <f t="shared" si="211"/>
        <v>0</v>
      </c>
      <c r="M208" s="22">
        <f t="shared" si="211"/>
        <v>0</v>
      </c>
      <c r="N208" s="22">
        <f t="shared" si="211"/>
        <v>0</v>
      </c>
      <c r="O208" s="22">
        <f t="shared" si="211"/>
        <v>0</v>
      </c>
      <c r="P208" s="22">
        <f t="shared" si="211"/>
        <v>0</v>
      </c>
      <c r="Q208" s="22">
        <f t="shared" si="211"/>
        <v>0</v>
      </c>
      <c r="R208" s="22">
        <f t="shared" si="211"/>
        <v>0</v>
      </c>
      <c r="S208" s="22">
        <f t="shared" si="211"/>
        <v>0</v>
      </c>
      <c r="T208" s="17">
        <f>DATASETS!D137</f>
        <v>12635</v>
      </c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22">
        <f t="shared" si="160"/>
        <v>12</v>
      </c>
      <c r="AF208" s="22">
        <f t="shared" si="161"/>
        <v>14</v>
      </c>
      <c r="AG208" s="22">
        <f t="shared" si="162"/>
        <v>14</v>
      </c>
      <c r="AH208" s="22">
        <f t="shared" si="163"/>
        <v>14</v>
      </c>
      <c r="AI208" s="22">
        <f t="shared" si="164"/>
        <v>12</v>
      </c>
      <c r="AJ208" s="22">
        <f t="shared" si="165"/>
        <v>14</v>
      </c>
      <c r="AK208" s="22">
        <f t="shared" si="166"/>
        <v>12</v>
      </c>
      <c r="AL208" s="22">
        <f t="shared" si="167"/>
        <v>14</v>
      </c>
      <c r="AM208" s="22">
        <f t="shared" si="168"/>
        <v>12</v>
      </c>
      <c r="AN208" s="22">
        <f t="shared" si="169"/>
        <v>14</v>
      </c>
      <c r="AO208" s="36">
        <f t="shared" si="170"/>
        <v>3512.1428571428573</v>
      </c>
      <c r="AP208" s="36">
        <f t="shared" si="171"/>
        <v>4040.3636363636365</v>
      </c>
      <c r="AQ208" s="36">
        <f t="shared" si="172"/>
        <v>3393.8823529411766</v>
      </c>
      <c r="AR208" s="36">
        <f t="shared" si="173"/>
        <v>2684.8333333333335</v>
      </c>
      <c r="AS208" s="36">
        <f t="shared" si="174"/>
        <v>3307.5294117647059</v>
      </c>
      <c r="AT208" s="36">
        <f t="shared" si="175"/>
        <v>3280.125</v>
      </c>
      <c r="AU208" s="36">
        <f t="shared" si="176"/>
        <v>4402.375</v>
      </c>
      <c r="AV208" s="36">
        <f t="shared" si="177"/>
        <v>4702.25</v>
      </c>
      <c r="AW208" s="36">
        <f t="shared" si="178"/>
        <v>5025.5555555555557</v>
      </c>
      <c r="AX208" s="36">
        <f t="shared" si="179"/>
        <v>3305.8571428571427</v>
      </c>
      <c r="AY208" s="43">
        <f t="shared" si="180"/>
        <v>3765.491428995841</v>
      </c>
      <c r="AZ208" s="36">
        <f t="shared" si="181"/>
        <v>8869.5085710041585</v>
      </c>
      <c r="BA208" s="36">
        <f t="shared" si="182"/>
        <v>8869.5085710041585</v>
      </c>
      <c r="BB208" s="36">
        <f t="shared" si="183"/>
        <v>78668182.291116223</v>
      </c>
      <c r="BC208" s="36">
        <f t="shared" si="184"/>
        <v>115661568.23149975</v>
      </c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22">
        <f t="shared" si="185"/>
        <v>11</v>
      </c>
      <c r="BP208" s="22">
        <f t="shared" si="186"/>
        <v>14</v>
      </c>
      <c r="BQ208" s="22">
        <f t="shared" si="187"/>
        <v>12</v>
      </c>
      <c r="BR208" s="22">
        <f t="shared" si="188"/>
        <v>9</v>
      </c>
      <c r="BS208" s="22">
        <f t="shared" si="189"/>
        <v>10</v>
      </c>
      <c r="BT208" s="22">
        <f t="shared" si="190"/>
        <v>12</v>
      </c>
      <c r="BU208" s="22">
        <f t="shared" si="191"/>
        <v>14</v>
      </c>
      <c r="BV208" s="22">
        <f t="shared" si="192"/>
        <v>12</v>
      </c>
      <c r="BW208" s="22">
        <f t="shared" si="193"/>
        <v>10</v>
      </c>
      <c r="BX208" s="22">
        <f t="shared" si="194"/>
        <v>10</v>
      </c>
      <c r="BY208" s="36">
        <f t="shared" si="195"/>
        <v>4669.25</v>
      </c>
      <c r="BZ208" s="36">
        <f t="shared" si="196"/>
        <v>8401.5</v>
      </c>
      <c r="CA208" s="36">
        <f t="shared" si="197"/>
        <v>7604.25</v>
      </c>
      <c r="CB208" s="36">
        <f t="shared" si="198"/>
        <v>4077.7142857142858</v>
      </c>
      <c r="CC208" s="36">
        <f t="shared" si="199"/>
        <v>4206.666666666667</v>
      </c>
      <c r="CD208" s="36">
        <f t="shared" si="200"/>
        <v>7763.833333333333</v>
      </c>
      <c r="CE208" s="36">
        <f t="shared" si="201"/>
        <v>8476.5</v>
      </c>
      <c r="CF208" s="36">
        <f t="shared" si="202"/>
        <v>7488.8888888888887</v>
      </c>
      <c r="CG208" s="36">
        <f t="shared" si="203"/>
        <v>8392</v>
      </c>
      <c r="CH208" s="36">
        <f t="shared" si="204"/>
        <v>8517.8333333333339</v>
      </c>
      <c r="CI208" s="43">
        <f t="shared" si="205"/>
        <v>6959.8436507936512</v>
      </c>
      <c r="CJ208" s="36">
        <f t="shared" si="206"/>
        <v>5675.1563492063488</v>
      </c>
      <c r="CK208" s="36">
        <f t="shared" si="207"/>
        <v>5675.1563492063488</v>
      </c>
      <c r="CL208" s="36">
        <f t="shared" si="208"/>
        <v>32207399.587937132</v>
      </c>
      <c r="CM208" s="36">
        <f t="shared" si="209"/>
        <v>115661568.23149975</v>
      </c>
    </row>
    <row r="209" spans="1:91" x14ac:dyDescent="0.3">
      <c r="A209" s="15" t="str">
        <f>DATASETS!A138</f>
        <v>EDSA</v>
      </c>
      <c r="B209" s="15" t="str">
        <f>DATASETS!E138</f>
        <v>EDSA Test</v>
      </c>
      <c r="C209" s="20">
        <f>DATASETS!C138</f>
        <v>383828</v>
      </c>
      <c r="D209" s="15">
        <f>DATASETS!B138</f>
        <v>2018</v>
      </c>
      <c r="E209" s="17">
        <f>DATASETS!I138</f>
        <v>12635</v>
      </c>
      <c r="F209" s="20">
        <f>DATASETS!H138</f>
        <v>285.60000000000002</v>
      </c>
      <c r="G209" s="22">
        <f t="shared" si="211"/>
        <v>0</v>
      </c>
      <c r="H209" s="22">
        <f t="shared" si="211"/>
        <v>0</v>
      </c>
      <c r="I209" s="22">
        <f t="shared" si="211"/>
        <v>0</v>
      </c>
      <c r="J209" s="22">
        <f t="shared" si="211"/>
        <v>0</v>
      </c>
      <c r="K209" s="22">
        <f t="shared" si="211"/>
        <v>0</v>
      </c>
      <c r="L209" s="22">
        <f t="shared" si="211"/>
        <v>0</v>
      </c>
      <c r="M209" s="22">
        <f t="shared" si="211"/>
        <v>0</v>
      </c>
      <c r="N209" s="22">
        <f t="shared" si="211"/>
        <v>0</v>
      </c>
      <c r="O209" s="22">
        <f t="shared" si="211"/>
        <v>0</v>
      </c>
      <c r="P209" s="22">
        <f t="shared" si="211"/>
        <v>0</v>
      </c>
      <c r="Q209" s="22">
        <f t="shared" si="211"/>
        <v>0</v>
      </c>
      <c r="R209" s="22">
        <f t="shared" si="211"/>
        <v>0</v>
      </c>
      <c r="S209" s="22">
        <f t="shared" si="211"/>
        <v>0</v>
      </c>
      <c r="T209" s="17">
        <f>DATASETS!D138</f>
        <v>17276</v>
      </c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22">
        <f t="shared" si="160"/>
        <v>12</v>
      </c>
      <c r="AF209" s="22">
        <f t="shared" si="161"/>
        <v>14</v>
      </c>
      <c r="AG209" s="22">
        <f t="shared" si="162"/>
        <v>14</v>
      </c>
      <c r="AH209" s="22">
        <f t="shared" si="163"/>
        <v>14</v>
      </c>
      <c r="AI209" s="22">
        <f t="shared" si="164"/>
        <v>12</v>
      </c>
      <c r="AJ209" s="22">
        <f t="shared" si="165"/>
        <v>14</v>
      </c>
      <c r="AK209" s="22">
        <f t="shared" si="166"/>
        <v>12</v>
      </c>
      <c r="AL209" s="22">
        <f t="shared" si="167"/>
        <v>14</v>
      </c>
      <c r="AM209" s="22">
        <f t="shared" si="168"/>
        <v>12</v>
      </c>
      <c r="AN209" s="22">
        <f t="shared" si="169"/>
        <v>14</v>
      </c>
      <c r="AO209" s="36">
        <f t="shared" si="170"/>
        <v>3512.1428571428573</v>
      </c>
      <c r="AP209" s="36">
        <f t="shared" si="171"/>
        <v>4040.3636363636365</v>
      </c>
      <c r="AQ209" s="36">
        <f t="shared" si="172"/>
        <v>3393.8823529411766</v>
      </c>
      <c r="AR209" s="36">
        <f t="shared" si="173"/>
        <v>2684.8333333333335</v>
      </c>
      <c r="AS209" s="36">
        <f t="shared" si="174"/>
        <v>3307.5294117647059</v>
      </c>
      <c r="AT209" s="36">
        <f t="shared" si="175"/>
        <v>3280.125</v>
      </c>
      <c r="AU209" s="36">
        <f t="shared" si="176"/>
        <v>4402.375</v>
      </c>
      <c r="AV209" s="36">
        <f t="shared" si="177"/>
        <v>4702.25</v>
      </c>
      <c r="AW209" s="36">
        <f t="shared" si="178"/>
        <v>5025.5555555555557</v>
      </c>
      <c r="AX209" s="36">
        <f t="shared" si="179"/>
        <v>3305.8571428571427</v>
      </c>
      <c r="AY209" s="43">
        <f t="shared" si="180"/>
        <v>3765.491428995841</v>
      </c>
      <c r="AZ209" s="36">
        <f t="shared" si="181"/>
        <v>13510.508571004159</v>
      </c>
      <c r="BA209" s="36">
        <f t="shared" si="182"/>
        <v>13510.508571004159</v>
      </c>
      <c r="BB209" s="36">
        <f t="shared" si="183"/>
        <v>182533841.84717682</v>
      </c>
      <c r="BC209" s="36">
        <f t="shared" si="184"/>
        <v>237024709.89816642</v>
      </c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22">
        <f t="shared" si="185"/>
        <v>11</v>
      </c>
      <c r="BP209" s="22">
        <f t="shared" si="186"/>
        <v>14</v>
      </c>
      <c r="BQ209" s="22">
        <f t="shared" si="187"/>
        <v>12</v>
      </c>
      <c r="BR209" s="22">
        <f t="shared" si="188"/>
        <v>9</v>
      </c>
      <c r="BS209" s="22">
        <f t="shared" si="189"/>
        <v>10</v>
      </c>
      <c r="BT209" s="22">
        <f t="shared" si="190"/>
        <v>12</v>
      </c>
      <c r="BU209" s="22">
        <f t="shared" si="191"/>
        <v>14</v>
      </c>
      <c r="BV209" s="22">
        <f t="shared" si="192"/>
        <v>12</v>
      </c>
      <c r="BW209" s="22">
        <f t="shared" si="193"/>
        <v>10</v>
      </c>
      <c r="BX209" s="22">
        <f t="shared" si="194"/>
        <v>10</v>
      </c>
      <c r="BY209" s="36">
        <f t="shared" si="195"/>
        <v>4669.25</v>
      </c>
      <c r="BZ209" s="36">
        <f t="shared" si="196"/>
        <v>8401.5</v>
      </c>
      <c r="CA209" s="36">
        <f t="shared" si="197"/>
        <v>7604.25</v>
      </c>
      <c r="CB209" s="36">
        <f t="shared" si="198"/>
        <v>4077.7142857142858</v>
      </c>
      <c r="CC209" s="36">
        <f t="shared" si="199"/>
        <v>4206.666666666667</v>
      </c>
      <c r="CD209" s="36">
        <f t="shared" si="200"/>
        <v>7763.833333333333</v>
      </c>
      <c r="CE209" s="36">
        <f t="shared" si="201"/>
        <v>8476.5</v>
      </c>
      <c r="CF209" s="36">
        <f t="shared" si="202"/>
        <v>7488.8888888888887</v>
      </c>
      <c r="CG209" s="36">
        <f t="shared" si="203"/>
        <v>8392</v>
      </c>
      <c r="CH209" s="36">
        <f t="shared" si="204"/>
        <v>8517.8333333333339</v>
      </c>
      <c r="CI209" s="43">
        <f t="shared" si="205"/>
        <v>6959.8436507936512</v>
      </c>
      <c r="CJ209" s="36">
        <f t="shared" si="206"/>
        <v>10316.156349206349</v>
      </c>
      <c r="CK209" s="36">
        <f t="shared" si="207"/>
        <v>10316.156349206349</v>
      </c>
      <c r="CL209" s="36">
        <f t="shared" si="208"/>
        <v>106423081.82127047</v>
      </c>
      <c r="CM209" s="36">
        <f t="shared" si="209"/>
        <v>237024709.89816642</v>
      </c>
    </row>
    <row r="210" spans="1:91" x14ac:dyDescent="0.3">
      <c r="A210" s="15" t="str">
        <f>DATASETS!A139</f>
        <v>EDSA</v>
      </c>
      <c r="B210" s="15" t="str">
        <f>DATASETS!E139</f>
        <v>EDSA Test</v>
      </c>
      <c r="C210" s="20">
        <f>DATASETS!C139</f>
        <v>405882</v>
      </c>
      <c r="D210" s="15">
        <f>DATASETS!B139</f>
        <v>2019</v>
      </c>
      <c r="E210" s="17">
        <f>DATASETS!I139</f>
        <v>17276</v>
      </c>
      <c r="F210" s="20">
        <f>DATASETS!H139</f>
        <v>285.60000000000002</v>
      </c>
      <c r="G210" s="22">
        <f t="shared" ref="G210:S215" si="212">IF($A210=G$88,1,0)</f>
        <v>0</v>
      </c>
      <c r="H210" s="22">
        <f t="shared" si="212"/>
        <v>0</v>
      </c>
      <c r="I210" s="22">
        <f t="shared" si="212"/>
        <v>0</v>
      </c>
      <c r="J210" s="22">
        <f t="shared" si="212"/>
        <v>0</v>
      </c>
      <c r="K210" s="22">
        <f t="shared" si="212"/>
        <v>0</v>
      </c>
      <c r="L210" s="22">
        <f t="shared" si="212"/>
        <v>0</v>
      </c>
      <c r="M210" s="22">
        <f t="shared" si="212"/>
        <v>0</v>
      </c>
      <c r="N210" s="22">
        <f t="shared" si="212"/>
        <v>0</v>
      </c>
      <c r="O210" s="22">
        <f t="shared" si="212"/>
        <v>0</v>
      </c>
      <c r="P210" s="22">
        <f t="shared" si="212"/>
        <v>0</v>
      </c>
      <c r="Q210" s="22">
        <f t="shared" si="212"/>
        <v>0</v>
      </c>
      <c r="R210" s="22">
        <f t="shared" si="212"/>
        <v>0</v>
      </c>
      <c r="S210" s="22">
        <f t="shared" si="212"/>
        <v>0</v>
      </c>
      <c r="T210" s="17">
        <f>DATASETS!D139</f>
        <v>17382</v>
      </c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22">
        <f t="shared" si="160"/>
        <v>12</v>
      </c>
      <c r="AF210" s="22">
        <f t="shared" si="161"/>
        <v>14</v>
      </c>
      <c r="AG210" s="22">
        <f t="shared" si="162"/>
        <v>14</v>
      </c>
      <c r="AH210" s="22">
        <f t="shared" si="163"/>
        <v>14</v>
      </c>
      <c r="AI210" s="22">
        <f t="shared" si="164"/>
        <v>12</v>
      </c>
      <c r="AJ210" s="22">
        <f t="shared" si="165"/>
        <v>14</v>
      </c>
      <c r="AK210" s="22">
        <f t="shared" si="166"/>
        <v>12</v>
      </c>
      <c r="AL210" s="22">
        <f t="shared" si="167"/>
        <v>14</v>
      </c>
      <c r="AM210" s="22">
        <f t="shared" si="168"/>
        <v>12</v>
      </c>
      <c r="AN210" s="22">
        <f t="shared" si="169"/>
        <v>14</v>
      </c>
      <c r="AO210" s="36">
        <f t="shared" si="170"/>
        <v>3512.1428571428573</v>
      </c>
      <c r="AP210" s="36">
        <f t="shared" si="171"/>
        <v>4040.3636363636365</v>
      </c>
      <c r="AQ210" s="36">
        <f t="shared" si="172"/>
        <v>3393.8823529411766</v>
      </c>
      <c r="AR210" s="36">
        <f t="shared" si="173"/>
        <v>2684.8333333333335</v>
      </c>
      <c r="AS210" s="36">
        <f t="shared" si="174"/>
        <v>3307.5294117647059</v>
      </c>
      <c r="AT210" s="36">
        <f t="shared" si="175"/>
        <v>3280.125</v>
      </c>
      <c r="AU210" s="36">
        <f t="shared" si="176"/>
        <v>4402.375</v>
      </c>
      <c r="AV210" s="36">
        <f t="shared" si="177"/>
        <v>4702.25</v>
      </c>
      <c r="AW210" s="36">
        <f t="shared" si="178"/>
        <v>5025.5555555555557</v>
      </c>
      <c r="AX210" s="36">
        <f t="shared" si="179"/>
        <v>3305.8571428571427</v>
      </c>
      <c r="AY210" s="43">
        <f t="shared" si="180"/>
        <v>3765.491428995841</v>
      </c>
      <c r="AZ210" s="36">
        <f t="shared" si="181"/>
        <v>13616.508571004159</v>
      </c>
      <c r="BA210" s="36">
        <f t="shared" si="182"/>
        <v>13616.508571004159</v>
      </c>
      <c r="BB210" s="36">
        <f t="shared" si="183"/>
        <v>185409305.66422972</v>
      </c>
      <c r="BC210" s="36">
        <f t="shared" si="184"/>
        <v>240299814.54773906</v>
      </c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22">
        <f t="shared" si="185"/>
        <v>11</v>
      </c>
      <c r="BP210" s="22">
        <f t="shared" si="186"/>
        <v>14</v>
      </c>
      <c r="BQ210" s="22">
        <f t="shared" si="187"/>
        <v>12</v>
      </c>
      <c r="BR210" s="22">
        <f t="shared" si="188"/>
        <v>9</v>
      </c>
      <c r="BS210" s="22">
        <f t="shared" si="189"/>
        <v>10</v>
      </c>
      <c r="BT210" s="22">
        <f t="shared" si="190"/>
        <v>12</v>
      </c>
      <c r="BU210" s="22">
        <f t="shared" si="191"/>
        <v>14</v>
      </c>
      <c r="BV210" s="22">
        <f t="shared" si="192"/>
        <v>12</v>
      </c>
      <c r="BW210" s="22">
        <f t="shared" si="193"/>
        <v>10</v>
      </c>
      <c r="BX210" s="22">
        <f t="shared" si="194"/>
        <v>10</v>
      </c>
      <c r="BY210" s="36">
        <f t="shared" si="195"/>
        <v>4669.25</v>
      </c>
      <c r="BZ210" s="36">
        <f t="shared" si="196"/>
        <v>8401.5</v>
      </c>
      <c r="CA210" s="36">
        <f t="shared" si="197"/>
        <v>7604.25</v>
      </c>
      <c r="CB210" s="36">
        <f t="shared" si="198"/>
        <v>4077.7142857142858</v>
      </c>
      <c r="CC210" s="36">
        <f t="shared" si="199"/>
        <v>4206.666666666667</v>
      </c>
      <c r="CD210" s="36">
        <f t="shared" si="200"/>
        <v>7763.833333333333</v>
      </c>
      <c r="CE210" s="36">
        <f t="shared" si="201"/>
        <v>8476.5</v>
      </c>
      <c r="CF210" s="36">
        <f t="shared" si="202"/>
        <v>7488.8888888888887</v>
      </c>
      <c r="CG210" s="36">
        <f t="shared" si="203"/>
        <v>8392</v>
      </c>
      <c r="CH210" s="36">
        <f t="shared" si="204"/>
        <v>8517.8333333333339</v>
      </c>
      <c r="CI210" s="43">
        <f t="shared" si="205"/>
        <v>6959.8436507936512</v>
      </c>
      <c r="CJ210" s="36">
        <f t="shared" si="206"/>
        <v>10422.156349206349</v>
      </c>
      <c r="CK210" s="36">
        <f t="shared" si="207"/>
        <v>10422.156349206349</v>
      </c>
      <c r="CL210" s="36">
        <f t="shared" si="208"/>
        <v>108621342.9673022</v>
      </c>
      <c r="CM210" s="36">
        <f t="shared" si="209"/>
        <v>240299814.54773906</v>
      </c>
    </row>
    <row r="211" spans="1:91" x14ac:dyDescent="0.3">
      <c r="A211" s="15" t="str">
        <f>DATASETS!A140</f>
        <v>EDSA</v>
      </c>
      <c r="B211" s="15" t="str">
        <f>DATASETS!E140</f>
        <v>EDSA Test</v>
      </c>
      <c r="C211" s="20">
        <f>DATASETS!C140</f>
        <v>328114</v>
      </c>
      <c r="D211" s="15">
        <f>DATASETS!B140</f>
        <v>2020</v>
      </c>
      <c r="E211" s="17">
        <f>DATASETS!I140</f>
        <v>17382</v>
      </c>
      <c r="F211" s="20">
        <f>DATASETS!H140</f>
        <v>285.60000000000002</v>
      </c>
      <c r="G211" s="22">
        <f t="shared" si="212"/>
        <v>0</v>
      </c>
      <c r="H211" s="22">
        <f t="shared" si="212"/>
        <v>0</v>
      </c>
      <c r="I211" s="22">
        <f t="shared" si="212"/>
        <v>0</v>
      </c>
      <c r="J211" s="22">
        <f t="shared" si="212"/>
        <v>0</v>
      </c>
      <c r="K211" s="22">
        <f t="shared" si="212"/>
        <v>0</v>
      </c>
      <c r="L211" s="22">
        <f t="shared" si="212"/>
        <v>0</v>
      </c>
      <c r="M211" s="22">
        <f t="shared" si="212"/>
        <v>0</v>
      </c>
      <c r="N211" s="22">
        <f t="shared" si="212"/>
        <v>0</v>
      </c>
      <c r="O211" s="22">
        <f t="shared" si="212"/>
        <v>0</v>
      </c>
      <c r="P211" s="22">
        <f t="shared" si="212"/>
        <v>0</v>
      </c>
      <c r="Q211" s="22">
        <f t="shared" si="212"/>
        <v>0</v>
      </c>
      <c r="R211" s="22">
        <f t="shared" si="212"/>
        <v>0</v>
      </c>
      <c r="S211" s="22">
        <f t="shared" si="212"/>
        <v>0</v>
      </c>
      <c r="T211" s="17">
        <f>DATASETS!D140</f>
        <v>7319</v>
      </c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22">
        <f t="shared" si="160"/>
        <v>12</v>
      </c>
      <c r="AF211" s="22">
        <f t="shared" si="161"/>
        <v>14</v>
      </c>
      <c r="AG211" s="22">
        <f t="shared" si="162"/>
        <v>14</v>
      </c>
      <c r="AH211" s="22">
        <f t="shared" si="163"/>
        <v>14</v>
      </c>
      <c r="AI211" s="22">
        <f t="shared" si="164"/>
        <v>12</v>
      </c>
      <c r="AJ211" s="22">
        <f t="shared" si="165"/>
        <v>14</v>
      </c>
      <c r="AK211" s="22">
        <f t="shared" si="166"/>
        <v>12</v>
      </c>
      <c r="AL211" s="22">
        <f t="shared" si="167"/>
        <v>14</v>
      </c>
      <c r="AM211" s="22">
        <f t="shared" si="168"/>
        <v>12</v>
      </c>
      <c r="AN211" s="22">
        <f t="shared" si="169"/>
        <v>14</v>
      </c>
      <c r="AO211" s="36">
        <f t="shared" si="170"/>
        <v>3512.1428571428573</v>
      </c>
      <c r="AP211" s="36">
        <f t="shared" si="171"/>
        <v>4040.3636363636365</v>
      </c>
      <c r="AQ211" s="36">
        <f t="shared" si="172"/>
        <v>3393.8823529411766</v>
      </c>
      <c r="AR211" s="36">
        <f t="shared" si="173"/>
        <v>2684.8333333333335</v>
      </c>
      <c r="AS211" s="36">
        <f t="shared" si="174"/>
        <v>3307.5294117647059</v>
      </c>
      <c r="AT211" s="36">
        <f t="shared" si="175"/>
        <v>3280.125</v>
      </c>
      <c r="AU211" s="36">
        <f t="shared" si="176"/>
        <v>4402.375</v>
      </c>
      <c r="AV211" s="36">
        <f t="shared" si="177"/>
        <v>4702.25</v>
      </c>
      <c r="AW211" s="36">
        <f t="shared" si="178"/>
        <v>5025.5555555555557</v>
      </c>
      <c r="AX211" s="36">
        <f t="shared" si="179"/>
        <v>3305.8571428571427</v>
      </c>
      <c r="AY211" s="43">
        <f t="shared" si="180"/>
        <v>3765.491428995841</v>
      </c>
      <c r="AZ211" s="36">
        <f t="shared" si="181"/>
        <v>3553.508571004159</v>
      </c>
      <c r="BA211" s="36">
        <f t="shared" si="182"/>
        <v>3553.508571004159</v>
      </c>
      <c r="BB211" s="36">
        <f t="shared" si="183"/>
        <v>12627423.164200019</v>
      </c>
      <c r="BC211" s="36">
        <f t="shared" si="184"/>
        <v>29578444.33406385</v>
      </c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22">
        <f t="shared" si="185"/>
        <v>12</v>
      </c>
      <c r="BP211" s="22">
        <f t="shared" si="186"/>
        <v>14</v>
      </c>
      <c r="BQ211" s="22">
        <f t="shared" si="187"/>
        <v>12</v>
      </c>
      <c r="BR211" s="22">
        <f t="shared" si="188"/>
        <v>9</v>
      </c>
      <c r="BS211" s="22">
        <f t="shared" si="189"/>
        <v>10</v>
      </c>
      <c r="BT211" s="22">
        <f t="shared" si="190"/>
        <v>12</v>
      </c>
      <c r="BU211" s="22">
        <f t="shared" si="191"/>
        <v>14</v>
      </c>
      <c r="BV211" s="22">
        <f t="shared" si="192"/>
        <v>12</v>
      </c>
      <c r="BW211" s="22">
        <f t="shared" si="193"/>
        <v>10</v>
      </c>
      <c r="BX211" s="22">
        <f t="shared" si="194"/>
        <v>10</v>
      </c>
      <c r="BY211" s="36">
        <f t="shared" si="195"/>
        <v>3616.75</v>
      </c>
      <c r="BZ211" s="36">
        <f t="shared" si="196"/>
        <v>8401.5</v>
      </c>
      <c r="CA211" s="36">
        <f t="shared" si="197"/>
        <v>7604.25</v>
      </c>
      <c r="CB211" s="36">
        <f t="shared" si="198"/>
        <v>4077.7142857142858</v>
      </c>
      <c r="CC211" s="36">
        <f t="shared" si="199"/>
        <v>4206.666666666667</v>
      </c>
      <c r="CD211" s="36">
        <f t="shared" si="200"/>
        <v>7763.833333333333</v>
      </c>
      <c r="CE211" s="36">
        <f t="shared" si="201"/>
        <v>8476.5</v>
      </c>
      <c r="CF211" s="36">
        <f t="shared" si="202"/>
        <v>7488.8888888888887</v>
      </c>
      <c r="CG211" s="36">
        <f t="shared" si="203"/>
        <v>8392</v>
      </c>
      <c r="CH211" s="36">
        <f t="shared" si="204"/>
        <v>8517.8333333333339</v>
      </c>
      <c r="CI211" s="43">
        <f t="shared" si="205"/>
        <v>6854.5936507936512</v>
      </c>
      <c r="CJ211" s="36">
        <f t="shared" si="206"/>
        <v>464.40634920634875</v>
      </c>
      <c r="CK211" s="36">
        <f t="shared" si="207"/>
        <v>464.40634920634875</v>
      </c>
      <c r="CL211" s="36">
        <f t="shared" si="208"/>
        <v>215673.25718316913</v>
      </c>
      <c r="CM211" s="36">
        <f t="shared" si="209"/>
        <v>29578444.33406385</v>
      </c>
    </row>
    <row r="212" spans="1:91" x14ac:dyDescent="0.3">
      <c r="A212" s="15" t="str">
        <f>DATASETS!A141</f>
        <v>EDSA</v>
      </c>
      <c r="B212" s="15" t="str">
        <f>DATASETS!E141</f>
        <v>EDSA Test</v>
      </c>
      <c r="C212" s="20">
        <f>DATASETS!C141</f>
        <v>372271</v>
      </c>
      <c r="D212" s="15">
        <f>DATASETS!B141</f>
        <v>2021</v>
      </c>
      <c r="E212" s="17">
        <f>DATASETS!I141</f>
        <v>7319</v>
      </c>
      <c r="F212" s="20">
        <f>DATASETS!H141</f>
        <v>285.60000000000002</v>
      </c>
      <c r="G212" s="22">
        <f t="shared" si="212"/>
        <v>0</v>
      </c>
      <c r="H212" s="22">
        <f t="shared" si="212"/>
        <v>0</v>
      </c>
      <c r="I212" s="22">
        <f t="shared" si="212"/>
        <v>0</v>
      </c>
      <c r="J212" s="22">
        <f t="shared" si="212"/>
        <v>0</v>
      </c>
      <c r="K212" s="22">
        <f t="shared" si="212"/>
        <v>0</v>
      </c>
      <c r="L212" s="22">
        <f t="shared" si="212"/>
        <v>0</v>
      </c>
      <c r="M212" s="22">
        <f t="shared" si="212"/>
        <v>0</v>
      </c>
      <c r="N212" s="22">
        <f t="shared" si="212"/>
        <v>0</v>
      </c>
      <c r="O212" s="22">
        <f t="shared" si="212"/>
        <v>0</v>
      </c>
      <c r="P212" s="22">
        <f t="shared" si="212"/>
        <v>0</v>
      </c>
      <c r="Q212" s="22">
        <f t="shared" si="212"/>
        <v>0</v>
      </c>
      <c r="R212" s="22">
        <f t="shared" si="212"/>
        <v>0</v>
      </c>
      <c r="S212" s="22">
        <f t="shared" si="212"/>
        <v>0</v>
      </c>
      <c r="T212" s="17">
        <f>DATASETS!D141</f>
        <v>6523</v>
      </c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22">
        <f t="shared" si="160"/>
        <v>12</v>
      </c>
      <c r="AF212" s="22">
        <f t="shared" si="161"/>
        <v>14</v>
      </c>
      <c r="AG212" s="22">
        <f t="shared" si="162"/>
        <v>14</v>
      </c>
      <c r="AH212" s="22">
        <f t="shared" si="163"/>
        <v>14</v>
      </c>
      <c r="AI212" s="22">
        <f t="shared" si="164"/>
        <v>12</v>
      </c>
      <c r="AJ212" s="22">
        <f t="shared" si="165"/>
        <v>14</v>
      </c>
      <c r="AK212" s="22">
        <f t="shared" si="166"/>
        <v>12</v>
      </c>
      <c r="AL212" s="22">
        <f t="shared" si="167"/>
        <v>14</v>
      </c>
      <c r="AM212" s="22">
        <f t="shared" si="168"/>
        <v>12</v>
      </c>
      <c r="AN212" s="22">
        <f t="shared" si="169"/>
        <v>14</v>
      </c>
      <c r="AO212" s="36">
        <f t="shared" si="170"/>
        <v>3512.1428571428573</v>
      </c>
      <c r="AP212" s="36">
        <f t="shared" si="171"/>
        <v>4040.3636363636365</v>
      </c>
      <c r="AQ212" s="36">
        <f t="shared" si="172"/>
        <v>3393.8823529411766</v>
      </c>
      <c r="AR212" s="36">
        <f t="shared" si="173"/>
        <v>2684.8333333333335</v>
      </c>
      <c r="AS212" s="36">
        <f t="shared" si="174"/>
        <v>3307.5294117647059</v>
      </c>
      <c r="AT212" s="36">
        <f t="shared" si="175"/>
        <v>3280.125</v>
      </c>
      <c r="AU212" s="36">
        <f t="shared" si="176"/>
        <v>4402.375</v>
      </c>
      <c r="AV212" s="36">
        <f t="shared" si="177"/>
        <v>4702.25</v>
      </c>
      <c r="AW212" s="36">
        <f t="shared" si="178"/>
        <v>5025.5555555555557</v>
      </c>
      <c r="AX212" s="36">
        <f t="shared" si="179"/>
        <v>3305.8571428571427</v>
      </c>
      <c r="AY212" s="43">
        <f t="shared" si="180"/>
        <v>3765.491428995841</v>
      </c>
      <c r="AZ212" s="36">
        <f t="shared" si="181"/>
        <v>2757.508571004159</v>
      </c>
      <c r="BA212" s="36">
        <f t="shared" si="182"/>
        <v>2757.508571004159</v>
      </c>
      <c r="BB212" s="36">
        <f t="shared" si="183"/>
        <v>7603853.5191613985</v>
      </c>
      <c r="BC212" s="36">
        <f t="shared" si="184"/>
        <v>21553798.248593763</v>
      </c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22">
        <f t="shared" si="185"/>
        <v>12</v>
      </c>
      <c r="BP212" s="22">
        <f t="shared" si="186"/>
        <v>14</v>
      </c>
      <c r="BQ212" s="22">
        <f t="shared" si="187"/>
        <v>12</v>
      </c>
      <c r="BR212" s="22">
        <f t="shared" si="188"/>
        <v>9</v>
      </c>
      <c r="BS212" s="22">
        <f t="shared" si="189"/>
        <v>10</v>
      </c>
      <c r="BT212" s="22">
        <f t="shared" si="190"/>
        <v>12</v>
      </c>
      <c r="BU212" s="22">
        <f t="shared" si="191"/>
        <v>14</v>
      </c>
      <c r="BV212" s="22">
        <f t="shared" si="192"/>
        <v>12</v>
      </c>
      <c r="BW212" s="22">
        <f t="shared" si="193"/>
        <v>10</v>
      </c>
      <c r="BX212" s="22">
        <f t="shared" si="194"/>
        <v>10</v>
      </c>
      <c r="BY212" s="36">
        <f t="shared" si="195"/>
        <v>3616.75</v>
      </c>
      <c r="BZ212" s="36">
        <f t="shared" si="196"/>
        <v>8401.5</v>
      </c>
      <c r="CA212" s="36">
        <f t="shared" si="197"/>
        <v>7604.25</v>
      </c>
      <c r="CB212" s="36">
        <f t="shared" si="198"/>
        <v>4077.7142857142858</v>
      </c>
      <c r="CC212" s="36">
        <f t="shared" si="199"/>
        <v>4206.666666666667</v>
      </c>
      <c r="CD212" s="36">
        <f t="shared" si="200"/>
        <v>7763.833333333333</v>
      </c>
      <c r="CE212" s="36">
        <f t="shared" si="201"/>
        <v>8476.5</v>
      </c>
      <c r="CF212" s="36">
        <f t="shared" si="202"/>
        <v>7488.8888888888887</v>
      </c>
      <c r="CG212" s="36">
        <f t="shared" si="203"/>
        <v>8392</v>
      </c>
      <c r="CH212" s="36">
        <f t="shared" si="204"/>
        <v>8517.8333333333339</v>
      </c>
      <c r="CI212" s="43">
        <f t="shared" si="205"/>
        <v>6854.5936507936512</v>
      </c>
      <c r="CJ212" s="36">
        <f t="shared" si="206"/>
        <v>-331.59365079365125</v>
      </c>
      <c r="CK212" s="36">
        <f t="shared" si="207"/>
        <v>331.59365079365125</v>
      </c>
      <c r="CL212" s="36">
        <f t="shared" si="208"/>
        <v>109954.34924666194</v>
      </c>
      <c r="CM212" s="36">
        <f t="shared" si="209"/>
        <v>21553798.248593763</v>
      </c>
    </row>
    <row r="213" spans="1:91" x14ac:dyDescent="0.3">
      <c r="A213" s="15" t="str">
        <f>DATASETS!A142</f>
        <v>EDSA</v>
      </c>
      <c r="B213" s="15" t="str">
        <f>DATASETS!E142</f>
        <v>EDSA Test</v>
      </c>
      <c r="C213" s="20">
        <f>DATASETS!C142</f>
        <v>385096</v>
      </c>
      <c r="D213" s="15">
        <f>DATASETS!B142</f>
        <v>2022</v>
      </c>
      <c r="E213" s="17">
        <f>DATASETS!I142</f>
        <v>6523</v>
      </c>
      <c r="F213" s="20">
        <f>DATASETS!H142</f>
        <v>285.60000000000002</v>
      </c>
      <c r="G213" s="22">
        <f t="shared" si="212"/>
        <v>0</v>
      </c>
      <c r="H213" s="22">
        <f t="shared" si="212"/>
        <v>0</v>
      </c>
      <c r="I213" s="22">
        <f t="shared" si="212"/>
        <v>0</v>
      </c>
      <c r="J213" s="22">
        <f t="shared" si="212"/>
        <v>0</v>
      </c>
      <c r="K213" s="22">
        <f t="shared" si="212"/>
        <v>0</v>
      </c>
      <c r="L213" s="22">
        <f t="shared" si="212"/>
        <v>0</v>
      </c>
      <c r="M213" s="22">
        <f t="shared" si="212"/>
        <v>0</v>
      </c>
      <c r="N213" s="22">
        <f t="shared" si="212"/>
        <v>0</v>
      </c>
      <c r="O213" s="22">
        <f t="shared" si="212"/>
        <v>0</v>
      </c>
      <c r="P213" s="22">
        <f t="shared" si="212"/>
        <v>0</v>
      </c>
      <c r="Q213" s="22">
        <f t="shared" si="212"/>
        <v>0</v>
      </c>
      <c r="R213" s="22">
        <f t="shared" si="212"/>
        <v>0</v>
      </c>
      <c r="S213" s="22">
        <f t="shared" si="212"/>
        <v>0</v>
      </c>
      <c r="T213" s="17">
        <f>DATASETS!D142</f>
        <v>8009</v>
      </c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22">
        <f t="shared" si="160"/>
        <v>12</v>
      </c>
      <c r="AF213" s="22">
        <f t="shared" si="161"/>
        <v>14</v>
      </c>
      <c r="AG213" s="22">
        <f t="shared" si="162"/>
        <v>14</v>
      </c>
      <c r="AH213" s="22">
        <f t="shared" si="163"/>
        <v>14</v>
      </c>
      <c r="AI213" s="22">
        <f t="shared" si="164"/>
        <v>12</v>
      </c>
      <c r="AJ213" s="22">
        <f t="shared" si="165"/>
        <v>14</v>
      </c>
      <c r="AK213" s="22">
        <f t="shared" si="166"/>
        <v>12</v>
      </c>
      <c r="AL213" s="22">
        <f t="shared" si="167"/>
        <v>14</v>
      </c>
      <c r="AM213" s="22">
        <f t="shared" si="168"/>
        <v>12</v>
      </c>
      <c r="AN213" s="22">
        <f t="shared" si="169"/>
        <v>14</v>
      </c>
      <c r="AO213" s="36">
        <f t="shared" si="170"/>
        <v>3512.1428571428573</v>
      </c>
      <c r="AP213" s="36">
        <f t="shared" si="171"/>
        <v>4040.3636363636365</v>
      </c>
      <c r="AQ213" s="36">
        <f t="shared" si="172"/>
        <v>3393.8823529411766</v>
      </c>
      <c r="AR213" s="36">
        <f t="shared" si="173"/>
        <v>2684.8333333333335</v>
      </c>
      <c r="AS213" s="36">
        <f t="shared" si="174"/>
        <v>3307.5294117647059</v>
      </c>
      <c r="AT213" s="36">
        <f t="shared" si="175"/>
        <v>3280.125</v>
      </c>
      <c r="AU213" s="36">
        <f t="shared" si="176"/>
        <v>4402.375</v>
      </c>
      <c r="AV213" s="36">
        <f t="shared" si="177"/>
        <v>4702.25</v>
      </c>
      <c r="AW213" s="36">
        <f t="shared" si="178"/>
        <v>5025.5555555555557</v>
      </c>
      <c r="AX213" s="36">
        <f t="shared" si="179"/>
        <v>3305.8571428571427</v>
      </c>
      <c r="AY213" s="43">
        <f t="shared" si="180"/>
        <v>3765.491428995841</v>
      </c>
      <c r="AZ213" s="36">
        <f t="shared" si="181"/>
        <v>4243.5085710041585</v>
      </c>
      <c r="BA213" s="36">
        <f t="shared" si="182"/>
        <v>4243.5085710041585</v>
      </c>
      <c r="BB213" s="36">
        <f t="shared" si="183"/>
        <v>18007364.992185757</v>
      </c>
      <c r="BC213" s="36">
        <f t="shared" si="184"/>
        <v>37559821.769961283</v>
      </c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22">
        <f t="shared" si="185"/>
        <v>12</v>
      </c>
      <c r="BP213" s="22">
        <f t="shared" si="186"/>
        <v>14</v>
      </c>
      <c r="BQ213" s="22">
        <f t="shared" si="187"/>
        <v>12</v>
      </c>
      <c r="BR213" s="22">
        <f t="shared" si="188"/>
        <v>9</v>
      </c>
      <c r="BS213" s="22">
        <f t="shared" si="189"/>
        <v>10</v>
      </c>
      <c r="BT213" s="22">
        <f t="shared" si="190"/>
        <v>12</v>
      </c>
      <c r="BU213" s="22">
        <f t="shared" si="191"/>
        <v>14</v>
      </c>
      <c r="BV213" s="22">
        <f t="shared" si="192"/>
        <v>12</v>
      </c>
      <c r="BW213" s="22">
        <f t="shared" si="193"/>
        <v>10</v>
      </c>
      <c r="BX213" s="22">
        <f t="shared" si="194"/>
        <v>10</v>
      </c>
      <c r="BY213" s="36">
        <f t="shared" si="195"/>
        <v>3616.75</v>
      </c>
      <c r="BZ213" s="36">
        <f t="shared" si="196"/>
        <v>8401.5</v>
      </c>
      <c r="CA213" s="36">
        <f t="shared" si="197"/>
        <v>7604.25</v>
      </c>
      <c r="CB213" s="36">
        <f t="shared" si="198"/>
        <v>4077.7142857142858</v>
      </c>
      <c r="CC213" s="36">
        <f t="shared" si="199"/>
        <v>4206.666666666667</v>
      </c>
      <c r="CD213" s="36">
        <f t="shared" si="200"/>
        <v>7763.833333333333</v>
      </c>
      <c r="CE213" s="36">
        <f t="shared" si="201"/>
        <v>8476.5</v>
      </c>
      <c r="CF213" s="36">
        <f t="shared" si="202"/>
        <v>7488.8888888888887</v>
      </c>
      <c r="CG213" s="36">
        <f t="shared" si="203"/>
        <v>8392</v>
      </c>
      <c r="CH213" s="36">
        <f t="shared" si="204"/>
        <v>8517.8333333333339</v>
      </c>
      <c r="CI213" s="43">
        <f t="shared" si="205"/>
        <v>6854.5936507936512</v>
      </c>
      <c r="CJ213" s="36">
        <f t="shared" si="206"/>
        <v>1154.4063492063488</v>
      </c>
      <c r="CK213" s="36">
        <f t="shared" si="207"/>
        <v>1154.4063492063488</v>
      </c>
      <c r="CL213" s="36">
        <f t="shared" si="208"/>
        <v>1332654.0190879304</v>
      </c>
      <c r="CM213" s="36">
        <f t="shared" si="209"/>
        <v>37559821.769961283</v>
      </c>
    </row>
    <row r="214" spans="1:91" x14ac:dyDescent="0.3">
      <c r="A214" s="15" t="str">
        <f>DATASETS!A143</f>
        <v>EDSA</v>
      </c>
      <c r="B214" s="15" t="str">
        <f>DATASETS!E143</f>
        <v>EDSA Test</v>
      </c>
      <c r="C214" s="20">
        <f>DATASETS!C143</f>
        <v>407342</v>
      </c>
      <c r="D214" s="15">
        <f>DATASETS!B143</f>
        <v>2023</v>
      </c>
      <c r="E214" s="17">
        <f>DATASETS!I143</f>
        <v>8009</v>
      </c>
      <c r="F214" s="20">
        <f>DATASETS!H143</f>
        <v>285.60000000000002</v>
      </c>
      <c r="G214" s="22">
        <f t="shared" si="212"/>
        <v>0</v>
      </c>
      <c r="H214" s="22">
        <f t="shared" si="212"/>
        <v>0</v>
      </c>
      <c r="I214" s="22">
        <f t="shared" si="212"/>
        <v>0</v>
      </c>
      <c r="J214" s="22">
        <f t="shared" si="212"/>
        <v>0</v>
      </c>
      <c r="K214" s="22">
        <f t="shared" si="212"/>
        <v>0</v>
      </c>
      <c r="L214" s="22">
        <f t="shared" si="212"/>
        <v>0</v>
      </c>
      <c r="M214" s="22">
        <f t="shared" si="212"/>
        <v>0</v>
      </c>
      <c r="N214" s="22">
        <f t="shared" si="212"/>
        <v>0</v>
      </c>
      <c r="O214" s="22">
        <f t="shared" si="212"/>
        <v>0</v>
      </c>
      <c r="P214" s="22">
        <f t="shared" si="212"/>
        <v>0</v>
      </c>
      <c r="Q214" s="22">
        <f t="shared" si="212"/>
        <v>0</v>
      </c>
      <c r="R214" s="22">
        <f t="shared" si="212"/>
        <v>0</v>
      </c>
      <c r="S214" s="22">
        <f t="shared" si="212"/>
        <v>0</v>
      </c>
      <c r="T214" s="17">
        <f>DATASETS!D143</f>
        <v>8727</v>
      </c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22">
        <f t="shared" si="160"/>
        <v>12</v>
      </c>
      <c r="AF214" s="22">
        <f t="shared" si="161"/>
        <v>14</v>
      </c>
      <c r="AG214" s="22">
        <f t="shared" si="162"/>
        <v>14</v>
      </c>
      <c r="AH214" s="22">
        <f t="shared" si="163"/>
        <v>14</v>
      </c>
      <c r="AI214" s="22">
        <f t="shared" si="164"/>
        <v>12</v>
      </c>
      <c r="AJ214" s="22">
        <f t="shared" si="165"/>
        <v>14</v>
      </c>
      <c r="AK214" s="22">
        <f t="shared" si="166"/>
        <v>12</v>
      </c>
      <c r="AL214" s="22">
        <f t="shared" si="167"/>
        <v>14</v>
      </c>
      <c r="AM214" s="22">
        <f t="shared" si="168"/>
        <v>12</v>
      </c>
      <c r="AN214" s="22">
        <f t="shared" si="169"/>
        <v>14</v>
      </c>
      <c r="AO214" s="36">
        <f t="shared" si="170"/>
        <v>3512.1428571428573</v>
      </c>
      <c r="AP214" s="36">
        <f t="shared" si="171"/>
        <v>4040.3636363636365</v>
      </c>
      <c r="AQ214" s="36">
        <f t="shared" si="172"/>
        <v>3393.8823529411766</v>
      </c>
      <c r="AR214" s="36">
        <f t="shared" si="173"/>
        <v>2684.8333333333335</v>
      </c>
      <c r="AS214" s="36">
        <f t="shared" si="174"/>
        <v>3307.5294117647059</v>
      </c>
      <c r="AT214" s="36">
        <f t="shared" si="175"/>
        <v>3280.125</v>
      </c>
      <c r="AU214" s="36">
        <f t="shared" si="176"/>
        <v>4402.375</v>
      </c>
      <c r="AV214" s="36">
        <f t="shared" si="177"/>
        <v>4702.25</v>
      </c>
      <c r="AW214" s="36">
        <f t="shared" si="178"/>
        <v>5025.5555555555557</v>
      </c>
      <c r="AX214" s="36">
        <f t="shared" si="179"/>
        <v>3305.8571428571427</v>
      </c>
      <c r="AY214" s="43">
        <f t="shared" si="180"/>
        <v>3765.491428995841</v>
      </c>
      <c r="AZ214" s="36">
        <f t="shared" si="181"/>
        <v>4961.5085710041585</v>
      </c>
      <c r="BA214" s="36">
        <f t="shared" si="182"/>
        <v>4961.5085710041585</v>
      </c>
      <c r="BB214" s="36">
        <f t="shared" si="183"/>
        <v>24616567.300147727</v>
      </c>
      <c r="BC214" s="36">
        <f t="shared" si="184"/>
        <v>46876025.188764706</v>
      </c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22">
        <f t="shared" si="185"/>
        <v>12</v>
      </c>
      <c r="BP214" s="22">
        <f t="shared" si="186"/>
        <v>14</v>
      </c>
      <c r="BQ214" s="22">
        <f t="shared" si="187"/>
        <v>12</v>
      </c>
      <c r="BR214" s="22">
        <f t="shared" si="188"/>
        <v>9</v>
      </c>
      <c r="BS214" s="22">
        <f t="shared" si="189"/>
        <v>10</v>
      </c>
      <c r="BT214" s="22">
        <f t="shared" si="190"/>
        <v>12</v>
      </c>
      <c r="BU214" s="22">
        <f t="shared" si="191"/>
        <v>14</v>
      </c>
      <c r="BV214" s="22">
        <f t="shared" si="192"/>
        <v>12</v>
      </c>
      <c r="BW214" s="22">
        <f t="shared" si="193"/>
        <v>10</v>
      </c>
      <c r="BX214" s="22">
        <f t="shared" si="194"/>
        <v>10</v>
      </c>
      <c r="BY214" s="36">
        <f t="shared" si="195"/>
        <v>3616.75</v>
      </c>
      <c r="BZ214" s="36">
        <f t="shared" si="196"/>
        <v>8401.5</v>
      </c>
      <c r="CA214" s="36">
        <f t="shared" si="197"/>
        <v>7604.25</v>
      </c>
      <c r="CB214" s="36">
        <f t="shared" si="198"/>
        <v>4077.7142857142858</v>
      </c>
      <c r="CC214" s="36">
        <f t="shared" si="199"/>
        <v>4206.666666666667</v>
      </c>
      <c r="CD214" s="36">
        <f t="shared" si="200"/>
        <v>7763.833333333333</v>
      </c>
      <c r="CE214" s="36">
        <f t="shared" si="201"/>
        <v>8476.5</v>
      </c>
      <c r="CF214" s="36">
        <f t="shared" si="202"/>
        <v>7488.8888888888887</v>
      </c>
      <c r="CG214" s="36">
        <f t="shared" si="203"/>
        <v>8392</v>
      </c>
      <c r="CH214" s="36">
        <f t="shared" si="204"/>
        <v>8517.8333333333339</v>
      </c>
      <c r="CI214" s="43">
        <f t="shared" si="205"/>
        <v>6854.5936507936512</v>
      </c>
      <c r="CJ214" s="36">
        <f t="shared" si="206"/>
        <v>1872.4063492063488</v>
      </c>
      <c r="CK214" s="36">
        <f t="shared" si="207"/>
        <v>1872.4063492063488</v>
      </c>
      <c r="CL214" s="36">
        <f t="shared" si="208"/>
        <v>3505905.5365482471</v>
      </c>
      <c r="CM214" s="36">
        <f t="shared" si="209"/>
        <v>46876025.188764706</v>
      </c>
    </row>
    <row r="215" spans="1:91" x14ac:dyDescent="0.3">
      <c r="A215" s="15" t="str">
        <f>DATASETS!A144</f>
        <v>EDSA</v>
      </c>
      <c r="B215" s="15" t="str">
        <f>DATASETS!E144</f>
        <v>EDSA Test</v>
      </c>
      <c r="C215" s="20">
        <f>DATASETS!C144</f>
        <v>419952</v>
      </c>
      <c r="D215" s="15">
        <f>DATASETS!B144</f>
        <v>2024</v>
      </c>
      <c r="E215" s="17">
        <f>DATASETS!I144</f>
        <v>8727</v>
      </c>
      <c r="F215" s="20">
        <f>DATASETS!H144</f>
        <v>285.60000000000002</v>
      </c>
      <c r="G215" s="22">
        <f t="shared" si="212"/>
        <v>0</v>
      </c>
      <c r="H215" s="22">
        <f t="shared" si="212"/>
        <v>0</v>
      </c>
      <c r="I215" s="22">
        <f t="shared" si="212"/>
        <v>0</v>
      </c>
      <c r="J215" s="22">
        <f t="shared" si="212"/>
        <v>0</v>
      </c>
      <c r="K215" s="22">
        <f t="shared" si="212"/>
        <v>0</v>
      </c>
      <c r="L215" s="22">
        <f t="shared" si="212"/>
        <v>0</v>
      </c>
      <c r="M215" s="22">
        <f t="shared" si="212"/>
        <v>0</v>
      </c>
      <c r="N215" s="22">
        <f t="shared" si="212"/>
        <v>0</v>
      </c>
      <c r="O215" s="22">
        <f t="shared" si="212"/>
        <v>0</v>
      </c>
      <c r="P215" s="22">
        <f t="shared" si="212"/>
        <v>0</v>
      </c>
      <c r="Q215" s="22">
        <f t="shared" si="212"/>
        <v>0</v>
      </c>
      <c r="R215" s="22">
        <f t="shared" si="212"/>
        <v>0</v>
      </c>
      <c r="S215" s="22">
        <f t="shared" si="212"/>
        <v>0</v>
      </c>
      <c r="T215" s="17">
        <f>DATASETS!D144</f>
        <v>8873</v>
      </c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22">
        <f t="shared" si="160"/>
        <v>12</v>
      </c>
      <c r="AF215" s="22">
        <f t="shared" si="161"/>
        <v>14</v>
      </c>
      <c r="AG215" s="22">
        <f t="shared" si="162"/>
        <v>14</v>
      </c>
      <c r="AH215" s="22">
        <f t="shared" si="163"/>
        <v>14</v>
      </c>
      <c r="AI215" s="22">
        <f t="shared" si="164"/>
        <v>12</v>
      </c>
      <c r="AJ215" s="22">
        <f t="shared" si="165"/>
        <v>14</v>
      </c>
      <c r="AK215" s="22">
        <f t="shared" si="166"/>
        <v>12</v>
      </c>
      <c r="AL215" s="22">
        <f t="shared" si="167"/>
        <v>14</v>
      </c>
      <c r="AM215" s="22">
        <f t="shared" si="168"/>
        <v>12</v>
      </c>
      <c r="AN215" s="22">
        <f t="shared" si="169"/>
        <v>14</v>
      </c>
      <c r="AO215" s="36">
        <f t="shared" si="170"/>
        <v>3512.1428571428573</v>
      </c>
      <c r="AP215" s="36">
        <f t="shared" si="171"/>
        <v>4040.3636363636365</v>
      </c>
      <c r="AQ215" s="36">
        <f t="shared" si="172"/>
        <v>3393.8823529411766</v>
      </c>
      <c r="AR215" s="36">
        <f t="shared" si="173"/>
        <v>2684.8333333333335</v>
      </c>
      <c r="AS215" s="36">
        <f t="shared" si="174"/>
        <v>3307.5294117647059</v>
      </c>
      <c r="AT215" s="36">
        <f t="shared" si="175"/>
        <v>3280.125</v>
      </c>
      <c r="AU215" s="36">
        <f t="shared" si="176"/>
        <v>4402.375</v>
      </c>
      <c r="AV215" s="36">
        <f t="shared" si="177"/>
        <v>4702.25</v>
      </c>
      <c r="AW215" s="36">
        <f t="shared" si="178"/>
        <v>5025.5555555555557</v>
      </c>
      <c r="AX215" s="36">
        <f t="shared" si="179"/>
        <v>3305.8571428571427</v>
      </c>
      <c r="AY215" s="43">
        <f t="shared" si="180"/>
        <v>3765.491428995841</v>
      </c>
      <c r="AZ215" s="36">
        <f t="shared" si="181"/>
        <v>5107.5085710041585</v>
      </c>
      <c r="BA215" s="36">
        <f t="shared" si="182"/>
        <v>5107.5085710041585</v>
      </c>
      <c r="BB215" s="36">
        <f t="shared" si="183"/>
        <v>26086643.802880943</v>
      </c>
      <c r="BC215" s="36">
        <f t="shared" si="184"/>
        <v>48896550.385345899</v>
      </c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22">
        <f t="shared" si="185"/>
        <v>12</v>
      </c>
      <c r="BP215" s="22">
        <f t="shared" si="186"/>
        <v>14</v>
      </c>
      <c r="BQ215" s="22">
        <f t="shared" si="187"/>
        <v>12</v>
      </c>
      <c r="BR215" s="22">
        <f t="shared" si="188"/>
        <v>9</v>
      </c>
      <c r="BS215" s="22">
        <f t="shared" si="189"/>
        <v>10</v>
      </c>
      <c r="BT215" s="22">
        <f t="shared" si="190"/>
        <v>12</v>
      </c>
      <c r="BU215" s="22">
        <f t="shared" si="191"/>
        <v>14</v>
      </c>
      <c r="BV215" s="22">
        <f t="shared" si="192"/>
        <v>12</v>
      </c>
      <c r="BW215" s="22">
        <f t="shared" si="193"/>
        <v>10</v>
      </c>
      <c r="BX215" s="22">
        <f t="shared" si="194"/>
        <v>10</v>
      </c>
      <c r="BY215" s="36">
        <f t="shared" si="195"/>
        <v>3616.75</v>
      </c>
      <c r="BZ215" s="36">
        <f t="shared" si="196"/>
        <v>8401.5</v>
      </c>
      <c r="CA215" s="36">
        <f t="shared" si="197"/>
        <v>7604.25</v>
      </c>
      <c r="CB215" s="36">
        <f t="shared" si="198"/>
        <v>4077.7142857142858</v>
      </c>
      <c r="CC215" s="36">
        <f t="shared" si="199"/>
        <v>4206.666666666667</v>
      </c>
      <c r="CD215" s="36">
        <f t="shared" si="200"/>
        <v>7763.833333333333</v>
      </c>
      <c r="CE215" s="36">
        <f t="shared" si="201"/>
        <v>8476.5</v>
      </c>
      <c r="CF215" s="36">
        <f t="shared" si="202"/>
        <v>7488.8888888888887</v>
      </c>
      <c r="CG215" s="36">
        <f t="shared" si="203"/>
        <v>8392</v>
      </c>
      <c r="CH215" s="36">
        <f t="shared" si="204"/>
        <v>8517.8333333333339</v>
      </c>
      <c r="CI215" s="43">
        <f t="shared" si="205"/>
        <v>6854.5936507936512</v>
      </c>
      <c r="CJ215" s="36">
        <f t="shared" si="206"/>
        <v>2018.4063492063488</v>
      </c>
      <c r="CK215" s="36">
        <f t="shared" si="207"/>
        <v>2018.4063492063488</v>
      </c>
      <c r="CL215" s="36">
        <f t="shared" si="208"/>
        <v>4073964.1905165012</v>
      </c>
      <c r="CM215" s="36">
        <f t="shared" si="209"/>
        <v>48896550.385345899</v>
      </c>
    </row>
    <row r="220" spans="1:91" x14ac:dyDescent="0.3">
      <c r="A220" s="13" t="s">
        <v>239</v>
      </c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spans="1:91" ht="39.75" customHeight="1" x14ac:dyDescent="0.3">
      <c r="A221" s="3" t="s">
        <v>240</v>
      </c>
      <c r="B221" s="3" t="s">
        <v>241</v>
      </c>
      <c r="C221" s="3" t="s">
        <v>242</v>
      </c>
      <c r="D221" s="3" t="s">
        <v>243</v>
      </c>
      <c r="E221" s="3" t="s">
        <v>244</v>
      </c>
      <c r="F221" s="3" t="s">
        <v>245</v>
      </c>
      <c r="G221" s="3" t="s">
        <v>246</v>
      </c>
      <c r="H221" s="3" t="s">
        <v>247</v>
      </c>
      <c r="I221" s="3" t="s">
        <v>248</v>
      </c>
      <c r="J221" s="3" t="s">
        <v>249</v>
      </c>
      <c r="K221" s="3" t="s">
        <v>250</v>
      </c>
      <c r="L221" s="3" t="s">
        <v>251</v>
      </c>
      <c r="M221" s="3" t="s">
        <v>252</v>
      </c>
      <c r="N221" s="3" t="s">
        <v>253</v>
      </c>
      <c r="O221" s="3" t="s">
        <v>254</v>
      </c>
      <c r="P221" s="3" t="s">
        <v>255</v>
      </c>
      <c r="Q221" s="3" t="s">
        <v>256</v>
      </c>
      <c r="R221" s="3" t="s">
        <v>257</v>
      </c>
      <c r="S221" s="3" t="s">
        <v>258</v>
      </c>
      <c r="T221" s="3" t="s">
        <v>259</v>
      </c>
      <c r="U221" s="3" t="s">
        <v>260</v>
      </c>
      <c r="V221" s="3" t="s">
        <v>261</v>
      </c>
      <c r="W221" s="3" t="s">
        <v>262</v>
      </c>
      <c r="X221" s="3" t="s">
        <v>263</v>
      </c>
      <c r="Y221" s="3" t="s">
        <v>264</v>
      </c>
      <c r="Z221" s="3" t="s">
        <v>265</v>
      </c>
      <c r="AA221" s="3" t="s">
        <v>266</v>
      </c>
      <c r="AB221" s="3" t="s">
        <v>267</v>
      </c>
      <c r="AC221" s="3" t="s">
        <v>268</v>
      </c>
      <c r="AD221" s="3" t="s">
        <v>269</v>
      </c>
      <c r="AE221" s="3" t="s">
        <v>270</v>
      </c>
    </row>
    <row r="222" spans="1:91" x14ac:dyDescent="0.3">
      <c r="A222" s="11" t="s">
        <v>271</v>
      </c>
      <c r="B222" s="37" t="s">
        <v>144</v>
      </c>
      <c r="C222" s="44">
        <v>210812</v>
      </c>
      <c r="D222" s="37" t="s">
        <v>144</v>
      </c>
      <c r="E222" s="44">
        <v>140459</v>
      </c>
      <c r="F222" s="37" t="s">
        <v>144</v>
      </c>
      <c r="G222" s="44">
        <v>95114</v>
      </c>
      <c r="H222" s="2" t="s">
        <v>272</v>
      </c>
      <c r="J222" s="2" t="s">
        <v>272</v>
      </c>
      <c r="L222" s="37" t="s">
        <v>144</v>
      </c>
      <c r="M222" s="44">
        <v>187977</v>
      </c>
      <c r="N222" s="2" t="s">
        <v>272</v>
      </c>
      <c r="P222" s="2" t="s">
        <v>272</v>
      </c>
      <c r="R222" s="37" t="s">
        <v>144</v>
      </c>
      <c r="S222" s="44">
        <v>225801.5</v>
      </c>
      <c r="T222" s="2" t="s">
        <v>272</v>
      </c>
      <c r="V222" s="37" t="s">
        <v>144</v>
      </c>
      <c r="W222" s="44">
        <v>244276</v>
      </c>
      <c r="X222" s="2" t="s">
        <v>272</v>
      </c>
      <c r="Z222" s="2" t="s">
        <v>272</v>
      </c>
    </row>
    <row r="223" spans="1:91" x14ac:dyDescent="0.3">
      <c r="A223" s="11" t="s">
        <v>273</v>
      </c>
      <c r="B223" s="37" t="s">
        <v>144</v>
      </c>
      <c r="C223" s="44">
        <v>210579</v>
      </c>
      <c r="D223" s="37" t="s">
        <v>144</v>
      </c>
      <c r="E223" s="44">
        <v>127965.5</v>
      </c>
      <c r="F223" s="37" t="s">
        <v>144</v>
      </c>
      <c r="G223" s="44">
        <v>120780.75</v>
      </c>
      <c r="H223" s="2" t="s">
        <v>272</v>
      </c>
      <c r="J223" s="2" t="s">
        <v>272</v>
      </c>
      <c r="L223" s="37" t="s">
        <v>144</v>
      </c>
      <c r="M223" s="44">
        <v>176044.5</v>
      </c>
      <c r="N223" s="2" t="s">
        <v>272</v>
      </c>
      <c r="P223" s="2" t="s">
        <v>272</v>
      </c>
      <c r="R223" s="37" t="s">
        <v>144</v>
      </c>
      <c r="S223" s="44">
        <v>241165.5</v>
      </c>
      <c r="T223" s="37" t="s">
        <v>144</v>
      </c>
      <c r="U223" s="44">
        <v>234605</v>
      </c>
      <c r="V223" s="2" t="s">
        <v>272</v>
      </c>
      <c r="X223" s="2" t="s">
        <v>272</v>
      </c>
      <c r="Z223" s="37" t="s">
        <v>144</v>
      </c>
      <c r="AA223" s="44">
        <v>258686</v>
      </c>
      <c r="AB223" s="2" t="s">
        <v>272</v>
      </c>
      <c r="AD223" s="2" t="s">
        <v>272</v>
      </c>
    </row>
    <row r="224" spans="1:91" x14ac:dyDescent="0.3">
      <c r="A224" s="11" t="s">
        <v>274</v>
      </c>
      <c r="B224" s="37" t="s">
        <v>144</v>
      </c>
      <c r="C224" s="44">
        <v>199411</v>
      </c>
      <c r="D224" s="37" t="s">
        <v>144</v>
      </c>
      <c r="E224" s="44">
        <v>144158.75</v>
      </c>
      <c r="F224" s="37" t="s">
        <v>144</v>
      </c>
      <c r="G224" s="44">
        <v>89660.5</v>
      </c>
      <c r="H224" s="2" t="s">
        <v>272</v>
      </c>
      <c r="J224" s="2" t="s">
        <v>272</v>
      </c>
      <c r="L224" s="37" t="s">
        <v>144</v>
      </c>
      <c r="M224" s="44">
        <v>193029.5</v>
      </c>
      <c r="N224" s="2" t="s">
        <v>272</v>
      </c>
      <c r="P224" s="2" t="s">
        <v>272</v>
      </c>
      <c r="R224" s="37" t="s">
        <v>144</v>
      </c>
      <c r="S224" s="44">
        <v>234605</v>
      </c>
      <c r="T224" s="37" t="s">
        <v>144</v>
      </c>
      <c r="U224" s="44">
        <v>220942</v>
      </c>
      <c r="V224" s="2" t="s">
        <v>272</v>
      </c>
      <c r="X224" s="2" t="s">
        <v>272</v>
      </c>
      <c r="Z224" s="37" t="s">
        <v>144</v>
      </c>
      <c r="AA224" s="44">
        <v>253522</v>
      </c>
      <c r="AB224" s="2" t="s">
        <v>272</v>
      </c>
      <c r="AD224" s="2" t="s">
        <v>272</v>
      </c>
    </row>
    <row r="225" spans="1:30" x14ac:dyDescent="0.3">
      <c r="A225" s="11" t="s">
        <v>275</v>
      </c>
      <c r="B225" s="37" t="s">
        <v>144</v>
      </c>
      <c r="C225" s="44">
        <v>210579</v>
      </c>
      <c r="D225" s="37" t="s">
        <v>144</v>
      </c>
      <c r="E225" s="44">
        <v>126993.25</v>
      </c>
      <c r="F225" s="37" t="s">
        <v>144</v>
      </c>
      <c r="G225" s="44">
        <v>115741</v>
      </c>
      <c r="H225" s="2" t="s">
        <v>272</v>
      </c>
      <c r="J225" s="2" t="s">
        <v>272</v>
      </c>
      <c r="L225" s="37" t="s">
        <v>144</v>
      </c>
      <c r="M225" s="44">
        <v>203153.5</v>
      </c>
      <c r="N225" s="2" t="s">
        <v>272</v>
      </c>
      <c r="P225" s="2" t="s">
        <v>272</v>
      </c>
      <c r="R225" s="37" t="s">
        <v>144</v>
      </c>
      <c r="S225" s="44">
        <v>236909.5</v>
      </c>
      <c r="T225" s="37" t="s">
        <v>144</v>
      </c>
      <c r="U225" s="44">
        <v>220055.5</v>
      </c>
      <c r="V225" s="2" t="s">
        <v>272</v>
      </c>
      <c r="X225" s="2" t="s">
        <v>272</v>
      </c>
      <c r="Z225" s="37" t="s">
        <v>144</v>
      </c>
      <c r="AA225" s="44">
        <v>258686</v>
      </c>
      <c r="AB225" s="2" t="s">
        <v>272</v>
      </c>
      <c r="AD225" s="2" t="s">
        <v>272</v>
      </c>
    </row>
    <row r="226" spans="1:30" x14ac:dyDescent="0.3">
      <c r="A226" s="11" t="s">
        <v>276</v>
      </c>
      <c r="B226" s="37" t="s">
        <v>144</v>
      </c>
      <c r="C226" s="44">
        <v>199969.5</v>
      </c>
      <c r="D226" s="37" t="s">
        <v>144</v>
      </c>
      <c r="E226" s="44">
        <v>119610.75</v>
      </c>
      <c r="F226" s="37" t="s">
        <v>144</v>
      </c>
      <c r="G226" s="44">
        <v>100582.25</v>
      </c>
      <c r="H226" s="2" t="s">
        <v>272</v>
      </c>
      <c r="J226" s="2" t="s">
        <v>272</v>
      </c>
      <c r="L226" s="37" t="s">
        <v>144</v>
      </c>
      <c r="M226" s="44">
        <v>144158.75</v>
      </c>
      <c r="N226" s="2" t="s">
        <v>272</v>
      </c>
      <c r="P226" s="2" t="s">
        <v>272</v>
      </c>
      <c r="R226" s="37" t="s">
        <v>144</v>
      </c>
      <c r="S226" s="44">
        <v>219757.5</v>
      </c>
      <c r="T226" s="2" t="s">
        <v>272</v>
      </c>
      <c r="V226" s="37" t="s">
        <v>144</v>
      </c>
      <c r="W226" s="44">
        <v>241337.5</v>
      </c>
      <c r="X226" s="2" t="s">
        <v>272</v>
      </c>
      <c r="Z226" s="2" t="s">
        <v>272</v>
      </c>
    </row>
    <row r="227" spans="1:30" x14ac:dyDescent="0.3">
      <c r="A227" s="11" t="s">
        <v>277</v>
      </c>
      <c r="B227" s="37" t="s">
        <v>144</v>
      </c>
      <c r="C227" s="44">
        <v>203201</v>
      </c>
      <c r="D227" s="37" t="s">
        <v>144</v>
      </c>
      <c r="E227" s="44">
        <v>127965.5</v>
      </c>
      <c r="F227" s="37" t="s">
        <v>144</v>
      </c>
      <c r="G227" s="44">
        <v>106012</v>
      </c>
      <c r="H227" s="2" t="s">
        <v>272</v>
      </c>
      <c r="J227" s="2" t="s">
        <v>272</v>
      </c>
      <c r="L227" s="37" t="s">
        <v>144</v>
      </c>
      <c r="M227" s="44">
        <v>193029.5</v>
      </c>
      <c r="N227" s="2" t="s">
        <v>272</v>
      </c>
      <c r="P227" s="2" t="s">
        <v>272</v>
      </c>
      <c r="R227" s="37" t="s">
        <v>144</v>
      </c>
      <c r="S227" s="44">
        <v>229438.5</v>
      </c>
      <c r="T227" s="37" t="s">
        <v>144</v>
      </c>
      <c r="U227" s="44">
        <v>215220</v>
      </c>
      <c r="V227" s="2" t="s">
        <v>272</v>
      </c>
      <c r="X227" s="2" t="s">
        <v>272</v>
      </c>
      <c r="Z227" s="37" t="s">
        <v>144</v>
      </c>
      <c r="AA227" s="44">
        <v>241165.5</v>
      </c>
      <c r="AB227" s="2" t="s">
        <v>272</v>
      </c>
      <c r="AD227" s="2" t="s">
        <v>272</v>
      </c>
    </row>
    <row r="228" spans="1:30" x14ac:dyDescent="0.3">
      <c r="A228" s="11" t="s">
        <v>278</v>
      </c>
      <c r="B228" s="37" t="s">
        <v>144</v>
      </c>
      <c r="C228" s="44">
        <v>210579</v>
      </c>
      <c r="D228" s="37" t="s">
        <v>144</v>
      </c>
      <c r="E228" s="44">
        <v>118792.25</v>
      </c>
      <c r="F228" s="37" t="s">
        <v>144</v>
      </c>
      <c r="G228" s="44">
        <v>81168</v>
      </c>
      <c r="H228" s="2" t="s">
        <v>272</v>
      </c>
      <c r="J228" s="2" t="s">
        <v>272</v>
      </c>
      <c r="L228" s="37" t="s">
        <v>144</v>
      </c>
      <c r="M228" s="44">
        <v>191522</v>
      </c>
      <c r="N228" s="2" t="s">
        <v>272</v>
      </c>
      <c r="P228" s="2" t="s">
        <v>272</v>
      </c>
      <c r="R228" s="37" t="s">
        <v>144</v>
      </c>
      <c r="S228" s="44">
        <v>220942</v>
      </c>
      <c r="T228" s="2" t="s">
        <v>272</v>
      </c>
      <c r="V228" s="37" t="s">
        <v>144</v>
      </c>
      <c r="W228" s="44">
        <v>234605</v>
      </c>
      <c r="X228" s="2" t="s">
        <v>272</v>
      </c>
      <c r="Z228" s="2" t="s">
        <v>272</v>
      </c>
    </row>
    <row r="229" spans="1:30" x14ac:dyDescent="0.3">
      <c r="A229" s="11" t="s">
        <v>279</v>
      </c>
      <c r="B229" s="37" t="s">
        <v>144</v>
      </c>
      <c r="C229" s="44">
        <v>210579</v>
      </c>
      <c r="D229" s="37" t="s">
        <v>144</v>
      </c>
      <c r="E229" s="44">
        <v>127965.5</v>
      </c>
      <c r="F229" s="37" t="s">
        <v>144</v>
      </c>
      <c r="G229" s="44">
        <v>99515.5</v>
      </c>
      <c r="H229" s="2" t="s">
        <v>272</v>
      </c>
      <c r="J229" s="2" t="s">
        <v>272</v>
      </c>
      <c r="L229" s="37" t="s">
        <v>144</v>
      </c>
      <c r="M229" s="44">
        <v>191301</v>
      </c>
      <c r="N229" s="2" t="s">
        <v>272</v>
      </c>
      <c r="P229" s="2" t="s">
        <v>272</v>
      </c>
      <c r="R229" s="37" t="s">
        <v>144</v>
      </c>
      <c r="S229" s="44">
        <v>236909.5</v>
      </c>
      <c r="T229" s="37" t="s">
        <v>144</v>
      </c>
      <c r="U229" s="44">
        <v>224127</v>
      </c>
      <c r="V229" s="2" t="s">
        <v>272</v>
      </c>
      <c r="X229" s="2" t="s">
        <v>272</v>
      </c>
      <c r="Z229" s="37" t="s">
        <v>144</v>
      </c>
      <c r="AA229" s="44">
        <v>308075.5</v>
      </c>
      <c r="AB229" s="2" t="s">
        <v>272</v>
      </c>
      <c r="AD229" s="2" t="s">
        <v>272</v>
      </c>
    </row>
    <row r="230" spans="1:30" x14ac:dyDescent="0.3">
      <c r="A230" s="11" t="s">
        <v>280</v>
      </c>
      <c r="B230" s="37" t="s">
        <v>144</v>
      </c>
      <c r="C230" s="44">
        <v>232921.5</v>
      </c>
      <c r="D230" s="37" t="s">
        <v>144</v>
      </c>
      <c r="E230" s="44">
        <v>127965.5</v>
      </c>
      <c r="F230" s="37" t="s">
        <v>144</v>
      </c>
      <c r="G230" s="44">
        <v>81998.5</v>
      </c>
      <c r="H230" s="2" t="s">
        <v>272</v>
      </c>
      <c r="J230" s="2" t="s">
        <v>272</v>
      </c>
      <c r="L230" s="37" t="s">
        <v>144</v>
      </c>
      <c r="M230" s="44">
        <v>168571</v>
      </c>
      <c r="N230" s="2" t="s">
        <v>272</v>
      </c>
      <c r="P230" s="2" t="s">
        <v>272</v>
      </c>
      <c r="R230" s="37" t="s">
        <v>144</v>
      </c>
      <c r="S230" s="44">
        <v>241165.5</v>
      </c>
      <c r="T230" s="2" t="s">
        <v>272</v>
      </c>
      <c r="V230" s="37" t="s">
        <v>144</v>
      </c>
      <c r="W230" s="44">
        <v>314978.5</v>
      </c>
      <c r="X230" s="2" t="s">
        <v>272</v>
      </c>
      <c r="Z230" s="2" t="s">
        <v>272</v>
      </c>
    </row>
    <row r="231" spans="1:30" x14ac:dyDescent="0.3">
      <c r="A231" s="11" t="s">
        <v>281</v>
      </c>
      <c r="B231" s="37" t="s">
        <v>144</v>
      </c>
      <c r="C231" s="44">
        <v>210579</v>
      </c>
      <c r="D231" s="37" t="s">
        <v>144</v>
      </c>
      <c r="E231" s="44">
        <v>127965.5</v>
      </c>
      <c r="F231" s="37" t="s">
        <v>144</v>
      </c>
      <c r="G231" s="44">
        <v>109755.5</v>
      </c>
      <c r="H231" s="2" t="s">
        <v>272</v>
      </c>
      <c r="J231" s="2" t="s">
        <v>272</v>
      </c>
      <c r="L231" s="37" t="s">
        <v>144</v>
      </c>
      <c r="M231" s="44">
        <v>180199</v>
      </c>
      <c r="N231" s="2" t="s">
        <v>272</v>
      </c>
      <c r="P231" s="2" t="s">
        <v>272</v>
      </c>
      <c r="R231" s="37" t="s">
        <v>144</v>
      </c>
      <c r="S231" s="44">
        <v>255655.5</v>
      </c>
      <c r="T231" s="37" t="s">
        <v>144</v>
      </c>
      <c r="U231" s="44">
        <v>232107</v>
      </c>
      <c r="V231" s="2" t="s">
        <v>272</v>
      </c>
      <c r="X231" s="2" t="s">
        <v>272</v>
      </c>
      <c r="Z231" s="37" t="s">
        <v>144</v>
      </c>
      <c r="AA231" s="44">
        <v>281371.5</v>
      </c>
      <c r="AB231" s="2" t="s">
        <v>272</v>
      </c>
      <c r="AD231" s="2" t="s">
        <v>272</v>
      </c>
    </row>
    <row r="233" spans="1:30" x14ac:dyDescent="0.3">
      <c r="A233" s="13" t="s">
        <v>282</v>
      </c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</row>
    <row r="234" spans="1:30" x14ac:dyDescent="0.3">
      <c r="A234" s="3" t="s">
        <v>148</v>
      </c>
      <c r="B234" s="3" t="s">
        <v>283</v>
      </c>
      <c r="C234" s="3" t="s">
        <v>284</v>
      </c>
      <c r="D234" s="3" t="s">
        <v>285</v>
      </c>
      <c r="E234" s="3" t="s">
        <v>286</v>
      </c>
      <c r="F234" s="3" t="s">
        <v>287</v>
      </c>
      <c r="G234" s="3" t="s">
        <v>288</v>
      </c>
      <c r="H234" s="3" t="s">
        <v>289</v>
      </c>
      <c r="I234" s="3" t="s">
        <v>290</v>
      </c>
      <c r="J234" s="3" t="s">
        <v>291</v>
      </c>
      <c r="K234" s="3" t="s">
        <v>292</v>
      </c>
      <c r="L234" s="3" t="s">
        <v>293</v>
      </c>
      <c r="M234" s="3" t="s">
        <v>294</v>
      </c>
      <c r="N234" s="3" t="s">
        <v>295</v>
      </c>
      <c r="O234" s="3" t="s">
        <v>296</v>
      </c>
      <c r="P234" s="3" t="s">
        <v>297</v>
      </c>
    </row>
    <row r="235" spans="1:30" x14ac:dyDescent="0.3">
      <c r="A235" s="11" t="s">
        <v>271</v>
      </c>
      <c r="E235" s="25">
        <f>SUMPRODUCT((AE$90:AE$206=3)*U$90:U$206*$T$90:$T$206)/SUMPRODUCT((AE$90:AE$206=3)*U$90:U$206)</f>
        <v>600.81818181818187</v>
      </c>
      <c r="F235" s="25">
        <f>SUMPRODUCT((AE$90:AE$206=4)*U$90:U$206*$T$90:$T$206)/SUMPRODUCT((AE$90:AE$206=4)*U$90:U$206)</f>
        <v>920.9375</v>
      </c>
      <c r="H235" s="25">
        <f>SUMPRODUCT((AE$90:AE$206=6)*U$90:U$206*$T$90:$T$206)/SUMPRODUCT((AE$90:AE$206=6)*U$90:U$206)</f>
        <v>1533.2941176470588</v>
      </c>
      <c r="I235" s="25">
        <f>SUMPRODUCT((AE$90:AE$206=7)*U$90:U$206*$T$90:$T$206)/SUMPRODUCT((AE$90:AE$206=7)*U$90:U$206)</f>
        <v>1949.090909090909</v>
      </c>
      <c r="K235" s="25">
        <f>SUMPRODUCT((AE$90:AE$206=9)*U$90:U$206*$T$90:$T$206)/SUMPRODUCT((AE$90:AE$206=9)*U$90:U$206)</f>
        <v>4308.1428571428569</v>
      </c>
      <c r="M235" s="25">
        <f>SUMPRODUCT((AE$90:AE$206=11)*U$90:U$206*$T$90:$T$206)/SUMPRODUCT((AE$90:AE$206=11)*U$90:U$206)</f>
        <v>1013.2857142857143</v>
      </c>
      <c r="N235" s="25">
        <f>SUMPRODUCT((AE$90:AE$206=12)*U$90:U$206*$T$90:$T$206)/SUMPRODUCT((AE$90:AE$206=12)*U$90:U$206)</f>
        <v>3512.1428571428573</v>
      </c>
    </row>
    <row r="236" spans="1:30" x14ac:dyDescent="0.3">
      <c r="A236" s="11" t="s">
        <v>273</v>
      </c>
      <c r="E236" s="25">
        <f>SUMPRODUCT((AF$90:AF$206=3)*V$90:V$206*$T$90:$T$206)/SUMPRODUCT((AF$90:AF$206=3)*V$90:V$206)</f>
        <v>879.5</v>
      </c>
      <c r="F236" s="25">
        <f>SUMPRODUCT((AF$90:AF$206=4)*V$90:V$206*$T$90:$T$206)/SUMPRODUCT((AF$90:AF$206=4)*V$90:V$206)</f>
        <v>450</v>
      </c>
      <c r="H236" s="25">
        <f>SUMPRODUCT((AF$90:AF$206=6)*V$90:V$206*$T$90:$T$206)/SUMPRODUCT((AF$90:AF$206=6)*V$90:V$206)</f>
        <v>1722.05</v>
      </c>
      <c r="I236" s="25">
        <f>SUMPRODUCT((AF$90:AF$206=7)*V$90:V$206*$T$90:$T$206)/SUMPRODUCT((AF$90:AF$206=7)*V$90:V$206)</f>
        <v>1396.0454545454545</v>
      </c>
      <c r="L236" s="25">
        <f>SUMPRODUCT((AF$90:AF$206=10)*V$90:V$206*$T$90:$T$206)/SUMPRODUCT((AF$90:AF$206=10)*V$90:V$206)</f>
        <v>4547</v>
      </c>
      <c r="M236" s="25">
        <f>SUMPRODUCT((AF$90:AF$206=11)*V$90:V$206*$T$90:$T$206)/SUMPRODUCT((AF$90:AF$206=11)*V$90:V$206)</f>
        <v>7272.4285714285716</v>
      </c>
      <c r="O236" s="25">
        <f>SUMPRODUCT((AF$90:AF$206=13)*V$90:V$206*$T$90:$T$206)/SUMPRODUCT((AF$90:AF$206=13)*V$90:V$206)</f>
        <v>4972.333333333333</v>
      </c>
      <c r="P236" s="25">
        <f>SUMPRODUCT((AF$90:AF$206=14)*V$90:V$206*$T$90:$T$206)/SUMPRODUCT((AF$90:AF$206=14)*V$90:V$206)</f>
        <v>4040.3636363636365</v>
      </c>
    </row>
    <row r="237" spans="1:30" x14ac:dyDescent="0.3">
      <c r="A237" s="11" t="s">
        <v>274</v>
      </c>
      <c r="E237" s="25">
        <f>SUMPRODUCT((AG$90:AG$206=3)*W$90:W$206*$T$90:$T$206)/SUMPRODUCT((AG$90:AG$206=3)*W$90:W$206)</f>
        <v>558</v>
      </c>
      <c r="F237" s="25">
        <f>SUMPRODUCT((AG$90:AG$206=4)*W$90:W$206*$T$90:$T$206)/SUMPRODUCT((AG$90:AG$206=4)*W$90:W$206)</f>
        <v>800.71794871794873</v>
      </c>
      <c r="H237" s="25">
        <f>SUMPRODUCT((AG$90:AG$206=6)*W$90:W$206*$T$90:$T$206)/SUMPRODUCT((AG$90:AG$206=6)*W$90:W$206)</f>
        <v>2078.2666666666669</v>
      </c>
      <c r="I237" s="25">
        <f>SUMPRODUCT((AG$90:AG$206=7)*W$90:W$206*$T$90:$T$206)/SUMPRODUCT((AG$90:AG$206=7)*W$90:W$206)</f>
        <v>1137.5999999999999</v>
      </c>
      <c r="L237" s="25">
        <f>SUMPRODUCT((AG$90:AG$206=10)*W$90:W$206*$T$90:$T$206)/SUMPRODUCT((AG$90:AG$206=10)*W$90:W$206)</f>
        <v>5339.5</v>
      </c>
      <c r="M237" s="25">
        <f>SUMPRODUCT((AG$90:AG$206=11)*W$90:W$206*$T$90:$T$206)/SUMPRODUCT((AG$90:AG$206=11)*W$90:W$206)</f>
        <v>953.16666666666663</v>
      </c>
      <c r="O237" s="25">
        <f>SUMPRODUCT((AG$90:AG$206=13)*W$90:W$206*$T$90:$T$206)/SUMPRODUCT((AG$90:AG$206=13)*W$90:W$206)</f>
        <v>6677.833333333333</v>
      </c>
      <c r="P237" s="25">
        <f>SUMPRODUCT((AG$90:AG$206=14)*W$90:W$206*$T$90:$T$206)/SUMPRODUCT((AG$90:AG$206=14)*W$90:W$206)</f>
        <v>3393.8823529411766</v>
      </c>
    </row>
    <row r="238" spans="1:30" x14ac:dyDescent="0.3">
      <c r="A238" s="11" t="s">
        <v>275</v>
      </c>
      <c r="E238" s="25">
        <f>SUMPRODUCT((AH$90:AH$206=3)*X$90:X$206*$T$90:$T$206)/SUMPRODUCT((AH$90:AH$206=3)*X$90:X$206)</f>
        <v>668.6</v>
      </c>
      <c r="F238" s="25">
        <f>SUMPRODUCT((AH$90:AH$206=4)*X$90:X$206*$T$90:$T$206)/SUMPRODUCT((AH$90:AH$206=4)*X$90:X$206)</f>
        <v>1087.8888888888889</v>
      </c>
      <c r="H238" s="25">
        <f>SUMPRODUCT((AH$90:AH$206=6)*X$90:X$206*$T$90:$T$206)/SUMPRODUCT((AH$90:AH$206=6)*X$90:X$206)</f>
        <v>1627.9428571428571</v>
      </c>
      <c r="I238" s="25">
        <f>SUMPRODUCT((AH$90:AH$206=7)*X$90:X$206*$T$90:$T$206)/SUMPRODUCT((AH$90:AH$206=7)*X$90:X$206)</f>
        <v>2223.8000000000002</v>
      </c>
      <c r="L238" s="25">
        <f>SUMPRODUCT((AH$90:AH$206=10)*X$90:X$206*$T$90:$T$206)/SUMPRODUCT((AH$90:AH$206=10)*X$90:X$206)</f>
        <v>6156.4</v>
      </c>
      <c r="M238" s="25">
        <f>SUMPRODUCT((AH$90:AH$206=11)*X$90:X$206*$T$90:$T$206)/SUMPRODUCT((AH$90:AH$206=11)*X$90:X$206)</f>
        <v>5356.5</v>
      </c>
      <c r="O238" s="25">
        <f>SUMPRODUCT((AH$90:AH$206=13)*X$90:X$206*$T$90:$T$206)/SUMPRODUCT((AH$90:AH$206=13)*X$90:X$206)</f>
        <v>3359.2857142857142</v>
      </c>
      <c r="P238" s="25">
        <f>SUMPRODUCT((AH$90:AH$206=14)*X$90:X$206*$T$90:$T$206)/SUMPRODUCT((AH$90:AH$206=14)*X$90:X$206)</f>
        <v>2684.8333333333335</v>
      </c>
    </row>
    <row r="239" spans="1:30" x14ac:dyDescent="0.3">
      <c r="A239" s="11" t="s">
        <v>276</v>
      </c>
      <c r="E239" s="25">
        <f>SUMPRODUCT((AI$90:AI$206=3)*Y$90:Y$206*$T$90:$T$206)/SUMPRODUCT((AI$90:AI$206=3)*Y$90:Y$206)</f>
        <v>609.80952380952385</v>
      </c>
      <c r="F239" s="25">
        <f>SUMPRODUCT((AI$90:AI$206=4)*Y$90:Y$206*$T$90:$T$206)/SUMPRODUCT((AI$90:AI$206=4)*Y$90:Y$206)</f>
        <v>938.71428571428567</v>
      </c>
      <c r="H239" s="25">
        <f>SUMPRODUCT((AI$90:AI$206=6)*Y$90:Y$206*$T$90:$T$206)/SUMPRODUCT((AI$90:AI$206=6)*Y$90:Y$206)</f>
        <v>1491.3571428571429</v>
      </c>
      <c r="I239" s="25">
        <f>SUMPRODUCT((AI$90:AI$206=7)*Y$90:Y$206*$T$90:$T$206)/SUMPRODUCT((AI$90:AI$206=7)*Y$90:Y$206)</f>
        <v>1820.9230769230769</v>
      </c>
      <c r="K239" s="25">
        <f>SUMPRODUCT((AI$90:AI$206=9)*Y$90:Y$206*$T$90:$T$206)/SUMPRODUCT((AI$90:AI$206=9)*Y$90:Y$206)</f>
        <v>5477.5714285714284</v>
      </c>
      <c r="M239" s="25">
        <f>SUMPRODUCT((AI$90:AI$206=11)*Y$90:Y$206*$T$90:$T$206)/SUMPRODUCT((AI$90:AI$206=11)*Y$90:Y$206)</f>
        <v>960.18181818181813</v>
      </c>
      <c r="N239" s="25">
        <f>SUMPRODUCT((AI$90:AI$206=12)*Y$90:Y$206*$T$90:$T$206)/SUMPRODUCT((AI$90:AI$206=12)*Y$90:Y$206)</f>
        <v>3307.5294117647059</v>
      </c>
    </row>
    <row r="240" spans="1:30" x14ac:dyDescent="0.3">
      <c r="A240" s="11" t="s">
        <v>277</v>
      </c>
      <c r="E240" s="25">
        <f>SUMPRODUCT((AJ$90:AJ$206=3)*Z$90:Z$206*$T$90:$T$206)/SUMPRODUCT((AJ$90:AJ$206=3)*Z$90:Z$206)</f>
        <v>730.06451612903231</v>
      </c>
      <c r="F240" s="25">
        <f>SUMPRODUCT((AJ$90:AJ$206=4)*Z$90:Z$206*$T$90:$T$206)/SUMPRODUCT((AJ$90:AJ$206=4)*Z$90:Z$206)</f>
        <v>516.90476190476193</v>
      </c>
      <c r="H240" s="25">
        <f>SUMPRODUCT((AJ$90:AJ$206=6)*Z$90:Z$206*$T$90:$T$206)/SUMPRODUCT((AJ$90:AJ$206=6)*Z$90:Z$206)</f>
        <v>1681.7307692307693</v>
      </c>
      <c r="I240" s="25">
        <f>SUMPRODUCT((AJ$90:AJ$206=7)*Z$90:Z$206*$T$90:$T$206)/SUMPRODUCT((AJ$90:AJ$206=7)*Z$90:Z$206)</f>
        <v>1187.4000000000001</v>
      </c>
      <c r="L240" s="25">
        <f>SUMPRODUCT((AJ$90:AJ$206=10)*Z$90:Z$206*$T$90:$T$206)/SUMPRODUCT((AJ$90:AJ$206=10)*Z$90:Z$206)</f>
        <v>3806.2</v>
      </c>
      <c r="M240" s="25">
        <f>SUMPRODUCT((AJ$90:AJ$206=11)*Z$90:Z$206*$T$90:$T$206)/SUMPRODUCT((AJ$90:AJ$206=11)*Z$90:Z$206)</f>
        <v>1861.4285714285713</v>
      </c>
      <c r="O240" s="25">
        <f>SUMPRODUCT((AJ$90:AJ$206=13)*Z$90:Z$206*$T$90:$T$206)/SUMPRODUCT((AJ$90:AJ$206=13)*Z$90:Z$206)</f>
        <v>5849.666666666667</v>
      </c>
      <c r="P240" s="25">
        <f>SUMPRODUCT((AJ$90:AJ$206=14)*Z$90:Z$206*$T$90:$T$206)/SUMPRODUCT((AJ$90:AJ$206=14)*Z$90:Z$206)</f>
        <v>3280.125</v>
      </c>
    </row>
    <row r="241" spans="1:31" x14ac:dyDescent="0.3">
      <c r="A241" s="11" t="s">
        <v>278</v>
      </c>
      <c r="E241" s="25">
        <f>SUMPRODUCT((AK$90:AK$206=3)*AA$90:AA$206*$T$90:$T$206)/SUMPRODUCT((AK$90:AK$206=3)*AA$90:AA$206)</f>
        <v>554.66666666666663</v>
      </c>
      <c r="F241" s="25">
        <f>SUMPRODUCT((AK$90:AK$206=4)*AA$90:AA$206*$T$90:$T$206)/SUMPRODUCT((AK$90:AK$206=4)*AA$90:AA$206)</f>
        <v>763.24242424242425</v>
      </c>
      <c r="H241" s="25">
        <f>SUMPRODUCT((AK$90:AK$206=6)*AA$90:AA$206*$T$90:$T$206)/SUMPRODUCT((AK$90:AK$206=6)*AA$90:AA$206)</f>
        <v>1434.4848484848485</v>
      </c>
      <c r="I241" s="25">
        <f>SUMPRODUCT((AK$90:AK$206=7)*AA$90:AA$206*$T$90:$T$206)/SUMPRODUCT((AK$90:AK$206=7)*AA$90:AA$206)</f>
        <v>2250.25</v>
      </c>
      <c r="K241" s="25">
        <f>SUMPRODUCT((AK$90:AK$206=9)*AA$90:AA$206*$T$90:$T$206)/SUMPRODUCT((AK$90:AK$206=9)*AA$90:AA$206)</f>
        <v>6518.25</v>
      </c>
      <c r="M241" s="25">
        <f>SUMPRODUCT((AK$90:AK$206=11)*AA$90:AA$206*$T$90:$T$206)/SUMPRODUCT((AK$90:AK$206=11)*AA$90:AA$206)</f>
        <v>1263.8333333333333</v>
      </c>
      <c r="N241" s="25">
        <f>SUMPRODUCT((AK$90:AK$206=12)*AA$90:AA$206*$T$90:$T$206)/SUMPRODUCT((AK$90:AK$206=12)*AA$90:AA$206)</f>
        <v>4402.375</v>
      </c>
    </row>
    <row r="242" spans="1:31" x14ac:dyDescent="0.3">
      <c r="A242" s="11" t="s">
        <v>279</v>
      </c>
      <c r="E242" s="25">
        <f>SUMPRODUCT((AL$90:AL$206=3)*AB$90:AB$206*$T$90:$T$206)/SUMPRODUCT((AL$90:AL$206=3)*AB$90:AB$206)</f>
        <v>703.24</v>
      </c>
      <c r="F242" s="25">
        <f>SUMPRODUCT((AL$90:AL$206=4)*AB$90:AB$206*$T$90:$T$206)/SUMPRODUCT((AL$90:AL$206=4)*AB$90:AB$206)</f>
        <v>986.22580645161293</v>
      </c>
      <c r="H242" s="25">
        <f>SUMPRODUCT((AL$90:AL$206=6)*AB$90:AB$206*$T$90:$T$206)/SUMPRODUCT((AL$90:AL$206=6)*AB$90:AB$206)</f>
        <v>1642.45</v>
      </c>
      <c r="I242" s="25">
        <f>SUMPRODUCT((AL$90:AL$206=7)*AB$90:AB$206*$T$90:$T$206)/SUMPRODUCT((AL$90:AL$206=7)*AB$90:AB$206)</f>
        <v>2257.4375</v>
      </c>
      <c r="L242" s="25">
        <f>SUMPRODUCT((AL$90:AL$206=10)*AB$90:AB$206*$T$90:$T$206)/SUMPRODUCT((AL$90:AL$206=10)*AB$90:AB$206)</f>
        <v>6311.666666666667</v>
      </c>
      <c r="M242" s="25">
        <f>SUMPRODUCT((AL$90:AL$206=11)*AB$90:AB$206*$T$90:$T$206)/SUMPRODUCT((AL$90:AL$206=11)*AB$90:AB$206)</f>
        <v>7225.2</v>
      </c>
      <c r="O242" s="25">
        <f>SUMPRODUCT((AL$90:AL$206=13)*AB$90:AB$206*$T$90:$T$206)/SUMPRODUCT((AL$90:AL$206=13)*AB$90:AB$206)</f>
        <v>3066.2307692307691</v>
      </c>
      <c r="P242" s="25">
        <f>SUMPRODUCT((AL$90:AL$206=14)*AB$90:AB$206*$T$90:$T$206)/SUMPRODUCT((AL$90:AL$206=14)*AB$90:AB$206)</f>
        <v>4702.25</v>
      </c>
    </row>
    <row r="243" spans="1:31" x14ac:dyDescent="0.3">
      <c r="A243" s="11" t="s">
        <v>280</v>
      </c>
      <c r="E243" s="25">
        <f>SUMPRODUCT((AM$90:AM$206=3)*AC$90:AC$206*$T$90:$T$206)/SUMPRODUCT((AM$90:AM$206=3)*AC$90:AC$206)</f>
        <v>252.66666666666666</v>
      </c>
      <c r="F243" s="25">
        <f>SUMPRODUCT((AM$90:AM$206=4)*AC$90:AC$206*$T$90:$T$206)/SUMPRODUCT((AM$90:AM$206=4)*AC$90:AC$206)</f>
        <v>838.3125</v>
      </c>
      <c r="H243" s="25">
        <f>SUMPRODUCT((AM$90:AM$206=6)*AC$90:AC$206*$T$90:$T$206)/SUMPRODUCT((AM$90:AM$206=6)*AC$90:AC$206)</f>
        <v>1284.25</v>
      </c>
      <c r="I243" s="25">
        <f>SUMPRODUCT((AM$90:AM$206=7)*AC$90:AC$206*$T$90:$T$206)/SUMPRODUCT((AM$90:AM$206=7)*AC$90:AC$206)</f>
        <v>1715.36</v>
      </c>
      <c r="K243" s="25">
        <f>SUMPRODUCT((AM$90:AM$206=9)*AC$90:AC$206*$T$90:$T$206)/SUMPRODUCT((AM$90:AM$206=9)*AC$90:AC$206)</f>
        <v>7189.666666666667</v>
      </c>
      <c r="M243" s="25">
        <f>SUMPRODUCT((AM$90:AM$206=11)*AC$90:AC$206*$T$90:$T$206)/SUMPRODUCT((AM$90:AM$206=11)*AC$90:AC$206)</f>
        <v>2801</v>
      </c>
      <c r="N243" s="25">
        <f>SUMPRODUCT((AM$90:AM$206=12)*AC$90:AC$206*$T$90:$T$206)/SUMPRODUCT((AM$90:AM$206=12)*AC$90:AC$206)</f>
        <v>5025.5555555555557</v>
      </c>
    </row>
    <row r="244" spans="1:31" x14ac:dyDescent="0.3">
      <c r="A244" s="11" t="s">
        <v>281</v>
      </c>
      <c r="E244" s="25">
        <f>SUMPRODUCT((AN$90:AN$206=3)*AD$90:AD$206*$T$90:$T$206)/SUMPRODUCT((AN$90:AN$206=3)*AD$90:AD$206)</f>
        <v>889.97222222222217</v>
      </c>
      <c r="F244" s="25">
        <f>SUMPRODUCT((AN$90:AN$206=4)*AD$90:AD$206*$T$90:$T$206)/SUMPRODUCT((AN$90:AN$206=4)*AD$90:AD$206)</f>
        <v>556.0625</v>
      </c>
      <c r="H244" s="25">
        <f>SUMPRODUCT((AN$90:AN$206=6)*AD$90:AD$206*$T$90:$T$206)/SUMPRODUCT((AN$90:AN$206=6)*AD$90:AD$206)</f>
        <v>1526.8421052631579</v>
      </c>
      <c r="I244" s="25">
        <f>SUMPRODUCT((AN$90:AN$206=7)*AD$90:AD$206*$T$90:$T$206)/SUMPRODUCT((AN$90:AN$206=7)*AD$90:AD$206)</f>
        <v>1973.8571428571429</v>
      </c>
      <c r="L244" s="25">
        <f>SUMPRODUCT((AN$90:AN$206=10)*AD$90:AD$206*$T$90:$T$206)/SUMPRODUCT((AN$90:AN$206=10)*AD$90:AD$206)</f>
        <v>3516.5</v>
      </c>
      <c r="M244" s="25">
        <f>SUMPRODUCT((AN$90:AN$206=11)*AD$90:AD$206*$T$90:$T$206)/SUMPRODUCT((AN$90:AN$206=11)*AD$90:AD$206)</f>
        <v>6672.375</v>
      </c>
      <c r="O244" s="25">
        <f>SUMPRODUCT((AN$90:AN$206=13)*AD$90:AD$206*$T$90:$T$206)/SUMPRODUCT((AN$90:AN$206=13)*AD$90:AD$206)</f>
        <v>2367</v>
      </c>
      <c r="P244" s="25">
        <f>SUMPRODUCT((AN$90:AN$206=14)*AD$90:AD$206*$T$90:$T$206)/SUMPRODUCT((AN$90:AN$206=14)*AD$90:AD$206)</f>
        <v>3305.8571428571427</v>
      </c>
    </row>
    <row r="248" spans="1:31" x14ac:dyDescent="0.3">
      <c r="A248" s="13" t="s">
        <v>298</v>
      </c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spans="1:31" ht="39.75" customHeight="1" x14ac:dyDescent="0.3">
      <c r="A249" s="3" t="s">
        <v>240</v>
      </c>
      <c r="B249" s="3" t="s">
        <v>241</v>
      </c>
      <c r="C249" s="3" t="s">
        <v>242</v>
      </c>
      <c r="D249" s="3" t="s">
        <v>243</v>
      </c>
      <c r="E249" s="3" t="s">
        <v>244</v>
      </c>
      <c r="F249" s="3" t="s">
        <v>245</v>
      </c>
      <c r="G249" s="3" t="s">
        <v>246</v>
      </c>
      <c r="H249" s="3" t="s">
        <v>247</v>
      </c>
      <c r="I249" s="3" t="s">
        <v>248</v>
      </c>
      <c r="J249" s="3" t="s">
        <v>249</v>
      </c>
      <c r="K249" s="3" t="s">
        <v>250</v>
      </c>
      <c r="L249" s="3" t="s">
        <v>251</v>
      </c>
      <c r="M249" s="3" t="s">
        <v>252</v>
      </c>
      <c r="N249" s="3" t="s">
        <v>253</v>
      </c>
      <c r="O249" s="3" t="s">
        <v>254</v>
      </c>
      <c r="P249" s="3" t="s">
        <v>255</v>
      </c>
      <c r="Q249" s="3" t="s">
        <v>256</v>
      </c>
      <c r="R249" s="3" t="s">
        <v>257</v>
      </c>
      <c r="S249" s="3" t="s">
        <v>258</v>
      </c>
      <c r="T249" s="3" t="s">
        <v>259</v>
      </c>
      <c r="U249" s="3" t="s">
        <v>260</v>
      </c>
      <c r="V249" s="3" t="s">
        <v>261</v>
      </c>
      <c r="W249" s="3" t="s">
        <v>262</v>
      </c>
      <c r="X249" s="3" t="s">
        <v>263</v>
      </c>
      <c r="Y249" s="3" t="s">
        <v>264</v>
      </c>
      <c r="Z249" s="3" t="s">
        <v>265</v>
      </c>
      <c r="AA249" s="3" t="s">
        <v>266</v>
      </c>
      <c r="AB249" s="3" t="s">
        <v>267</v>
      </c>
      <c r="AC249" s="3" t="s">
        <v>268</v>
      </c>
      <c r="AD249" s="3" t="s">
        <v>269</v>
      </c>
      <c r="AE249" s="3" t="s">
        <v>270</v>
      </c>
    </row>
    <row r="250" spans="1:31" x14ac:dyDescent="0.3">
      <c r="A250" s="11" t="s">
        <v>271</v>
      </c>
      <c r="B250" s="37" t="s">
        <v>145</v>
      </c>
      <c r="C250" s="44">
        <v>3040</v>
      </c>
      <c r="D250" s="37" t="s">
        <v>145</v>
      </c>
      <c r="E250" s="44">
        <v>1335</v>
      </c>
      <c r="F250" s="37" t="s">
        <v>145</v>
      </c>
      <c r="G250" s="44">
        <v>736.5</v>
      </c>
      <c r="H250" s="2" t="s">
        <v>272</v>
      </c>
      <c r="J250" s="2" t="s">
        <v>272</v>
      </c>
      <c r="L250" s="37" t="s">
        <v>144</v>
      </c>
      <c r="M250" s="44">
        <v>219719</v>
      </c>
      <c r="N250" s="2" t="s">
        <v>272</v>
      </c>
      <c r="P250" s="2" t="s">
        <v>272</v>
      </c>
      <c r="R250" s="37" t="s">
        <v>144</v>
      </c>
      <c r="S250" s="44">
        <v>261508.5</v>
      </c>
      <c r="T250" s="2" t="s">
        <v>272</v>
      </c>
      <c r="V250" s="37" t="s">
        <v>3</v>
      </c>
      <c r="W250" s="44">
        <v>2019.5</v>
      </c>
      <c r="X250" s="2" t="s">
        <v>272</v>
      </c>
      <c r="Z250" s="2" t="s">
        <v>272</v>
      </c>
    </row>
    <row r="251" spans="1:31" x14ac:dyDescent="0.3">
      <c r="A251" s="11" t="s">
        <v>273</v>
      </c>
      <c r="B251" s="37" t="s">
        <v>145</v>
      </c>
      <c r="C251" s="44">
        <v>2989.5</v>
      </c>
      <c r="D251" s="37" t="s">
        <v>145</v>
      </c>
      <c r="E251" s="44">
        <v>1068</v>
      </c>
      <c r="F251" s="37" t="s">
        <v>145</v>
      </c>
      <c r="G251" s="44">
        <v>663.5</v>
      </c>
      <c r="H251" s="2" t="s">
        <v>272</v>
      </c>
      <c r="J251" s="2" t="s">
        <v>272</v>
      </c>
      <c r="L251" s="37" t="s">
        <v>3</v>
      </c>
      <c r="M251" s="44">
        <v>2019.5</v>
      </c>
      <c r="N251" s="2" t="s">
        <v>272</v>
      </c>
      <c r="P251" s="2" t="s">
        <v>272</v>
      </c>
      <c r="R251" s="37" t="s">
        <v>145</v>
      </c>
      <c r="S251" s="44">
        <v>5458.5</v>
      </c>
      <c r="T251" s="37" t="s">
        <v>145</v>
      </c>
      <c r="U251" s="44">
        <v>4315</v>
      </c>
      <c r="V251" s="2" t="s">
        <v>272</v>
      </c>
      <c r="X251" s="2" t="s">
        <v>272</v>
      </c>
      <c r="Z251" s="37" t="s">
        <v>144</v>
      </c>
      <c r="AA251" s="44">
        <v>235902</v>
      </c>
      <c r="AB251" s="2" t="s">
        <v>272</v>
      </c>
      <c r="AD251" s="2" t="s">
        <v>272</v>
      </c>
    </row>
    <row r="252" spans="1:31" x14ac:dyDescent="0.3">
      <c r="A252" s="11" t="s">
        <v>274</v>
      </c>
      <c r="B252" s="37" t="s">
        <v>145</v>
      </c>
      <c r="C252" s="44">
        <v>3384</v>
      </c>
      <c r="D252" s="37" t="s">
        <v>145</v>
      </c>
      <c r="E252" s="44">
        <v>1335</v>
      </c>
      <c r="F252" s="37" t="s">
        <v>145</v>
      </c>
      <c r="G252" s="44">
        <v>663.5</v>
      </c>
      <c r="H252" s="2" t="s">
        <v>272</v>
      </c>
      <c r="J252" s="2" t="s">
        <v>272</v>
      </c>
      <c r="L252" s="37" t="s">
        <v>144</v>
      </c>
      <c r="M252" s="44">
        <v>134813.5</v>
      </c>
      <c r="N252" s="2" t="s">
        <v>272</v>
      </c>
      <c r="P252" s="2" t="s">
        <v>272</v>
      </c>
      <c r="R252" s="37" t="s">
        <v>145</v>
      </c>
      <c r="S252" s="44">
        <v>5103</v>
      </c>
      <c r="T252" s="2" t="s">
        <v>272</v>
      </c>
      <c r="V252" s="37" t="s">
        <v>144</v>
      </c>
      <c r="W252" s="44">
        <v>215518</v>
      </c>
      <c r="X252" s="2" t="s">
        <v>272</v>
      </c>
      <c r="Z252" s="2" t="s">
        <v>272</v>
      </c>
    </row>
    <row r="253" spans="1:31" x14ac:dyDescent="0.3">
      <c r="A253" s="11" t="s">
        <v>275</v>
      </c>
      <c r="B253" s="37" t="s">
        <v>145</v>
      </c>
      <c r="C253" s="44">
        <v>2989.5</v>
      </c>
      <c r="D253" s="37" t="s">
        <v>145</v>
      </c>
      <c r="E253" s="44">
        <v>1489.5</v>
      </c>
      <c r="F253" s="37" t="s">
        <v>145</v>
      </c>
      <c r="G253" s="44">
        <v>736.5</v>
      </c>
      <c r="H253" s="2" t="s">
        <v>272</v>
      </c>
      <c r="J253" s="2" t="s">
        <v>272</v>
      </c>
      <c r="L253" s="37" t="s">
        <v>144</v>
      </c>
      <c r="M253" s="44">
        <v>116235.25</v>
      </c>
      <c r="N253" s="2" t="s">
        <v>272</v>
      </c>
      <c r="P253" s="2" t="s">
        <v>272</v>
      </c>
      <c r="R253" s="37" t="s">
        <v>299</v>
      </c>
      <c r="S253" s="44">
        <v>0.5</v>
      </c>
      <c r="T253" s="2" t="s">
        <v>272</v>
      </c>
      <c r="V253" s="2" t="s">
        <v>272</v>
      </c>
    </row>
    <row r="254" spans="1:31" x14ac:dyDescent="0.3">
      <c r="A254" s="11" t="s">
        <v>276</v>
      </c>
      <c r="B254" s="37" t="s">
        <v>145</v>
      </c>
      <c r="C254" s="44">
        <v>2989.5</v>
      </c>
      <c r="D254" s="37" t="s">
        <v>145</v>
      </c>
      <c r="E254" s="44">
        <v>1458.5</v>
      </c>
      <c r="F254" s="37" t="s">
        <v>145</v>
      </c>
      <c r="G254" s="44">
        <v>768</v>
      </c>
      <c r="H254" s="2" t="s">
        <v>272</v>
      </c>
      <c r="J254" s="2" t="s">
        <v>272</v>
      </c>
      <c r="L254" s="37" t="s">
        <v>145</v>
      </c>
      <c r="M254" s="44">
        <v>2346.5</v>
      </c>
      <c r="N254" s="2" t="s">
        <v>272</v>
      </c>
      <c r="P254" s="2" t="s">
        <v>272</v>
      </c>
      <c r="R254" s="37" t="s">
        <v>144</v>
      </c>
      <c r="S254" s="44">
        <v>263526.5</v>
      </c>
      <c r="T254" s="2" t="s">
        <v>272</v>
      </c>
      <c r="V254" s="2" t="s">
        <v>272</v>
      </c>
    </row>
    <row r="255" spans="1:31" x14ac:dyDescent="0.3">
      <c r="A255" s="11" t="s">
        <v>277</v>
      </c>
      <c r="B255" s="37" t="s">
        <v>145</v>
      </c>
      <c r="C255" s="44">
        <v>2870</v>
      </c>
      <c r="D255" s="37" t="s">
        <v>145</v>
      </c>
      <c r="E255" s="44">
        <v>1068</v>
      </c>
      <c r="F255" s="37" t="s">
        <v>145</v>
      </c>
      <c r="G255" s="44">
        <v>736.5</v>
      </c>
      <c r="H255" s="2" t="s">
        <v>272</v>
      </c>
      <c r="J255" s="2" t="s">
        <v>272</v>
      </c>
      <c r="L255" s="37" t="s">
        <v>145</v>
      </c>
      <c r="M255" s="44">
        <v>1489.5</v>
      </c>
      <c r="N255" s="2" t="s">
        <v>272</v>
      </c>
      <c r="P255" s="2" t="s">
        <v>272</v>
      </c>
      <c r="R255" s="37" t="s">
        <v>145</v>
      </c>
      <c r="S255" s="44">
        <v>5501</v>
      </c>
      <c r="T255" s="37" t="s">
        <v>145</v>
      </c>
      <c r="U255" s="44">
        <v>3554</v>
      </c>
      <c r="V255" s="2" t="s">
        <v>272</v>
      </c>
      <c r="X255" s="2" t="s">
        <v>272</v>
      </c>
      <c r="Z255" s="2" t="s">
        <v>272</v>
      </c>
    </row>
    <row r="256" spans="1:31" x14ac:dyDescent="0.3">
      <c r="A256" s="11" t="s">
        <v>278</v>
      </c>
      <c r="B256" s="37" t="s">
        <v>145</v>
      </c>
      <c r="C256" s="44">
        <v>2989.5</v>
      </c>
      <c r="D256" s="37" t="s">
        <v>145</v>
      </c>
      <c r="E256" s="44">
        <v>1453</v>
      </c>
      <c r="F256" s="37" t="s">
        <v>300</v>
      </c>
      <c r="G256" s="44">
        <v>0.5</v>
      </c>
      <c r="H256" s="2" t="s">
        <v>272</v>
      </c>
      <c r="J256" s="2" t="s">
        <v>272</v>
      </c>
      <c r="L256" s="37" t="s">
        <v>144</v>
      </c>
      <c r="M256" s="44">
        <v>116235.25</v>
      </c>
      <c r="N256" s="2" t="s">
        <v>272</v>
      </c>
      <c r="P256" s="2" t="s">
        <v>272</v>
      </c>
      <c r="R256" s="37" t="s">
        <v>145</v>
      </c>
      <c r="S256" s="44">
        <v>5488.5</v>
      </c>
      <c r="T256" s="37" t="s">
        <v>145</v>
      </c>
      <c r="U256" s="44">
        <v>3554</v>
      </c>
      <c r="V256" s="2" t="s">
        <v>272</v>
      </c>
      <c r="X256" s="2" t="s">
        <v>272</v>
      </c>
      <c r="Z256" s="37" t="s">
        <v>144</v>
      </c>
      <c r="AA256" s="44">
        <v>227247.5</v>
      </c>
      <c r="AB256" s="2" t="s">
        <v>272</v>
      </c>
      <c r="AD256" s="2" t="s">
        <v>272</v>
      </c>
    </row>
    <row r="257" spans="1:26" x14ac:dyDescent="0.3">
      <c r="A257" s="11" t="s">
        <v>279</v>
      </c>
      <c r="B257" s="37" t="s">
        <v>145</v>
      </c>
      <c r="C257" s="44">
        <v>2989.5</v>
      </c>
      <c r="D257" s="37" t="s">
        <v>145</v>
      </c>
      <c r="E257" s="44">
        <v>1489.5</v>
      </c>
      <c r="F257" s="37" t="s">
        <v>145</v>
      </c>
      <c r="G257" s="44">
        <v>755</v>
      </c>
      <c r="H257" s="2" t="s">
        <v>272</v>
      </c>
      <c r="J257" s="2" t="s">
        <v>272</v>
      </c>
      <c r="L257" s="37" t="s">
        <v>3</v>
      </c>
      <c r="M257" s="44">
        <v>2019.5</v>
      </c>
      <c r="N257" s="2" t="s">
        <v>272</v>
      </c>
      <c r="P257" s="2" t="s">
        <v>272</v>
      </c>
      <c r="R257" s="37" t="s">
        <v>145</v>
      </c>
      <c r="S257" s="44">
        <v>5488.5</v>
      </c>
      <c r="T257" s="37" t="s">
        <v>145</v>
      </c>
      <c r="U257" s="44">
        <v>4315</v>
      </c>
      <c r="V257" s="2" t="s">
        <v>272</v>
      </c>
      <c r="X257" s="2" t="s">
        <v>272</v>
      </c>
      <c r="Z257" s="2" t="s">
        <v>272</v>
      </c>
    </row>
    <row r="258" spans="1:26" x14ac:dyDescent="0.3">
      <c r="A258" s="11" t="s">
        <v>280</v>
      </c>
      <c r="B258" s="37" t="s">
        <v>145</v>
      </c>
      <c r="C258" s="44">
        <v>3554</v>
      </c>
      <c r="D258" s="37" t="s">
        <v>145</v>
      </c>
      <c r="E258" s="44">
        <v>1340.5</v>
      </c>
      <c r="F258" s="37" t="s">
        <v>145</v>
      </c>
      <c r="G258" s="44">
        <v>736.5</v>
      </c>
      <c r="H258" s="2" t="s">
        <v>272</v>
      </c>
      <c r="J258" s="2" t="s">
        <v>272</v>
      </c>
      <c r="L258" s="37" t="s">
        <v>144</v>
      </c>
      <c r="M258" s="44">
        <v>268219.5</v>
      </c>
      <c r="N258" s="2" t="s">
        <v>272</v>
      </c>
      <c r="P258" s="2" t="s">
        <v>272</v>
      </c>
      <c r="R258" s="37" t="s">
        <v>145</v>
      </c>
      <c r="S258" s="44">
        <v>5471</v>
      </c>
      <c r="T258" s="2" t="s">
        <v>272</v>
      </c>
      <c r="V258" s="2" t="s">
        <v>272</v>
      </c>
    </row>
    <row r="259" spans="1:26" x14ac:dyDescent="0.3">
      <c r="A259" s="11" t="s">
        <v>281</v>
      </c>
      <c r="B259" s="37" t="s">
        <v>145</v>
      </c>
      <c r="C259" s="44">
        <v>5383.5</v>
      </c>
      <c r="D259" s="37" t="s">
        <v>145</v>
      </c>
      <c r="E259" s="44">
        <v>1489.5</v>
      </c>
      <c r="F259" s="37" t="s">
        <v>145</v>
      </c>
      <c r="G259" s="44">
        <v>663.5</v>
      </c>
      <c r="H259" s="2" t="s">
        <v>272</v>
      </c>
      <c r="J259" s="2" t="s">
        <v>272</v>
      </c>
      <c r="L259" s="37" t="s">
        <v>145</v>
      </c>
      <c r="M259" s="44">
        <v>3092</v>
      </c>
      <c r="N259" s="2" t="s">
        <v>272</v>
      </c>
      <c r="P259" s="2" t="s">
        <v>272</v>
      </c>
      <c r="R259" s="37" t="s">
        <v>144</v>
      </c>
      <c r="S259" s="44">
        <v>227247.5</v>
      </c>
      <c r="T259" s="2" t="s">
        <v>272</v>
      </c>
      <c r="V259" s="2" t="s">
        <v>272</v>
      </c>
    </row>
    <row r="261" spans="1:26" x14ac:dyDescent="0.3">
      <c r="A261" s="13" t="s">
        <v>301</v>
      </c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</row>
    <row r="262" spans="1:26" x14ac:dyDescent="0.3">
      <c r="A262" s="3" t="s">
        <v>148</v>
      </c>
      <c r="B262" s="3" t="s">
        <v>283</v>
      </c>
      <c r="C262" s="3" t="s">
        <v>284</v>
      </c>
      <c r="D262" s="3" t="s">
        <v>285</v>
      </c>
      <c r="E262" s="3" t="s">
        <v>286</v>
      </c>
      <c r="F262" s="3" t="s">
        <v>287</v>
      </c>
      <c r="G262" s="3" t="s">
        <v>288</v>
      </c>
      <c r="H262" s="3" t="s">
        <v>289</v>
      </c>
      <c r="I262" s="3" t="s">
        <v>290</v>
      </c>
      <c r="J262" s="3" t="s">
        <v>291</v>
      </c>
      <c r="K262" s="3" t="s">
        <v>292</v>
      </c>
      <c r="L262" s="3" t="s">
        <v>293</v>
      </c>
      <c r="M262" s="3" t="s">
        <v>294</v>
      </c>
      <c r="N262" s="3" t="s">
        <v>295</v>
      </c>
      <c r="O262" s="3" t="s">
        <v>296</v>
      </c>
      <c r="P262" s="3" t="s">
        <v>297</v>
      </c>
    </row>
    <row r="263" spans="1:26" x14ac:dyDescent="0.3">
      <c r="A263" s="11" t="s">
        <v>271</v>
      </c>
      <c r="E263" s="25">
        <f>SUMPRODUCT((BO$90:BO$206=3)*BE$90:BE$206*$T$90:$T$206)/SUMPRODUCT((BO$90:BO$206=3)*BE$90:BE$206)</f>
        <v>526.31578947368416</v>
      </c>
      <c r="F263" s="25">
        <f>SUMPRODUCT((BO$90:BO$206=4)*BE$90:BE$206*$T$90:$T$206)/SUMPRODUCT((BO$90:BO$206=4)*BE$90:BE$206)</f>
        <v>1064.1818181818182</v>
      </c>
      <c r="H263" s="25">
        <f>SUMPRODUCT((BO$90:BO$206=6)*BE$90:BE$206*$T$90:$T$206)/SUMPRODUCT((BO$90:BO$206=6)*BE$90:BE$206)</f>
        <v>1883.8695652173913</v>
      </c>
      <c r="I263" s="25">
        <f>SUMPRODUCT((BO$90:BO$206=7)*BE$90:BE$206*$T$90:$T$206)/SUMPRODUCT((BO$90:BO$206=7)*BE$90:BE$206)</f>
        <v>2723.6666666666665</v>
      </c>
      <c r="K263" s="25">
        <f>SUMPRODUCT((BO$90:BO$206=9)*BE$90:BE$206*$T$90:$T$206)/SUMPRODUCT((BO$90:BO$206=9)*BE$90:BE$206)</f>
        <v>5918.4444444444443</v>
      </c>
      <c r="M263" s="25">
        <f>SUMPRODUCT((BO$90:BO$206=11)*BE$90:BE$206*$T$90:$T$206)/SUMPRODUCT((BO$90:BO$206=11)*BE$90:BE$206)</f>
        <v>4669.25</v>
      </c>
      <c r="N263" s="25">
        <f>SUMPRODUCT((BO$90:BO$206=12)*BE$90:BE$206*$T$90:$T$206)/SUMPRODUCT((BO$90:BO$206=12)*BE$90:BE$206)</f>
        <v>3616.75</v>
      </c>
    </row>
    <row r="264" spans="1:26" x14ac:dyDescent="0.3">
      <c r="A264" s="11" t="s">
        <v>273</v>
      </c>
      <c r="E264" s="25">
        <f>SUMPRODUCT((BP$90:BP$206=3)*BF$90:BF$206*$T$90:$T$206)/SUMPRODUCT((BP$90:BP$206=3)*BF$90:BF$206)</f>
        <v>549.21428571428567</v>
      </c>
      <c r="F264" s="25">
        <f>SUMPRODUCT((BP$90:BP$206=4)*BF$90:BF$206*$T$90:$T$206)/SUMPRODUCT((BP$90:BP$206=4)*BF$90:BF$206)</f>
        <v>1019.8181818181819</v>
      </c>
      <c r="H264" s="25">
        <f>SUMPRODUCT((BP$90:BP$206=6)*BF$90:BF$206*$T$90:$T$206)/SUMPRODUCT((BP$90:BP$206=6)*BF$90:BF$206)</f>
        <v>2135.1666666666665</v>
      </c>
      <c r="I264" s="25">
        <f>SUMPRODUCT((BP$90:BP$206=7)*BF$90:BF$206*$T$90:$T$206)/SUMPRODUCT((BP$90:BP$206=7)*BF$90:BF$206)</f>
        <v>1290.3333333333333</v>
      </c>
      <c r="L264" s="25">
        <f>SUMPRODUCT((BP$90:BP$206=10)*BF$90:BF$206*$T$90:$T$206)/SUMPRODUCT((BP$90:BP$206=10)*BF$90:BF$206)</f>
        <v>4302</v>
      </c>
      <c r="M264" s="25">
        <f>SUMPRODUCT((BP$90:BP$206=11)*BF$90:BF$206*$T$90:$T$206)/SUMPRODUCT((BP$90:BP$206=11)*BF$90:BF$206)</f>
        <v>5495</v>
      </c>
      <c r="O264" s="25">
        <f>SUMPRODUCT((BP$90:BP$206=13)*BF$90:BF$206*$T$90:$T$206)/SUMPRODUCT((BP$90:BP$206=13)*BF$90:BF$206)</f>
        <v>7561</v>
      </c>
      <c r="P264" s="25">
        <f>SUMPRODUCT((BP$90:BP$206=14)*BF$90:BF$206*$T$90:$T$206)/SUMPRODUCT((BP$90:BP$206=14)*BF$90:BF$206)</f>
        <v>8401.5</v>
      </c>
    </row>
    <row r="265" spans="1:26" x14ac:dyDescent="0.3">
      <c r="A265" s="11" t="s">
        <v>274</v>
      </c>
      <c r="E265" s="25">
        <f>SUMPRODUCT((BQ$90:BQ$206=3)*BG$90:BG$206*$T$90:$T$206)/SUMPRODUCT((BQ$90:BQ$206=3)*BG$90:BG$206)</f>
        <v>431.78571428571428</v>
      </c>
      <c r="F265" s="25">
        <f>SUMPRODUCT((BQ$90:BQ$206=4)*BG$90:BG$206*$T$90:$T$206)/SUMPRODUCT((BQ$90:BQ$206=4)*BG$90:BG$206)</f>
        <v>1010.6551724137931</v>
      </c>
      <c r="H265" s="25">
        <f>SUMPRODUCT((BQ$90:BQ$206=6)*BG$90:BG$206*$T$90:$T$206)/SUMPRODUCT((BQ$90:BQ$206=6)*BG$90:BG$206)</f>
        <v>1415.8571428571429</v>
      </c>
      <c r="I265" s="25">
        <f>SUMPRODUCT((BQ$90:BQ$206=7)*BG$90:BG$206*$T$90:$T$206)/SUMPRODUCT((BQ$90:BQ$206=7)*BG$90:BG$206)</f>
        <v>2109.6060606060605</v>
      </c>
      <c r="K265" s="25">
        <f>SUMPRODUCT((BQ$90:BQ$206=9)*BG$90:BG$206*$T$90:$T$206)/SUMPRODUCT((BQ$90:BQ$206=9)*BG$90:BG$206)</f>
        <v>4575</v>
      </c>
      <c r="M265" s="25">
        <f>SUMPRODUCT((BQ$90:BQ$206=11)*BG$90:BG$206*$T$90:$T$206)/SUMPRODUCT((BQ$90:BQ$206=11)*BG$90:BG$206)</f>
        <v>5860</v>
      </c>
      <c r="N265" s="25">
        <f>SUMPRODUCT((BQ$90:BQ$206=12)*BG$90:BG$206*$T$90:$T$206)/SUMPRODUCT((BQ$90:BQ$206=12)*BG$90:BG$206)</f>
        <v>7604.25</v>
      </c>
    </row>
    <row r="266" spans="1:26" x14ac:dyDescent="0.3">
      <c r="A266" s="11" t="s">
        <v>275</v>
      </c>
      <c r="E266" s="25">
        <f>SUMPRODUCT((BR$90:BR$206=3)*BH$90:BH$206*$T$90:$T$206)/SUMPRODUCT((BR$90:BR$206=3)*BH$90:BH$206)</f>
        <v>468.77777777777777</v>
      </c>
      <c r="F266" s="25">
        <f>SUMPRODUCT((BR$90:BR$206=4)*BH$90:BH$206*$T$90:$T$206)/SUMPRODUCT((BR$90:BR$206=4)*BH$90:BH$206)</f>
        <v>1067.3953488372092</v>
      </c>
      <c r="H266" s="25">
        <f>SUMPRODUCT((BR$90:BR$206=6)*BH$90:BH$206*$T$90:$T$206)/SUMPRODUCT((BR$90:BR$206=6)*BH$90:BH$206)</f>
        <v>1210</v>
      </c>
      <c r="I266" s="25">
        <f>SUMPRODUCT((BR$90:BR$206=7)*BH$90:BH$206*$T$90:$T$206)/SUMPRODUCT((BR$90:BR$206=7)*BH$90:BH$206)</f>
        <v>2239.9655172413795</v>
      </c>
      <c r="K266" s="25">
        <f>SUMPRODUCT((BR$90:BR$206=9)*BH$90:BH$206*$T$90:$T$206)/SUMPRODUCT((BR$90:BR$206=9)*BH$90:BH$206)</f>
        <v>4077.7142857142858</v>
      </c>
      <c r="L266" s="25">
        <f>SUMPRODUCT((BR$90:BR$206=10)*BH$90:BH$206*$T$90:$T$206)/SUMPRODUCT((BR$90:BR$206=10)*BH$90:BH$206)</f>
        <v>7110.625</v>
      </c>
    </row>
    <row r="267" spans="1:26" x14ac:dyDescent="0.3">
      <c r="A267" s="11" t="s">
        <v>276</v>
      </c>
      <c r="E267" s="25">
        <f>SUMPRODUCT((BS$90:BS$206=3)*BI$90:BI$206*$T$90:$T$206)/SUMPRODUCT((BS$90:BS$206=3)*BI$90:BI$206)</f>
        <v>493.23809523809524</v>
      </c>
      <c r="F267" s="25">
        <f>SUMPRODUCT((BS$90:BS$206=4)*BI$90:BI$206*$T$90:$T$206)/SUMPRODUCT((BS$90:BS$206=4)*BI$90:BI$206)</f>
        <v>1186.5882352941176</v>
      </c>
      <c r="H267" s="25">
        <f>SUMPRODUCT((BS$90:BS$206=6)*BI$90:BI$206*$T$90:$T$206)/SUMPRODUCT((BS$90:BS$206=6)*BI$90:BI$206)</f>
        <v>2206.8636363636365</v>
      </c>
      <c r="I267" s="25">
        <f>SUMPRODUCT((BS$90:BS$206=7)*BI$90:BI$206*$T$90:$T$206)/SUMPRODUCT((BS$90:BS$206=7)*BI$90:BI$206)</f>
        <v>1353.2222222222222</v>
      </c>
      <c r="K267" s="25">
        <f>SUMPRODUCT((BS$90:BS$206=9)*BI$90:BI$206*$T$90:$T$206)/SUMPRODUCT((BS$90:BS$206=9)*BI$90:BI$206)</f>
        <v>6128.875</v>
      </c>
      <c r="L267" s="25">
        <f>SUMPRODUCT((BS$90:BS$206=10)*BI$90:BI$206*$T$90:$T$206)/SUMPRODUCT((BS$90:BS$206=10)*BI$90:BI$206)</f>
        <v>4206.666666666667</v>
      </c>
    </row>
    <row r="268" spans="1:26" x14ac:dyDescent="0.3">
      <c r="A268" s="11" t="s">
        <v>277</v>
      </c>
      <c r="E268" s="25">
        <f>SUMPRODUCT((BT$90:BT$206=3)*BJ$90:BJ$206*$T$90:$T$206)/SUMPRODUCT((BT$90:BT$206=3)*BJ$90:BJ$206)</f>
        <v>501.72972972972974</v>
      </c>
      <c r="F268" s="25">
        <f>SUMPRODUCT((BT$90:BT$206=4)*BJ$90:BJ$206*$T$90:$T$206)/SUMPRODUCT((BT$90:BT$206=4)*BJ$90:BJ$206)</f>
        <v>1025.608695652174</v>
      </c>
      <c r="H268" s="25">
        <f>SUMPRODUCT((BT$90:BT$206=6)*BJ$90:BJ$206*$T$90:$T$206)/SUMPRODUCT((BT$90:BT$206=6)*BJ$90:BJ$206)</f>
        <v>1283.8095238095239</v>
      </c>
      <c r="I268" s="25">
        <f>SUMPRODUCT((BT$90:BT$206=7)*BJ$90:BJ$206*$T$90:$T$206)/SUMPRODUCT((BT$90:BT$206=7)*BJ$90:BJ$206)</f>
        <v>1904.0526315789473</v>
      </c>
      <c r="L268" s="25">
        <f>SUMPRODUCT((BT$90:BT$206=10)*BJ$90:BJ$206*$T$90:$T$206)/SUMPRODUCT((BT$90:BT$206=10)*BJ$90:BJ$206)</f>
        <v>3645</v>
      </c>
      <c r="M268" s="25">
        <f>SUMPRODUCT((BT$90:BT$206=11)*BJ$90:BJ$206*$T$90:$T$206)/SUMPRODUCT((BT$90:BT$206=11)*BJ$90:BJ$206)</f>
        <v>4997.75</v>
      </c>
      <c r="N268" s="25">
        <f>SUMPRODUCT((BT$90:BT$206=12)*BJ$90:BJ$206*$T$90:$T$206)/SUMPRODUCT((BT$90:BT$206=12)*BJ$90:BJ$206)</f>
        <v>7763.833333333333</v>
      </c>
    </row>
    <row r="269" spans="1:26" x14ac:dyDescent="0.3">
      <c r="A269" s="11" t="s">
        <v>278</v>
      </c>
      <c r="E269" s="25">
        <f>SUMPRODUCT((BU$90:BU$206=3)*BK$90:BK$206*$T$90:$T$206)/SUMPRODUCT((BU$90:BU$206=3)*BK$90:BK$206)</f>
        <v>737.21875</v>
      </c>
      <c r="F269" s="25">
        <f>SUMPRODUCT((BU$90:BU$206=4)*BK$90:BK$206*$T$90:$T$206)/SUMPRODUCT((BU$90:BU$206=4)*BK$90:BK$206)</f>
        <v>1656.8</v>
      </c>
      <c r="H269" s="25">
        <f>SUMPRODUCT((BU$90:BU$206=6)*BK$90:BK$206*$T$90:$T$206)/SUMPRODUCT((BU$90:BU$206=6)*BK$90:BK$206)</f>
        <v>1210</v>
      </c>
      <c r="I269" s="25">
        <f>SUMPRODUCT((BU$90:BU$206=7)*BK$90:BK$206*$T$90:$T$206)/SUMPRODUCT((BU$90:BU$206=7)*BK$90:BK$206)</f>
        <v>2134.6666666666665</v>
      </c>
      <c r="L269" s="25">
        <f>SUMPRODUCT((BU$90:BU$206=10)*BK$90:BK$206*$T$90:$T$206)/SUMPRODUCT((BU$90:BU$206=10)*BK$90:BK$206)</f>
        <v>3776.5</v>
      </c>
      <c r="M269" s="25">
        <f>SUMPRODUCT((BU$90:BU$206=11)*BK$90:BK$206*$T$90:$T$206)/SUMPRODUCT((BU$90:BU$206=11)*BK$90:BK$206)</f>
        <v>5094.8</v>
      </c>
      <c r="O269" s="25">
        <f>SUMPRODUCT((BU$90:BU$206=13)*BK$90:BK$206*$T$90:$T$206)/SUMPRODUCT((BU$90:BU$206=13)*BK$90:BK$206)</f>
        <v>6378</v>
      </c>
      <c r="P269" s="25">
        <f>SUMPRODUCT((BU$90:BU$206=14)*BK$90:BK$206*$T$90:$T$206)/SUMPRODUCT((BU$90:BU$206=14)*BK$90:BK$206)</f>
        <v>8476.5</v>
      </c>
    </row>
    <row r="270" spans="1:26" x14ac:dyDescent="0.3">
      <c r="A270" s="11" t="s">
        <v>279</v>
      </c>
      <c r="E270" s="25">
        <f>SUMPRODUCT((BV$90:BV$206=3)*BL$90:BL$206*$T$90:$T$206)/SUMPRODUCT((BV$90:BV$206=3)*BL$90:BL$206)</f>
        <v>454.56</v>
      </c>
      <c r="F270" s="25">
        <f>SUMPRODUCT((BV$90:BV$206=4)*BL$90:BL$206*$T$90:$T$206)/SUMPRODUCT((BV$90:BV$206=4)*BL$90:BL$206)</f>
        <v>1130.5</v>
      </c>
      <c r="H270" s="25">
        <f>SUMPRODUCT((BV$90:BV$206=6)*BL$90:BL$206*$T$90:$T$206)/SUMPRODUCT((BV$90:BV$206=6)*BL$90:BL$206)</f>
        <v>2294.5789473684213</v>
      </c>
      <c r="I270" s="25">
        <f>SUMPRODUCT((BV$90:BV$206=7)*BL$90:BL$206*$T$90:$T$206)/SUMPRODUCT((BV$90:BV$206=7)*BL$90:BL$206)</f>
        <v>1805.125</v>
      </c>
      <c r="L270" s="25">
        <f>SUMPRODUCT((BV$90:BV$206=10)*BL$90:BL$206*$T$90:$T$206)/SUMPRODUCT((BV$90:BV$206=10)*BL$90:BL$206)</f>
        <v>4504.5</v>
      </c>
      <c r="M270" s="25">
        <f>SUMPRODUCT((BV$90:BV$206=11)*BL$90:BL$206*$T$90:$T$206)/SUMPRODUCT((BV$90:BV$206=11)*BL$90:BL$206)</f>
        <v>5442.25</v>
      </c>
      <c r="N270" s="25">
        <f>SUMPRODUCT((BV$90:BV$206=12)*BL$90:BL$206*$T$90:$T$206)/SUMPRODUCT((BV$90:BV$206=12)*BL$90:BL$206)</f>
        <v>7488.8888888888887</v>
      </c>
    </row>
    <row r="271" spans="1:26" x14ac:dyDescent="0.3">
      <c r="A271" s="11" t="s">
        <v>280</v>
      </c>
      <c r="E271" s="25">
        <f>SUMPRODUCT((BW$90:BW$206=3)*BM$90:BM$206*$T$90:$T$206)/SUMPRODUCT((BW$90:BW$206=3)*BM$90:BM$206)</f>
        <v>490.4848484848485</v>
      </c>
      <c r="F271" s="25">
        <f>SUMPRODUCT((BW$90:BW$206=4)*BM$90:BM$206*$T$90:$T$206)/SUMPRODUCT((BW$90:BW$206=4)*BM$90:BM$206)</f>
        <v>1060.5135135135135</v>
      </c>
      <c r="H271" s="25">
        <f>SUMPRODUCT((BW$90:BW$206=6)*BM$90:BM$206*$T$90:$T$206)/SUMPRODUCT((BW$90:BW$206=6)*BM$90:BM$206)</f>
        <v>1803.9583333333333</v>
      </c>
      <c r="I271" s="25">
        <f>SUMPRODUCT((BW$90:BW$206=7)*BM$90:BM$206*$T$90:$T$206)/SUMPRODUCT((BW$90:BW$206=7)*BM$90:BM$206)</f>
        <v>2852</v>
      </c>
      <c r="K271" s="25">
        <f>SUMPRODUCT((BW$90:BW$206=9)*BM$90:BM$206*$T$90:$T$206)/SUMPRODUCT((BW$90:BW$206=9)*BM$90:BM$206)</f>
        <v>5119.75</v>
      </c>
      <c r="L271" s="25">
        <f>SUMPRODUCT((BW$90:BW$206=10)*BM$90:BM$206*$T$90:$T$206)/SUMPRODUCT((BW$90:BW$206=10)*BM$90:BM$206)</f>
        <v>8392</v>
      </c>
    </row>
    <row r="272" spans="1:26" x14ac:dyDescent="0.3">
      <c r="A272" s="11" t="s">
        <v>281</v>
      </c>
      <c r="E272" s="25">
        <f>SUMPRODUCT((BX$90:BX$206=3)*BN$90:BN$206*$T$90:$T$206)/SUMPRODUCT((BX$90:BX$206=3)*BN$90:BN$206)</f>
        <v>453.52</v>
      </c>
      <c r="F272" s="25">
        <f>SUMPRODUCT((BX$90:BX$206=4)*BN$90:BN$206*$T$90:$T$206)/SUMPRODUCT((BX$90:BX$206=4)*BN$90:BN$206)</f>
        <v>1071.409090909091</v>
      </c>
      <c r="H272" s="25">
        <f>SUMPRODUCT((BX$90:BX$206=6)*BN$90:BN$206*$T$90:$T$206)/SUMPRODUCT((BX$90:BX$206=6)*BN$90:BN$206)</f>
        <v>1952.125</v>
      </c>
      <c r="I272" s="25">
        <f>SUMPRODUCT((BX$90:BX$206=7)*BN$90:BN$206*$T$90:$T$206)/SUMPRODUCT((BX$90:BX$206=7)*BN$90:BN$206)</f>
        <v>3729.6666666666665</v>
      </c>
      <c r="K272" s="25">
        <f>SUMPRODUCT((BX$90:BX$206=9)*BN$90:BN$206*$T$90:$T$206)/SUMPRODUCT((BX$90:BX$206=9)*BN$90:BN$206)</f>
        <v>6012.75</v>
      </c>
      <c r="L272" s="25">
        <f>SUMPRODUCT((BX$90:BX$206=10)*BN$90:BN$206*$T$90:$T$206)/SUMPRODUCT((BX$90:BX$206=10)*BN$90:BN$206)</f>
        <v>8517.8333333333339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597"/>
  </sheetPr>
  <dimension ref="A1:AG244"/>
  <sheetViews>
    <sheetView showGridLines="0" zoomScale="85" zoomScaleNormal="85" workbookViewId="0">
      <selection activeCell="B5" sqref="B5"/>
    </sheetView>
  </sheetViews>
  <sheetFormatPr defaultColWidth="8.6640625" defaultRowHeight="14.4" x14ac:dyDescent="0.3"/>
  <cols>
    <col min="1" max="1" width="46" customWidth="1"/>
    <col min="2" max="2" width="14" customWidth="1"/>
    <col min="3" max="3" width="18.33203125" customWidth="1"/>
    <col min="4" max="33" width="13" customWidth="1"/>
  </cols>
  <sheetData>
    <row r="1" spans="1:22" ht="16.8" x14ac:dyDescent="0.3">
      <c r="A1" s="1" t="s">
        <v>304</v>
      </c>
    </row>
    <row r="2" spans="1:22" x14ac:dyDescent="0.3">
      <c r="A2" s="2" t="s">
        <v>305</v>
      </c>
    </row>
    <row r="4" spans="1:22" x14ac:dyDescent="0.3">
      <c r="A4" s="13" t="s">
        <v>545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22" ht="26.4" x14ac:dyDescent="0.3">
      <c r="A5" s="3" t="s">
        <v>306</v>
      </c>
      <c r="B5" s="3" t="s">
        <v>307</v>
      </c>
      <c r="C5" s="3" t="s">
        <v>308</v>
      </c>
    </row>
    <row r="6" spans="1:22" x14ac:dyDescent="0.3">
      <c r="A6" s="11" t="s">
        <v>144</v>
      </c>
      <c r="B6" s="25">
        <f>AVERAGE($C$119:$C$235)</f>
        <v>166901.952991453</v>
      </c>
      <c r="C6" s="25">
        <f>STDEV($C$119:$C$235)</f>
        <v>73429.645851693291</v>
      </c>
    </row>
    <row r="7" spans="1:22" x14ac:dyDescent="0.3">
      <c r="A7" s="11" t="s">
        <v>3</v>
      </c>
      <c r="B7" s="25">
        <f>AVERAGE($B$119:$B$235)</f>
        <v>2020</v>
      </c>
      <c r="C7" s="25">
        <f>STDEV($B$119:$B$235)</f>
        <v>2.5930942773132033</v>
      </c>
    </row>
    <row r="8" spans="1:22" x14ac:dyDescent="0.3">
      <c r="A8" s="11" t="s">
        <v>145</v>
      </c>
      <c r="B8" s="25">
        <f>AVERAGE($D$119:$D$235)</f>
        <v>1811</v>
      </c>
      <c r="C8" s="25">
        <f>STDEV($D$119:$D$235)</f>
        <v>1781.6737674987257</v>
      </c>
    </row>
    <row r="9" spans="1:22" x14ac:dyDescent="0.3">
      <c r="A9" s="11" t="s">
        <v>39</v>
      </c>
      <c r="B9" s="38">
        <f>COUNT($F$119:$F$235)</f>
        <v>117</v>
      </c>
    </row>
    <row r="10" spans="1:22" x14ac:dyDescent="0.3">
      <c r="A10" s="11" t="s">
        <v>309</v>
      </c>
      <c r="B10" s="45">
        <f>DATASETS!N6</f>
        <v>12.99999999999997</v>
      </c>
    </row>
    <row r="11" spans="1:22" x14ac:dyDescent="0.3">
      <c r="A11" s="11" t="s">
        <v>310</v>
      </c>
      <c r="B11" s="25">
        <f>AVERAGE($F$119:$F$235)</f>
        <v>1880.3931623931624</v>
      </c>
    </row>
    <row r="12" spans="1:22" ht="39.6" customHeight="1" x14ac:dyDescent="0.3">
      <c r="A12" s="11"/>
      <c r="B12" s="25"/>
    </row>
    <row r="13" spans="1:22" ht="23.4" customHeight="1" x14ac:dyDescent="0.3">
      <c r="A13" s="13" t="s">
        <v>311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 ht="55.5" customHeight="1" x14ac:dyDescent="0.3">
      <c r="A14" s="3" t="s">
        <v>312</v>
      </c>
      <c r="B14" s="3" t="s">
        <v>313</v>
      </c>
      <c r="C14" s="3" t="s">
        <v>314</v>
      </c>
      <c r="D14" s="3" t="s">
        <v>315</v>
      </c>
      <c r="E14" s="3" t="s">
        <v>316</v>
      </c>
      <c r="F14" s="3" t="s">
        <v>299</v>
      </c>
      <c r="G14" s="3" t="s">
        <v>317</v>
      </c>
      <c r="H14" s="3" t="s">
        <v>318</v>
      </c>
      <c r="I14" s="3" t="s">
        <v>319</v>
      </c>
      <c r="J14" s="3" t="s">
        <v>303</v>
      </c>
      <c r="K14" s="3" t="s">
        <v>300</v>
      </c>
      <c r="L14" s="3" t="s">
        <v>320</v>
      </c>
      <c r="M14" s="3" t="s">
        <v>302</v>
      </c>
      <c r="N14" s="3" t="s">
        <v>321</v>
      </c>
      <c r="O14" s="3" t="s">
        <v>322</v>
      </c>
      <c r="P14" s="3" t="s">
        <v>323</v>
      </c>
      <c r="Q14" s="3" t="s">
        <v>324</v>
      </c>
    </row>
    <row r="15" spans="1:22" x14ac:dyDescent="0.3">
      <c r="A15" s="3" t="s">
        <v>313</v>
      </c>
      <c r="B15" s="46">
        <f t="array" ref="B15:Q30">MMULT(TRANSPOSE($G$119:$V$235),$G$119:$V$235)</f>
        <v>117</v>
      </c>
      <c r="C15" s="46">
        <v>-8.7707618945387367E-15</v>
      </c>
      <c r="D15" s="46">
        <v>0</v>
      </c>
      <c r="E15" s="46">
        <v>-8.8817841970012523E-16</v>
      </c>
      <c r="F15" s="46">
        <v>9</v>
      </c>
      <c r="G15" s="46">
        <v>9</v>
      </c>
      <c r="H15" s="46">
        <v>9</v>
      </c>
      <c r="I15" s="46">
        <v>9</v>
      </c>
      <c r="J15" s="46">
        <v>9</v>
      </c>
      <c r="K15" s="46">
        <v>9</v>
      </c>
      <c r="L15" s="46">
        <v>9</v>
      </c>
      <c r="M15" s="46">
        <v>9</v>
      </c>
      <c r="N15" s="46">
        <v>9</v>
      </c>
      <c r="O15" s="46">
        <v>9</v>
      </c>
      <c r="P15" s="46">
        <v>9</v>
      </c>
      <c r="Q15" s="46">
        <v>9</v>
      </c>
    </row>
    <row r="16" spans="1:22" x14ac:dyDescent="0.3">
      <c r="A16" s="3" t="s">
        <v>314</v>
      </c>
      <c r="B16" s="46">
        <v>-8.7707618945387367E-15</v>
      </c>
      <c r="C16" s="46">
        <v>116.00000000000001</v>
      </c>
      <c r="D16" s="46">
        <v>33.767872945972528</v>
      </c>
      <c r="E16" s="46">
        <v>65.559867276505713</v>
      </c>
      <c r="F16" s="46">
        <v>6.9804425328724786</v>
      </c>
      <c r="G16" s="46">
        <v>3.408765222461589</v>
      </c>
      <c r="H16" s="46">
        <v>-6.2143507793120358</v>
      </c>
      <c r="I16" s="46">
        <v>-1.4495041571907916</v>
      </c>
      <c r="J16" s="46">
        <v>0.45882589635485871</v>
      </c>
      <c r="K16" s="46">
        <v>-6.0647858471566831</v>
      </c>
      <c r="L16" s="46">
        <v>9.6240478199259449</v>
      </c>
      <c r="M16" s="46">
        <v>18.483194455521478</v>
      </c>
      <c r="N16" s="46">
        <v>-9.0271656527101634</v>
      </c>
      <c r="O16" s="46">
        <v>-8.9314277539574096</v>
      </c>
      <c r="P16" s="46">
        <v>5.5707666615076024</v>
      </c>
      <c r="Q16" s="46">
        <v>-7.7186205972966313</v>
      </c>
    </row>
    <row r="17" spans="1:17" x14ac:dyDescent="0.3">
      <c r="A17" s="3" t="s">
        <v>315</v>
      </c>
      <c r="B17" s="46">
        <v>0</v>
      </c>
      <c r="C17" s="46">
        <v>33.767872945972528</v>
      </c>
      <c r="D17" s="46">
        <v>116.00000000000004</v>
      </c>
      <c r="E17" s="46">
        <v>-1.3683840364519755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  <c r="L17" s="46">
        <v>0</v>
      </c>
      <c r="M17" s="46">
        <v>0</v>
      </c>
      <c r="N17" s="46">
        <v>0</v>
      </c>
      <c r="O17" s="46">
        <v>0</v>
      </c>
      <c r="P17" s="46">
        <v>0</v>
      </c>
      <c r="Q17" s="46">
        <v>0</v>
      </c>
    </row>
    <row r="18" spans="1:17" x14ac:dyDescent="0.3">
      <c r="A18" s="3" t="s">
        <v>316</v>
      </c>
      <c r="B18" s="46">
        <v>-8.8817841970012523E-16</v>
      </c>
      <c r="C18" s="46">
        <v>65.559867276505713</v>
      </c>
      <c r="D18" s="46">
        <v>-1.3683840364519755</v>
      </c>
      <c r="E18" s="46">
        <v>116.00000000000003</v>
      </c>
      <c r="F18" s="46">
        <v>24.326563476795986</v>
      </c>
      <c r="G18" s="46">
        <v>0.5809144293868268</v>
      </c>
      <c r="H18" s="46">
        <v>-5.3550768799803992</v>
      </c>
      <c r="I18" s="46">
        <v>-4.2836124880002524</v>
      </c>
      <c r="J18" s="46">
        <v>0.80598369140046677</v>
      </c>
      <c r="K18" s="46">
        <v>-1.1309590098690394</v>
      </c>
      <c r="L18" s="46">
        <v>0.92721800709858715</v>
      </c>
      <c r="M18" s="46">
        <v>11.632320337238632</v>
      </c>
      <c r="N18" s="46">
        <v>-7.2381376631618517</v>
      </c>
      <c r="O18" s="46">
        <v>-4.495211270491879</v>
      </c>
      <c r="P18" s="46">
        <v>-4.4149496633398826</v>
      </c>
      <c r="Q18" s="46">
        <v>-6.3788333236534163</v>
      </c>
    </row>
    <row r="19" spans="1:17" ht="26.4" x14ac:dyDescent="0.3">
      <c r="A19" s="3" t="s">
        <v>299</v>
      </c>
      <c r="B19" s="46">
        <v>9</v>
      </c>
      <c r="C19" s="46">
        <v>6.9804425328724786</v>
      </c>
      <c r="D19" s="46">
        <v>0</v>
      </c>
      <c r="E19" s="46">
        <v>24.326563476795986</v>
      </c>
      <c r="F19" s="46">
        <v>9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</row>
    <row r="20" spans="1:17" x14ac:dyDescent="0.3">
      <c r="A20" s="3" t="s">
        <v>317</v>
      </c>
      <c r="B20" s="46">
        <v>9</v>
      </c>
      <c r="C20" s="46">
        <v>3.408765222461589</v>
      </c>
      <c r="D20" s="46">
        <v>0</v>
      </c>
      <c r="E20" s="46">
        <v>0.5809144293868268</v>
      </c>
      <c r="F20" s="46">
        <v>0</v>
      </c>
      <c r="G20" s="46">
        <v>9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</row>
    <row r="21" spans="1:17" x14ac:dyDescent="0.3">
      <c r="A21" s="3" t="s">
        <v>318</v>
      </c>
      <c r="B21" s="46">
        <v>9</v>
      </c>
      <c r="C21" s="46">
        <v>-6.2143507793120358</v>
      </c>
      <c r="D21" s="46">
        <v>0</v>
      </c>
      <c r="E21" s="46">
        <v>-5.3550768799803992</v>
      </c>
      <c r="F21" s="46">
        <v>0</v>
      </c>
      <c r="G21" s="46">
        <v>0</v>
      </c>
      <c r="H21" s="46">
        <v>9</v>
      </c>
      <c r="I21" s="46">
        <v>0</v>
      </c>
      <c r="J21" s="46">
        <v>0</v>
      </c>
      <c r="K21" s="46">
        <v>0</v>
      </c>
      <c r="L21" s="46">
        <v>0</v>
      </c>
      <c r="M21" s="46">
        <v>0</v>
      </c>
      <c r="N21" s="46">
        <v>0</v>
      </c>
      <c r="O21" s="46">
        <v>0</v>
      </c>
      <c r="P21" s="46">
        <v>0</v>
      </c>
      <c r="Q21" s="46">
        <v>0</v>
      </c>
    </row>
    <row r="22" spans="1:17" x14ac:dyDescent="0.3">
      <c r="A22" s="3" t="s">
        <v>319</v>
      </c>
      <c r="B22" s="46">
        <v>9</v>
      </c>
      <c r="C22" s="46">
        <v>-1.4495041571907916</v>
      </c>
      <c r="D22" s="46">
        <v>0</v>
      </c>
      <c r="E22" s="46">
        <v>-4.2836124880002524</v>
      </c>
      <c r="F22" s="46">
        <v>0</v>
      </c>
      <c r="G22" s="46">
        <v>0</v>
      </c>
      <c r="H22" s="46">
        <v>0</v>
      </c>
      <c r="I22" s="46">
        <v>9</v>
      </c>
      <c r="J22" s="46">
        <v>0</v>
      </c>
      <c r="K22" s="46">
        <v>0</v>
      </c>
      <c r="L22" s="46">
        <v>0</v>
      </c>
      <c r="M22" s="46">
        <v>0</v>
      </c>
      <c r="N22" s="46">
        <v>0</v>
      </c>
      <c r="O22" s="46">
        <v>0</v>
      </c>
      <c r="P22" s="46">
        <v>0</v>
      </c>
      <c r="Q22" s="46">
        <v>0</v>
      </c>
    </row>
    <row r="23" spans="1:17" x14ac:dyDescent="0.3">
      <c r="A23" s="3" t="s">
        <v>303</v>
      </c>
      <c r="B23" s="46">
        <v>9</v>
      </c>
      <c r="C23" s="46">
        <v>0.45882589635485871</v>
      </c>
      <c r="D23" s="46">
        <v>0</v>
      </c>
      <c r="E23" s="46">
        <v>0.80598369140046677</v>
      </c>
      <c r="F23" s="46">
        <v>0</v>
      </c>
      <c r="G23" s="46">
        <v>0</v>
      </c>
      <c r="H23" s="46">
        <v>0</v>
      </c>
      <c r="I23" s="46">
        <v>0</v>
      </c>
      <c r="J23" s="46">
        <v>9</v>
      </c>
      <c r="K23" s="46">
        <v>0</v>
      </c>
      <c r="L23" s="46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</row>
    <row r="24" spans="1:17" x14ac:dyDescent="0.3">
      <c r="A24" s="3" t="s">
        <v>300</v>
      </c>
      <c r="B24" s="46">
        <v>9</v>
      </c>
      <c r="C24" s="46">
        <v>-6.0647858471566831</v>
      </c>
      <c r="D24" s="46">
        <v>0</v>
      </c>
      <c r="E24" s="46">
        <v>-1.1309590098690394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9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</row>
    <row r="25" spans="1:17" x14ac:dyDescent="0.3">
      <c r="A25" s="3" t="s">
        <v>320</v>
      </c>
      <c r="B25" s="46">
        <v>9</v>
      </c>
      <c r="C25" s="46">
        <v>9.6240478199259449</v>
      </c>
      <c r="D25" s="46">
        <v>0</v>
      </c>
      <c r="E25" s="46">
        <v>0.92721800709858715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9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</row>
    <row r="26" spans="1:17" x14ac:dyDescent="0.3">
      <c r="A26" s="3" t="s">
        <v>302</v>
      </c>
      <c r="B26" s="46">
        <v>9</v>
      </c>
      <c r="C26" s="46">
        <v>18.483194455521478</v>
      </c>
      <c r="D26" s="46">
        <v>0</v>
      </c>
      <c r="E26" s="46">
        <v>11.632320337238632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9</v>
      </c>
      <c r="N26" s="46">
        <v>0</v>
      </c>
      <c r="O26" s="46">
        <v>0</v>
      </c>
      <c r="P26" s="46">
        <v>0</v>
      </c>
      <c r="Q26" s="46">
        <v>0</v>
      </c>
    </row>
    <row r="27" spans="1:17" x14ac:dyDescent="0.3">
      <c r="A27" s="3" t="s">
        <v>321</v>
      </c>
      <c r="B27" s="46">
        <v>9</v>
      </c>
      <c r="C27" s="46">
        <v>-9.0271656527101634</v>
      </c>
      <c r="D27" s="46">
        <v>0</v>
      </c>
      <c r="E27" s="46">
        <v>-7.2381376631618517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9</v>
      </c>
      <c r="O27" s="46">
        <v>0</v>
      </c>
      <c r="P27" s="46">
        <v>0</v>
      </c>
      <c r="Q27" s="46">
        <v>0</v>
      </c>
    </row>
    <row r="28" spans="1:17" x14ac:dyDescent="0.3">
      <c r="A28" s="3" t="s">
        <v>322</v>
      </c>
      <c r="B28" s="46">
        <v>9</v>
      </c>
      <c r="C28" s="46">
        <v>-8.9314277539574096</v>
      </c>
      <c r="D28" s="46">
        <v>0</v>
      </c>
      <c r="E28" s="46">
        <v>-4.495211270491879</v>
      </c>
      <c r="F28" s="46">
        <v>0</v>
      </c>
      <c r="G28" s="46">
        <v>0</v>
      </c>
      <c r="H28" s="46">
        <v>0</v>
      </c>
      <c r="I28" s="46">
        <v>0</v>
      </c>
      <c r="J28" s="46">
        <v>0</v>
      </c>
      <c r="K28" s="46">
        <v>0</v>
      </c>
      <c r="L28" s="46">
        <v>0</v>
      </c>
      <c r="M28" s="46">
        <v>0</v>
      </c>
      <c r="N28" s="46">
        <v>0</v>
      </c>
      <c r="O28" s="46">
        <v>9</v>
      </c>
      <c r="P28" s="46">
        <v>0</v>
      </c>
      <c r="Q28" s="46">
        <v>0</v>
      </c>
    </row>
    <row r="29" spans="1:17" x14ac:dyDescent="0.3">
      <c r="A29" s="3" t="s">
        <v>323</v>
      </c>
      <c r="B29" s="46">
        <v>9</v>
      </c>
      <c r="C29" s="46">
        <v>5.5707666615076024</v>
      </c>
      <c r="D29" s="46">
        <v>0</v>
      </c>
      <c r="E29" s="46">
        <v>-4.4149496633398826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9</v>
      </c>
      <c r="Q29" s="46">
        <v>0</v>
      </c>
    </row>
    <row r="30" spans="1:17" x14ac:dyDescent="0.3">
      <c r="A30" s="3" t="s">
        <v>324</v>
      </c>
      <c r="B30" s="46">
        <v>9</v>
      </c>
      <c r="C30" s="46">
        <v>-7.7186205972966313</v>
      </c>
      <c r="D30" s="46">
        <v>0</v>
      </c>
      <c r="E30" s="46">
        <v>-6.3788333236534163</v>
      </c>
      <c r="F30" s="46">
        <v>0</v>
      </c>
      <c r="G30" s="46">
        <v>0</v>
      </c>
      <c r="H30" s="46">
        <v>0</v>
      </c>
      <c r="I30" s="46">
        <v>0</v>
      </c>
      <c r="J30" s="46">
        <v>0</v>
      </c>
      <c r="K30" s="46">
        <v>0</v>
      </c>
      <c r="L30" s="46">
        <v>0</v>
      </c>
      <c r="M30" s="46">
        <v>0</v>
      </c>
      <c r="N30" s="46">
        <v>0</v>
      </c>
      <c r="O30" s="46">
        <v>0</v>
      </c>
      <c r="P30" s="46">
        <v>0</v>
      </c>
      <c r="Q30" s="46">
        <v>9</v>
      </c>
    </row>
    <row r="32" spans="1:17" ht="79.2" x14ac:dyDescent="0.3">
      <c r="A32" s="3" t="s">
        <v>325</v>
      </c>
      <c r="B32" s="3" t="s">
        <v>313</v>
      </c>
      <c r="C32" s="3" t="s">
        <v>314</v>
      </c>
      <c r="D32" s="3" t="s">
        <v>315</v>
      </c>
      <c r="E32" s="3" t="s">
        <v>316</v>
      </c>
      <c r="F32" s="3" t="s">
        <v>299</v>
      </c>
      <c r="G32" s="3" t="s">
        <v>317</v>
      </c>
      <c r="H32" s="3" t="s">
        <v>318</v>
      </c>
      <c r="I32" s="3" t="s">
        <v>319</v>
      </c>
      <c r="J32" s="3" t="s">
        <v>303</v>
      </c>
      <c r="K32" s="3" t="s">
        <v>300</v>
      </c>
      <c r="L32" s="3" t="s">
        <v>320</v>
      </c>
      <c r="M32" s="3" t="s">
        <v>302</v>
      </c>
      <c r="N32" s="3" t="s">
        <v>321</v>
      </c>
      <c r="O32" s="3" t="s">
        <v>322</v>
      </c>
      <c r="P32" s="3" t="s">
        <v>323</v>
      </c>
      <c r="Q32" s="3" t="s">
        <v>324</v>
      </c>
    </row>
    <row r="33" spans="1:17" x14ac:dyDescent="0.3">
      <c r="A33" s="3" t="s">
        <v>313</v>
      </c>
      <c r="B33" s="34">
        <f t="array" ref="B33:Q48">MINVERSE(B15:Q30)</f>
        <v>0.16631929447421864</v>
      </c>
      <c r="C33" s="34">
        <v>5.0704257355547282E-2</v>
      </c>
      <c r="D33" s="34">
        <v>-1.4197694141008887E-2</v>
      </c>
      <c r="E33" s="34">
        <v>4.7678428063328795E-2</v>
      </c>
      <c r="F33" s="34">
        <v>-0.33451823462964009</v>
      </c>
      <c r="G33" s="34">
        <v>-0.18860107180052985</v>
      </c>
      <c r="H33" s="34">
        <v>-0.10293977347337147</v>
      </c>
      <c r="I33" s="34">
        <v>-0.13546018984261476</v>
      </c>
      <c r="J33" s="34">
        <v>-0.17317401244986519</v>
      </c>
      <c r="K33" s="34">
        <v>-0.12616009334142658</v>
      </c>
      <c r="L33" s="34">
        <v>-0.22545134942022887</v>
      </c>
      <c r="M33" s="34">
        <v>-0.3320734496779979</v>
      </c>
      <c r="N33" s="34">
        <v>-7.7117210437362319E-2</v>
      </c>
      <c r="O33" s="34">
        <v>-9.2187514632135661E-2</v>
      </c>
      <c r="P33" s="34">
        <v>-0.17431526409044262</v>
      </c>
      <c r="Q33" s="34">
        <v>-8.9041553258115219E-2</v>
      </c>
    </row>
    <row r="34" spans="1:17" x14ac:dyDescent="0.3">
      <c r="A34" s="3" t="s">
        <v>314</v>
      </c>
      <c r="B34" s="34">
        <v>5.0704257355547268E-2</v>
      </c>
      <c r="C34" s="34">
        <v>8.5749797760547017E-2</v>
      </c>
      <c r="D34" s="34">
        <v>-2.492099696565012E-2</v>
      </c>
      <c r="E34" s="34">
        <v>3.4731681888801628E-3</v>
      </c>
      <c r="F34" s="34">
        <v>-0.12660001089836045</v>
      </c>
      <c r="G34" s="34">
        <v>-8.3406317572866748E-2</v>
      </c>
      <c r="H34" s="34">
        <v>1.0571121000859413E-2</v>
      </c>
      <c r="I34" s="34">
        <v>-3.5240657915658981E-2</v>
      </c>
      <c r="J34" s="34">
        <v>-5.5386873437487195E-2</v>
      </c>
      <c r="K34" s="34">
        <v>7.5159838345324722E-3</v>
      </c>
      <c r="L34" s="34">
        <v>-0.14275765049809122</v>
      </c>
      <c r="M34" s="34">
        <v>-0.23129661196532406</v>
      </c>
      <c r="N34" s="34">
        <v>3.8097620261039591E-2</v>
      </c>
      <c r="O34" s="34">
        <v>3.6126936911314085E-2</v>
      </c>
      <c r="P34" s="34">
        <v>-0.10207739645213121</v>
      </c>
      <c r="Q34" s="34">
        <v>2.5298511110059419E-2</v>
      </c>
    </row>
    <row r="35" spans="1:17" x14ac:dyDescent="0.3">
      <c r="A35" s="3" t="s">
        <v>315</v>
      </c>
      <c r="B35" s="34">
        <v>-1.4197694141008875E-2</v>
      </c>
      <c r="C35" s="34">
        <v>-2.4920996965650113E-2</v>
      </c>
      <c r="D35" s="34">
        <v>1.5874826032340243E-2</v>
      </c>
      <c r="E35" s="34">
        <v>-3.5983664131947981E-5</v>
      </c>
      <c r="F35" s="34">
        <v>3.3623799259924876E-2</v>
      </c>
      <c r="G35" s="34">
        <v>2.3638886496041702E-2</v>
      </c>
      <c r="H35" s="34">
        <v>-3.0312516592767456E-3</v>
      </c>
      <c r="I35" s="34">
        <v>1.0166890943665708E-2</v>
      </c>
      <c r="J35" s="34">
        <v>1.5471405365149807E-2</v>
      </c>
      <c r="K35" s="34">
        <v>-2.6002176082652946E-3</v>
      </c>
      <c r="L35" s="34">
        <v>4.0850386498674521E-2</v>
      </c>
      <c r="M35" s="34">
        <v>6.5424161524304664E-2</v>
      </c>
      <c r="N35" s="34">
        <v>-1.0827463920571444E-2</v>
      </c>
      <c r="O35" s="34">
        <v>-1.0551398984308378E-2</v>
      </c>
      <c r="P35" s="34">
        <v>2.9605493363445628E-2</v>
      </c>
      <c r="Q35" s="34">
        <v>-7.2006674456695464E-3</v>
      </c>
    </row>
    <row r="36" spans="1:17" x14ac:dyDescent="0.3">
      <c r="A36" s="3" t="s">
        <v>316</v>
      </c>
      <c r="B36" s="34">
        <v>4.7678428063328795E-2</v>
      </c>
      <c r="C36" s="34">
        <v>3.4731681888801845E-3</v>
      </c>
      <c r="D36" s="34">
        <v>-3.5983664131959839E-5</v>
      </c>
      <c r="E36" s="34">
        <v>8.2657641473269525E-2</v>
      </c>
      <c r="F36" s="34">
        <v>-0.27379182951790809</v>
      </c>
      <c r="G36" s="34">
        <v>-5.4329120459431009E-2</v>
      </c>
      <c r="H36" s="34">
        <v>3.901739742056088E-3</v>
      </c>
      <c r="I36" s="34">
        <v>-7.7775750664455176E-3</v>
      </c>
      <c r="J36" s="34">
        <v>-5.5257793674943927E-2</v>
      </c>
      <c r="K36" s="34">
        <v>-3.4951047437169445E-2</v>
      </c>
      <c r="L36" s="34">
        <v>-5.9908160322744687E-2</v>
      </c>
      <c r="M36" s="34">
        <v>-0.16164458439105067</v>
      </c>
      <c r="N36" s="34">
        <v>2.2281599989620749E-2</v>
      </c>
      <c r="O36" s="34">
        <v>-2.946882252301631E-3</v>
      </c>
      <c r="P36" s="34">
        <v>-9.2805261923891002E-3</v>
      </c>
      <c r="Q36" s="34">
        <v>1.3884614759432781E-2</v>
      </c>
    </row>
    <row r="37" spans="1:17" ht="26.4" x14ac:dyDescent="0.3">
      <c r="A37" s="3" t="s">
        <v>299</v>
      </c>
      <c r="B37" s="34">
        <v>-0.33451823462964009</v>
      </c>
      <c r="C37" s="34">
        <v>-0.12660001089836037</v>
      </c>
      <c r="D37" s="34">
        <v>3.3623799259924876E-2</v>
      </c>
      <c r="E37" s="34">
        <v>-0.27379182951790809</v>
      </c>
      <c r="F37" s="34">
        <v>1.2838669480665881</v>
      </c>
      <c r="G37" s="34">
        <v>0.40014038337728003</v>
      </c>
      <c r="H37" s="34">
        <v>8.4194548788970855E-2</v>
      </c>
      <c r="I37" s="34">
        <v>0.1838154188370934</v>
      </c>
      <c r="J37" s="34">
        <v>0.36549146939731852</v>
      </c>
      <c r="K37" s="34">
        <v>0.21480164676652186</v>
      </c>
      <c r="L37" s="34">
        <v>0.49810370945346655</v>
      </c>
      <c r="M37" s="34">
        <v>0.9483856664270256</v>
      </c>
      <c r="N37" s="34">
        <v>-1.2657567938578898E-2</v>
      </c>
      <c r="O37" s="34">
        <v>7.2132571428926942E-2</v>
      </c>
      <c r="P37" s="34">
        <v>0.27857178735228311</v>
      </c>
      <c r="Q37" s="34">
        <v>3.18904682284257E-2</v>
      </c>
    </row>
    <row r="38" spans="1:17" x14ac:dyDescent="0.3">
      <c r="A38" s="3" t="s">
        <v>317</v>
      </c>
      <c r="B38" s="34">
        <v>-0.18860107180052982</v>
      </c>
      <c r="C38" s="34">
        <v>-8.3406317572866706E-2</v>
      </c>
      <c r="D38" s="34">
        <v>2.3638886496041695E-2</v>
      </c>
      <c r="E38" s="34">
        <v>-5.4329120459430995E-2</v>
      </c>
      <c r="F38" s="34">
        <v>0.40014038337728003</v>
      </c>
      <c r="G38" s="34">
        <v>0.33480919676572463</v>
      </c>
      <c r="H38" s="34">
        <v>9.8684101634923069E-2</v>
      </c>
      <c r="I38" s="34">
        <v>0.14930966036498156</v>
      </c>
      <c r="J38" s="34">
        <v>0.19771855663169216</v>
      </c>
      <c r="K38" s="34">
        <v>0.1255693537270596</v>
      </c>
      <c r="L38" s="34">
        <v>0.28338788597886461</v>
      </c>
      <c r="M38" s="34">
        <v>0.43011095172750763</v>
      </c>
      <c r="N38" s="34">
        <v>6.1249483109787214E-2</v>
      </c>
      <c r="O38" s="34">
        <v>7.8694585774881726E-2</v>
      </c>
      <c r="P38" s="34">
        <v>0.21357627193521037</v>
      </c>
      <c r="Q38" s="34">
        <v>7.856350237897515E-2</v>
      </c>
    </row>
    <row r="39" spans="1:17" x14ac:dyDescent="0.3">
      <c r="A39" s="3" t="s">
        <v>318</v>
      </c>
      <c r="B39" s="34">
        <v>-0.10293977347337147</v>
      </c>
      <c r="C39" s="34">
        <v>1.0571121000859432E-2</v>
      </c>
      <c r="D39" s="34">
        <v>-3.0312516592767534E-3</v>
      </c>
      <c r="E39" s="34">
        <v>3.9017397420560702E-3</v>
      </c>
      <c r="F39" s="34">
        <v>8.4194548788970897E-2</v>
      </c>
      <c r="G39" s="34">
        <v>9.8684101634923041E-2</v>
      </c>
      <c r="H39" s="34">
        <v>0.22367163684162455</v>
      </c>
      <c r="I39" s="34">
        <v>0.10649937624236157</v>
      </c>
      <c r="J39" s="34">
        <v>0.1020514353990513</v>
      </c>
      <c r="K39" s="34">
        <v>0.11055358377893093</v>
      </c>
      <c r="L39" s="34">
        <v>9.1233691543333564E-2</v>
      </c>
      <c r="M39" s="34">
        <v>7.6187065515164507E-2</v>
      </c>
      <c r="N39" s="34">
        <v>0.11668072789430842</v>
      </c>
      <c r="O39" s="34">
        <v>0.11537914546898635</v>
      </c>
      <c r="P39" s="34">
        <v>9.8310521930513636E-2</v>
      </c>
      <c r="Q39" s="34">
        <v>0.11477122011566021</v>
      </c>
    </row>
    <row r="40" spans="1:17" x14ac:dyDescent="0.3">
      <c r="A40" s="3" t="s">
        <v>319</v>
      </c>
      <c r="B40" s="34">
        <v>-0.13546018984261474</v>
      </c>
      <c r="C40" s="34">
        <v>-3.524065791565896E-2</v>
      </c>
      <c r="D40" s="34">
        <v>1.0166890943665706E-2</v>
      </c>
      <c r="E40" s="34">
        <v>-7.7775750664455185E-3</v>
      </c>
      <c r="F40" s="34">
        <v>0.18381541883709343</v>
      </c>
      <c r="G40" s="34">
        <v>0.14930966036498158</v>
      </c>
      <c r="H40" s="34">
        <v>0.10649937624236158</v>
      </c>
      <c r="I40" s="34">
        <v>0.23719379008351793</v>
      </c>
      <c r="J40" s="34">
        <v>0.13795329263355754</v>
      </c>
      <c r="K40" s="34">
        <v>0.11073539406842497</v>
      </c>
      <c r="L40" s="34">
        <v>0.17394566591362845</v>
      </c>
      <c r="M40" s="34">
        <v>0.21788587624433156</v>
      </c>
      <c r="N40" s="34">
        <v>9.3858143650208878E-2</v>
      </c>
      <c r="O40" s="34">
        <v>9.6603386145790532E-2</v>
      </c>
      <c r="P40" s="34">
        <v>0.15345795426760839</v>
      </c>
      <c r="Q40" s="34">
        <v>9.9724509502487152E-2</v>
      </c>
    </row>
    <row r="41" spans="1:17" x14ac:dyDescent="0.3">
      <c r="A41" s="3" t="s">
        <v>303</v>
      </c>
      <c r="B41" s="34">
        <v>-0.17317401244986522</v>
      </c>
      <c r="C41" s="34">
        <v>-5.5386873437487188E-2</v>
      </c>
      <c r="D41" s="34">
        <v>1.5471405365149807E-2</v>
      </c>
      <c r="E41" s="34">
        <v>-5.5257793674943927E-2</v>
      </c>
      <c r="F41" s="34">
        <v>0.36549146939731858</v>
      </c>
      <c r="G41" s="34">
        <v>0.19771855663169216</v>
      </c>
      <c r="H41" s="34">
        <v>0.10205143539905133</v>
      </c>
      <c r="I41" s="34">
        <v>0.13795329263355757</v>
      </c>
      <c r="J41" s="34">
        <v>0.29205732493609027</v>
      </c>
      <c r="K41" s="34">
        <v>0.12890692069829932</v>
      </c>
      <c r="L41" s="34">
        <v>0.23809422799281074</v>
      </c>
      <c r="M41" s="34">
        <v>0.35834098013702298</v>
      </c>
      <c r="N41" s="34">
        <v>7.317956810678436E-2</v>
      </c>
      <c r="O41" s="34">
        <v>9.0609644057129388E-2</v>
      </c>
      <c r="P41" s="34">
        <v>0.18035034249970924</v>
      </c>
      <c r="Q41" s="34">
        <v>8.650839935878217E-2</v>
      </c>
    </row>
    <row r="42" spans="1:17" x14ac:dyDescent="0.3">
      <c r="A42" s="3" t="s">
        <v>300</v>
      </c>
      <c r="B42" s="34">
        <v>-0.12616009334142658</v>
      </c>
      <c r="C42" s="34">
        <v>7.5159838345324843E-3</v>
      </c>
      <c r="D42" s="34">
        <v>-2.6002176082652964E-3</v>
      </c>
      <c r="E42" s="34">
        <v>-3.4951047437169439E-2</v>
      </c>
      <c r="F42" s="34">
        <v>0.21480164676652183</v>
      </c>
      <c r="G42" s="34">
        <v>0.12556935372705957</v>
      </c>
      <c r="H42" s="34">
        <v>0.11055358377893093</v>
      </c>
      <c r="I42" s="34">
        <v>0.11073539406842496</v>
      </c>
      <c r="J42" s="34">
        <v>0.12890692069829926</v>
      </c>
      <c r="K42" s="34">
        <v>0.23794394116183812</v>
      </c>
      <c r="L42" s="34">
        <v>0.1217237658651343</v>
      </c>
      <c r="M42" s="34">
        <v>0.15589813658286636</v>
      </c>
      <c r="N42" s="34">
        <v>0.10558981981870254</v>
      </c>
      <c r="O42" s="34">
        <v>0.1161618849262019</v>
      </c>
      <c r="P42" s="34">
        <v>0.1043626591980987</v>
      </c>
      <c r="Q42" s="34">
        <v>0.10783410684646694</v>
      </c>
    </row>
    <row r="43" spans="1:17" x14ac:dyDescent="0.3">
      <c r="A43" s="3" t="s">
        <v>320</v>
      </c>
      <c r="B43" s="34">
        <v>-0.22545134942022882</v>
      </c>
      <c r="C43" s="34">
        <v>-0.14275765049809117</v>
      </c>
      <c r="D43" s="34">
        <v>4.0850386498674514E-2</v>
      </c>
      <c r="E43" s="34">
        <v>-5.990816032274468E-2</v>
      </c>
      <c r="F43" s="34">
        <v>0.49810370945346655</v>
      </c>
      <c r="G43" s="34">
        <v>0.28338788597886455</v>
      </c>
      <c r="H43" s="34">
        <v>9.1233691543333592E-2</v>
      </c>
      <c r="I43" s="34">
        <v>0.17394566591362845</v>
      </c>
      <c r="J43" s="34">
        <v>0.23809422799281071</v>
      </c>
      <c r="K43" s="34">
        <v>0.12172376586513434</v>
      </c>
      <c r="L43" s="34">
        <v>0.49539072498437364</v>
      </c>
      <c r="M43" s="34">
        <v>0.59606116340449611</v>
      </c>
      <c r="N43" s="34">
        <v>3.4082408220143585E-2</v>
      </c>
      <c r="O43" s="34">
        <v>5.3859185061824445E-2</v>
      </c>
      <c r="P43" s="34">
        <v>0.28442668806708521</v>
      </c>
      <c r="Q43" s="34">
        <v>6.0558425977813829E-2</v>
      </c>
    </row>
    <row r="44" spans="1:17" x14ac:dyDescent="0.3">
      <c r="A44" s="3" t="s">
        <v>302</v>
      </c>
      <c r="B44" s="34">
        <v>-0.33207344967799785</v>
      </c>
      <c r="C44" s="34">
        <v>-0.23129661196532408</v>
      </c>
      <c r="D44" s="34">
        <v>6.5424161524304691E-2</v>
      </c>
      <c r="E44" s="34">
        <v>-0.16164458439105053</v>
      </c>
      <c r="F44" s="34">
        <v>0.94838566642702538</v>
      </c>
      <c r="G44" s="34">
        <v>0.43011095172750763</v>
      </c>
      <c r="H44" s="34">
        <v>7.6187065515164507E-2</v>
      </c>
      <c r="I44" s="34">
        <v>0.21788587624433156</v>
      </c>
      <c r="J44" s="34">
        <v>0.35834098013702287</v>
      </c>
      <c r="K44" s="34">
        <v>0.15589813658286641</v>
      </c>
      <c r="L44" s="34">
        <v>0.59606116340449633</v>
      </c>
      <c r="M44" s="34">
        <v>1.1271180988196516</v>
      </c>
      <c r="N44" s="34">
        <v>-2.9921948705181133E-2</v>
      </c>
      <c r="O44" s="34">
        <v>2.1802834447771355E-2</v>
      </c>
      <c r="P44" s="34">
        <v>0.39594531094667629</v>
      </c>
      <c r="Q44" s="34">
        <v>1.91407102666405E-2</v>
      </c>
    </row>
    <row r="45" spans="1:17" x14ac:dyDescent="0.3">
      <c r="A45" s="3" t="s">
        <v>321</v>
      </c>
      <c r="B45" s="34">
        <v>-7.7117210437362332E-2</v>
      </c>
      <c r="C45" s="34">
        <v>3.8097620261039612E-2</v>
      </c>
      <c r="D45" s="34">
        <v>-1.0827463920571453E-2</v>
      </c>
      <c r="E45" s="34">
        <v>2.2281599989620728E-2</v>
      </c>
      <c r="F45" s="34">
        <v>-1.2657567938578857E-2</v>
      </c>
      <c r="G45" s="34">
        <v>6.1249483109787187E-2</v>
      </c>
      <c r="H45" s="34">
        <v>0.11668072789430843</v>
      </c>
      <c r="I45" s="34">
        <v>9.3858143650208836E-2</v>
      </c>
      <c r="J45" s="34">
        <v>7.3179568106784346E-2</v>
      </c>
      <c r="K45" s="34">
        <v>0.10558981981870255</v>
      </c>
      <c r="L45" s="34">
        <v>3.4082408220143551E-2</v>
      </c>
      <c r="M45" s="34">
        <v>-2.9921948705181171E-2</v>
      </c>
      <c r="N45" s="34">
        <v>0.24436063456523249</v>
      </c>
      <c r="O45" s="34">
        <v>0.12605350403259719</v>
      </c>
      <c r="P45" s="34">
        <v>6.4466009275126065E-2</v>
      </c>
      <c r="Q45" s="34">
        <v>0.12558295365657943</v>
      </c>
    </row>
    <row r="46" spans="1:17" x14ac:dyDescent="0.3">
      <c r="A46" s="3" t="s">
        <v>322</v>
      </c>
      <c r="B46" s="34">
        <v>-9.2187514632135661E-2</v>
      </c>
      <c r="C46" s="34">
        <v>3.612693691131412E-2</v>
      </c>
      <c r="D46" s="34">
        <v>-1.055139898430839E-2</v>
      </c>
      <c r="E46" s="34">
        <v>-2.9468822523016315E-3</v>
      </c>
      <c r="F46" s="34">
        <v>7.2132571428926928E-2</v>
      </c>
      <c r="G46" s="34">
        <v>7.8694585774881684E-2</v>
      </c>
      <c r="H46" s="34">
        <v>0.11537914546898638</v>
      </c>
      <c r="I46" s="34">
        <v>9.6603386145790504E-2</v>
      </c>
      <c r="J46" s="34">
        <v>9.0609644057129374E-2</v>
      </c>
      <c r="K46" s="34">
        <v>0.11616188492620193</v>
      </c>
      <c r="L46" s="34">
        <v>5.385918506182439E-2</v>
      </c>
      <c r="M46" s="34">
        <v>2.1802834447771261E-2</v>
      </c>
      <c r="N46" s="34">
        <v>0.12605350403259721</v>
      </c>
      <c r="O46" s="34">
        <v>0.2376784333745601</v>
      </c>
      <c r="P46" s="34">
        <v>6.838028435039803E-2</v>
      </c>
      <c r="Q46" s="34">
        <v>0.12108223114869572</v>
      </c>
    </row>
    <row r="47" spans="1:17" x14ac:dyDescent="0.3">
      <c r="A47" s="3" t="s">
        <v>323</v>
      </c>
      <c r="B47" s="34">
        <v>-0.17431526409044262</v>
      </c>
      <c r="C47" s="34">
        <v>-0.10207739645213119</v>
      </c>
      <c r="D47" s="34">
        <v>2.9605493363445624E-2</v>
      </c>
      <c r="E47" s="34">
        <v>-9.2805261923890898E-3</v>
      </c>
      <c r="F47" s="34">
        <v>0.27857178735228305</v>
      </c>
      <c r="G47" s="34">
        <v>0.21357627193521037</v>
      </c>
      <c r="H47" s="34">
        <v>9.8310521930513678E-2</v>
      </c>
      <c r="I47" s="34">
        <v>0.15345795426760842</v>
      </c>
      <c r="J47" s="34">
        <v>0.18035034249970924</v>
      </c>
      <c r="K47" s="34">
        <v>0.10436265919809871</v>
      </c>
      <c r="L47" s="34">
        <v>0.28442668806708526</v>
      </c>
      <c r="M47" s="34">
        <v>0.39594531094667623</v>
      </c>
      <c r="N47" s="34">
        <v>6.4466009275126107E-2</v>
      </c>
      <c r="O47" s="34">
        <v>6.8380284350398085E-2</v>
      </c>
      <c r="P47" s="34">
        <v>0.3440570753193673</v>
      </c>
      <c r="Q47" s="34">
        <v>8.0193528033677769E-2</v>
      </c>
    </row>
    <row r="48" spans="1:17" x14ac:dyDescent="0.3">
      <c r="A48" s="3" t="s">
        <v>324</v>
      </c>
      <c r="B48" s="34">
        <v>-8.9041553258115205E-2</v>
      </c>
      <c r="C48" s="34">
        <v>2.529851111005945E-2</v>
      </c>
      <c r="D48" s="34">
        <v>-7.200667445669556E-3</v>
      </c>
      <c r="E48" s="34">
        <v>1.3884614759432774E-2</v>
      </c>
      <c r="F48" s="34">
        <v>3.1890468228425672E-2</v>
      </c>
      <c r="G48" s="34">
        <v>7.8563502378975095E-2</v>
      </c>
      <c r="H48" s="34">
        <v>0.11477122011566021</v>
      </c>
      <c r="I48" s="34">
        <v>9.9724509502487138E-2</v>
      </c>
      <c r="J48" s="34">
        <v>8.6508399358782129E-2</v>
      </c>
      <c r="K48" s="34">
        <v>0.10783410684646694</v>
      </c>
      <c r="L48" s="34">
        <v>6.0558425977813773E-2</v>
      </c>
      <c r="M48" s="34">
        <v>1.9140710266640437E-2</v>
      </c>
      <c r="N48" s="34">
        <v>0.12558295365657945</v>
      </c>
      <c r="O48" s="34">
        <v>0.12108223114869569</v>
      </c>
      <c r="P48" s="34">
        <v>8.0193528033677727E-2</v>
      </c>
      <c r="Q48" s="34">
        <v>0.23169013684129325</v>
      </c>
    </row>
    <row r="50" spans="1:3" x14ac:dyDescent="0.3">
      <c r="A50" s="3" t="s">
        <v>326</v>
      </c>
      <c r="B50" s="3" t="s">
        <v>327</v>
      </c>
      <c r="C50" s="3" t="s">
        <v>328</v>
      </c>
    </row>
    <row r="51" spans="1:3" x14ac:dyDescent="0.3">
      <c r="A51" s="3" t="s">
        <v>313</v>
      </c>
      <c r="B51" s="47">
        <f t="array" ref="B51:B66">MMULT(TRANSPOSE($G$119:$V$235),$F$119:$F$235)</f>
        <v>220006</v>
      </c>
      <c r="C51" s="48">
        <f t="array" ref="C51:C66">MMULT(B33:Q48,B51:B66)</f>
        <v>1387.7212329361278</v>
      </c>
    </row>
    <row r="52" spans="1:3" x14ac:dyDescent="0.3">
      <c r="A52" s="3" t="s">
        <v>314</v>
      </c>
      <c r="B52" s="47">
        <v>131004.68814177951</v>
      </c>
      <c r="C52" s="48">
        <v>407.97629575135159</v>
      </c>
    </row>
    <row r="53" spans="1:3" x14ac:dyDescent="0.3">
      <c r="A53" s="3" t="s">
        <v>315</v>
      </c>
      <c r="B53" s="47">
        <v>-2127.5740138983133</v>
      </c>
      <c r="C53" s="48">
        <v>-130.43427201830758</v>
      </c>
    </row>
    <row r="54" spans="1:3" x14ac:dyDescent="0.3">
      <c r="A54" s="3" t="s">
        <v>316</v>
      </c>
      <c r="B54" s="47">
        <v>205303.99092844117</v>
      </c>
      <c r="C54" s="48">
        <v>565.40427180134679</v>
      </c>
    </row>
    <row r="55" spans="1:3" ht="26.4" x14ac:dyDescent="0.3">
      <c r="A55" s="3" t="s">
        <v>299</v>
      </c>
      <c r="B55" s="47">
        <v>63676</v>
      </c>
      <c r="C55" s="48">
        <v>3842.7012120312706</v>
      </c>
    </row>
    <row r="56" spans="1:3" x14ac:dyDescent="0.3">
      <c r="A56" s="3" t="s">
        <v>317</v>
      </c>
      <c r="B56" s="47">
        <v>17465</v>
      </c>
      <c r="C56" s="48">
        <v>361.8179994558451</v>
      </c>
    </row>
    <row r="57" spans="1:3" x14ac:dyDescent="0.3">
      <c r="A57" s="3" t="s">
        <v>318</v>
      </c>
      <c r="B57" s="47">
        <v>6450</v>
      </c>
      <c r="C57" s="48">
        <v>-52.933326801805379</v>
      </c>
    </row>
    <row r="58" spans="1:3" x14ac:dyDescent="0.3">
      <c r="A58" s="3" t="s">
        <v>319</v>
      </c>
      <c r="B58" s="47">
        <v>8226</v>
      </c>
      <c r="C58" s="48">
        <v>-138.9061066934737</v>
      </c>
    </row>
    <row r="59" spans="1:3" x14ac:dyDescent="0.3">
      <c r="A59" s="3" t="s">
        <v>303</v>
      </c>
      <c r="B59" s="47">
        <v>17692</v>
      </c>
      <c r="C59" s="48">
        <v>506.62357687391858</v>
      </c>
    </row>
    <row r="60" spans="1:3" x14ac:dyDescent="0.3">
      <c r="A60" s="3" t="s">
        <v>300</v>
      </c>
      <c r="B60" s="47">
        <v>15284</v>
      </c>
      <c r="C60" s="48">
        <v>656.47186927058772</v>
      </c>
    </row>
    <row r="61" spans="1:3" x14ac:dyDescent="0.3">
      <c r="A61" s="3" t="s">
        <v>320</v>
      </c>
      <c r="B61" s="47">
        <v>19336</v>
      </c>
      <c r="C61" s="48">
        <v>266.20805575143731</v>
      </c>
    </row>
    <row r="62" spans="1:3" x14ac:dyDescent="0.3">
      <c r="A62" s="3" t="s">
        <v>302</v>
      </c>
      <c r="B62" s="47">
        <v>38957</v>
      </c>
      <c r="C62" s="48">
        <v>1372.2044540359066</v>
      </c>
    </row>
    <row r="63" spans="1:3" x14ac:dyDescent="0.3">
      <c r="A63" s="3" t="s">
        <v>321</v>
      </c>
      <c r="B63" s="47">
        <v>3366</v>
      </c>
      <c r="C63" s="48">
        <v>-149.79417085118007</v>
      </c>
    </row>
    <row r="64" spans="1:3" x14ac:dyDescent="0.3">
      <c r="A64" s="3" t="s">
        <v>322</v>
      </c>
      <c r="B64" s="47">
        <v>7885</v>
      </c>
      <c r="C64" s="48">
        <v>175.65904104344406</v>
      </c>
    </row>
    <row r="65" spans="1:12" x14ac:dyDescent="0.3">
      <c r="A65" s="3" t="s">
        <v>323</v>
      </c>
      <c r="B65" s="47">
        <v>8954</v>
      </c>
      <c r="C65" s="48">
        <v>-368.00004933798112</v>
      </c>
    </row>
    <row r="66" spans="1:12" x14ac:dyDescent="0.3">
      <c r="A66" s="3" t="s">
        <v>324</v>
      </c>
      <c r="B66" s="47">
        <v>5128</v>
      </c>
      <c r="C66" s="48">
        <v>-67.317471836385039</v>
      </c>
    </row>
    <row r="68" spans="1:12" x14ac:dyDescent="0.3">
      <c r="A68" s="13" t="s">
        <v>556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 ht="26.4" x14ac:dyDescent="0.3">
      <c r="A69" s="3" t="s">
        <v>56</v>
      </c>
      <c r="B69" s="3" t="s">
        <v>329</v>
      </c>
      <c r="C69" s="3" t="s">
        <v>330</v>
      </c>
      <c r="D69" s="3" t="s">
        <v>58</v>
      </c>
    </row>
    <row r="70" spans="1:12" x14ac:dyDescent="0.3">
      <c r="A70" s="11" t="s">
        <v>331</v>
      </c>
      <c r="B70" s="34">
        <f t="shared" ref="B70:B85" si="0">C51</f>
        <v>1387.7212329361278</v>
      </c>
      <c r="C70" s="27">
        <f>B70-(B71*B6/C6+B72*B7/C7+B73*B8/C8)</f>
        <v>101492.97015900297</v>
      </c>
      <c r="D70" s="2" t="s">
        <v>332</v>
      </c>
    </row>
    <row r="71" spans="1:12" x14ac:dyDescent="0.3">
      <c r="A71" s="11" t="s">
        <v>333</v>
      </c>
      <c r="B71" s="34">
        <f t="shared" si="0"/>
        <v>407.97629575135159</v>
      </c>
      <c r="C71" s="27">
        <f>B71/C6</f>
        <v>5.5560161160976597E-3</v>
      </c>
      <c r="D71" s="2" t="s">
        <v>334</v>
      </c>
    </row>
    <row r="72" spans="1:12" x14ac:dyDescent="0.3">
      <c r="A72" s="11" t="s">
        <v>335</v>
      </c>
      <c r="B72" s="34">
        <f t="shared" si="0"/>
        <v>-130.43427201830758</v>
      </c>
      <c r="C72" s="27">
        <f>B72/C7</f>
        <v>-50.300628542304736</v>
      </c>
      <c r="D72" s="2" t="s">
        <v>336</v>
      </c>
    </row>
    <row r="73" spans="1:12" x14ac:dyDescent="0.3">
      <c r="A73" s="11" t="s">
        <v>337</v>
      </c>
      <c r="B73" s="34">
        <f t="shared" si="0"/>
        <v>565.40427180134679</v>
      </c>
      <c r="C73" s="27">
        <f>B73/C8</f>
        <v>0.31734444437328857</v>
      </c>
      <c r="D73" s="2" t="s">
        <v>338</v>
      </c>
    </row>
    <row r="74" spans="1:12" x14ac:dyDescent="0.3">
      <c r="A74" s="11" t="s">
        <v>339</v>
      </c>
      <c r="B74" s="34">
        <f t="shared" si="0"/>
        <v>3842.7012120312706</v>
      </c>
      <c r="C74" s="27">
        <f t="shared" ref="C74:C85" si="1">B74</f>
        <v>3842.7012120312706</v>
      </c>
      <c r="D74" s="2" t="s">
        <v>340</v>
      </c>
    </row>
    <row r="75" spans="1:12" x14ac:dyDescent="0.3">
      <c r="A75" s="11" t="s">
        <v>341</v>
      </c>
      <c r="B75" s="34">
        <f t="shared" si="0"/>
        <v>361.8179994558451</v>
      </c>
      <c r="C75" s="27">
        <f t="shared" si="1"/>
        <v>361.8179994558451</v>
      </c>
      <c r="D75" s="2"/>
    </row>
    <row r="76" spans="1:12" x14ac:dyDescent="0.3">
      <c r="A76" s="11" t="s">
        <v>342</v>
      </c>
      <c r="B76" s="34">
        <f t="shared" si="0"/>
        <v>-52.933326801805379</v>
      </c>
      <c r="C76" s="27">
        <f t="shared" si="1"/>
        <v>-52.933326801805379</v>
      </c>
      <c r="D76" s="2"/>
    </row>
    <row r="77" spans="1:12" x14ac:dyDescent="0.3">
      <c r="A77" s="11" t="s">
        <v>343</v>
      </c>
      <c r="B77" s="34">
        <f t="shared" si="0"/>
        <v>-138.9061066934737</v>
      </c>
      <c r="C77" s="27">
        <f t="shared" si="1"/>
        <v>-138.9061066934737</v>
      </c>
      <c r="D77" s="2"/>
    </row>
    <row r="78" spans="1:12" x14ac:dyDescent="0.3">
      <c r="A78" s="11" t="s">
        <v>344</v>
      </c>
      <c r="B78" s="34">
        <f t="shared" si="0"/>
        <v>506.62357687391858</v>
      </c>
      <c r="C78" s="27">
        <f t="shared" si="1"/>
        <v>506.62357687391858</v>
      </c>
      <c r="D78" s="2"/>
    </row>
    <row r="79" spans="1:12" x14ac:dyDescent="0.3">
      <c r="A79" s="11" t="s">
        <v>345</v>
      </c>
      <c r="B79" s="34">
        <f t="shared" si="0"/>
        <v>656.47186927058772</v>
      </c>
      <c r="C79" s="27">
        <f t="shared" si="1"/>
        <v>656.47186927058772</v>
      </c>
      <c r="D79" s="2"/>
    </row>
    <row r="80" spans="1:12" x14ac:dyDescent="0.3">
      <c r="A80" s="11" t="s">
        <v>346</v>
      </c>
      <c r="B80" s="34">
        <f t="shared" si="0"/>
        <v>266.20805575143731</v>
      </c>
      <c r="C80" s="27">
        <f t="shared" si="1"/>
        <v>266.20805575143731</v>
      </c>
      <c r="D80" s="2"/>
    </row>
    <row r="81" spans="1:22" x14ac:dyDescent="0.3">
      <c r="A81" s="11" t="s">
        <v>347</v>
      </c>
      <c r="B81" s="34">
        <f t="shared" si="0"/>
        <v>1372.2044540359066</v>
      </c>
      <c r="C81" s="27">
        <f t="shared" si="1"/>
        <v>1372.2044540359066</v>
      </c>
      <c r="D81" s="2"/>
    </row>
    <row r="82" spans="1:22" x14ac:dyDescent="0.3">
      <c r="A82" s="11" t="s">
        <v>348</v>
      </c>
      <c r="B82" s="34">
        <f t="shared" si="0"/>
        <v>-149.79417085118007</v>
      </c>
      <c r="C82" s="27">
        <f t="shared" si="1"/>
        <v>-149.79417085118007</v>
      </c>
      <c r="D82" s="2"/>
    </row>
    <row r="83" spans="1:22" x14ac:dyDescent="0.3">
      <c r="A83" s="11" t="s">
        <v>349</v>
      </c>
      <c r="B83" s="34">
        <f t="shared" si="0"/>
        <v>175.65904104344406</v>
      </c>
      <c r="C83" s="27">
        <f t="shared" si="1"/>
        <v>175.65904104344406</v>
      </c>
      <c r="D83" s="2"/>
    </row>
    <row r="84" spans="1:22" x14ac:dyDescent="0.3">
      <c r="A84" s="11" t="s">
        <v>350</v>
      </c>
      <c r="B84" s="34">
        <f t="shared" si="0"/>
        <v>-368.00004933798112</v>
      </c>
      <c r="C84" s="27">
        <f t="shared" si="1"/>
        <v>-368.00004933798112</v>
      </c>
      <c r="D84" s="2"/>
    </row>
    <row r="85" spans="1:22" x14ac:dyDescent="0.3">
      <c r="A85" s="11" t="s">
        <v>351</v>
      </c>
      <c r="B85" s="34">
        <f t="shared" si="0"/>
        <v>-67.317471836385039</v>
      </c>
      <c r="C85" s="27">
        <f t="shared" si="1"/>
        <v>-67.317471836385039</v>
      </c>
      <c r="D85" s="2"/>
    </row>
    <row r="87" spans="1:22" x14ac:dyDescent="0.3">
      <c r="A87" s="13" t="s">
        <v>352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22" x14ac:dyDescent="0.3">
      <c r="A88" s="11" t="s">
        <v>49</v>
      </c>
      <c r="B88" s="28">
        <f>SUM($Z$119:$Z$235)</f>
        <v>31492074.653707195</v>
      </c>
    </row>
    <row r="89" spans="1:22" x14ac:dyDescent="0.3">
      <c r="A89" s="11" t="s">
        <v>50</v>
      </c>
      <c r="B89" s="28">
        <f>SUM($AA$119:$AA$235)</f>
        <v>417269951.91452974</v>
      </c>
    </row>
    <row r="90" spans="1:22" x14ac:dyDescent="0.3">
      <c r="A90" s="11" t="s">
        <v>51</v>
      </c>
      <c r="B90" s="29">
        <f>1-B88/B89</f>
        <v>0.92452829514990387</v>
      </c>
    </row>
    <row r="91" spans="1:22" x14ac:dyDescent="0.3">
      <c r="A91" s="11" t="s">
        <v>52</v>
      </c>
      <c r="B91" s="28">
        <f>SUM($Y$119:$Y$235)/B9</f>
        <v>352.72115534544906</v>
      </c>
    </row>
    <row r="92" spans="1:22" x14ac:dyDescent="0.3">
      <c r="A92" s="11" t="s">
        <v>53</v>
      </c>
      <c r="B92" s="28">
        <f>SQRT(B88/B9)</f>
        <v>518.80924358406207</v>
      </c>
    </row>
    <row r="93" spans="1:22" x14ac:dyDescent="0.3">
      <c r="A93" s="11" t="s">
        <v>353</v>
      </c>
      <c r="B93" s="29">
        <f>1-(1-B90)*(B9-1)/(B9-15-1)</f>
        <v>0.91331962611276085</v>
      </c>
    </row>
    <row r="94" spans="1:22" x14ac:dyDescent="0.3">
      <c r="A94" s="11" t="s">
        <v>354</v>
      </c>
      <c r="B94" s="32">
        <f>INDEX(LINEST($F$119:$F$235,$H$119:$V$235,TRUE(),TRUE()),3,1)</f>
        <v>0.92452829514990331</v>
      </c>
      <c r="C94" s="33" t="str">
        <f>IF(ABS(B94-B90)&lt;0.00000001,"✔ matches","CHECK")</f>
        <v>✔ matches</v>
      </c>
    </row>
    <row r="96" spans="1:22" x14ac:dyDescent="0.3">
      <c r="A96" s="13" t="s">
        <v>355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spans="1:33" x14ac:dyDescent="0.3">
      <c r="A97" s="2" t="s">
        <v>356</v>
      </c>
    </row>
    <row r="98" spans="1:33" x14ac:dyDescent="0.3">
      <c r="A98" s="11" t="s">
        <v>357</v>
      </c>
      <c r="B98" s="49">
        <f>MAX($AG$119:$AG$235)</f>
        <v>0</v>
      </c>
    </row>
    <row r="99" spans="1:33" x14ac:dyDescent="0.3">
      <c r="A99" s="2" t="s">
        <v>358</v>
      </c>
    </row>
    <row r="100" spans="1:33" x14ac:dyDescent="0.3">
      <c r="A100" s="2" t="s">
        <v>359</v>
      </c>
    </row>
    <row r="101" spans="1:33" x14ac:dyDescent="0.3">
      <c r="A101" s="50" t="s">
        <v>360</v>
      </c>
    </row>
    <row r="103" spans="1:33" x14ac:dyDescent="0.3">
      <c r="A103" s="13" t="s">
        <v>361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33" x14ac:dyDescent="0.3">
      <c r="A104" s="11" t="s">
        <v>2</v>
      </c>
      <c r="B104" s="11" t="str">
        <f>A119</f>
        <v>PRES. QUIRINO AVE.</v>
      </c>
    </row>
    <row r="105" spans="1:33" x14ac:dyDescent="0.3">
      <c r="A105" s="11" t="s">
        <v>362</v>
      </c>
      <c r="B105" s="11" t="str">
        <f>"ŷ = "&amp;TEXT($C$70,"0.0000")&amp;" + "&amp;TEXT($C$71,"0.000000")&amp;"×"&amp;TEXT(C119,"#,##0.0")&amp;" + ("&amp;TEXT($C$72,"0.0000")&amp;")×"&amp;B119&amp;" + "&amp;TEXT($C$73,"0.0000")&amp;"×"&amp;TEXT(D119,"#,##0")&amp;" + "&amp;TEXT(AE119,"0.0000")&amp;" = "&amp;TEXT(W119,"#,##0.00")</f>
        <v>ŷ = 101492.9702 + 0.005556×117,482.0 + (-50.3006)×2016 + 0.3173×887 + 0.0000 = 1,021.12</v>
      </c>
    </row>
    <row r="106" spans="1:33" x14ac:dyDescent="0.3">
      <c r="A106" s="11" t="s">
        <v>363</v>
      </c>
      <c r="B106" s="10">
        <f>F119</f>
        <v>1005</v>
      </c>
      <c r="C106" s="35">
        <f>X119</f>
        <v>-16.119425227120928</v>
      </c>
    </row>
    <row r="110" spans="1:33" x14ac:dyDescent="0.3">
      <c r="A110" s="13" t="s">
        <v>364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2" spans="1:33" x14ac:dyDescent="0.3">
      <c r="F112" s="2" t="s">
        <v>365</v>
      </c>
      <c r="K112" s="9">
        <f>DATASETS!H16</f>
        <v>438.7</v>
      </c>
      <c r="L112" s="9">
        <f>DATASETS!H26</f>
        <v>60.8</v>
      </c>
      <c r="M112" s="9">
        <f>DATASETS!H36</f>
        <v>42</v>
      </c>
      <c r="N112" s="9">
        <f>DATASETS!H46</f>
        <v>396.48</v>
      </c>
      <c r="O112" s="9">
        <f>DATASETS!H56</f>
        <v>72.599999999999994</v>
      </c>
      <c r="P112" s="9">
        <f>DATASETS!H66</f>
        <v>85</v>
      </c>
      <c r="Q112" s="9">
        <f>DATASETS!H76</f>
        <v>61</v>
      </c>
      <c r="R112" s="9">
        <f>DATASETS!H86</f>
        <v>223.20000000000002</v>
      </c>
      <c r="S112" s="9">
        <f>DATASETS!H96</f>
        <v>32.865000000000002</v>
      </c>
      <c r="T112" s="9">
        <f>DATASETS!H106</f>
        <v>97</v>
      </c>
      <c r="U112" s="9">
        <f>DATASETS!H116</f>
        <v>705</v>
      </c>
      <c r="V112" s="9">
        <f>DATASETS!H126</f>
        <v>4109.13</v>
      </c>
    </row>
    <row r="113" spans="1:33" ht="66.599999999999994" x14ac:dyDescent="0.3">
      <c r="K113" s="41" t="str">
        <f>DATASETS!A16</f>
        <v>C.P. GARCIA /KATIPUNAN AVE. / TANDANG SORA</v>
      </c>
      <c r="L113" s="41" t="str">
        <f>DATASETS!A26</f>
        <v>ROXAS BLVD.</v>
      </c>
      <c r="M113" s="41" t="str">
        <f>DATASETS!A36</f>
        <v>TAFT AVE.</v>
      </c>
      <c r="N113" s="41" t="str">
        <f>DATASETS!A46</f>
        <v>SSH</v>
      </c>
      <c r="O113" s="41" t="str">
        <f>DATASETS!A56</f>
        <v>ORTIGAS AVE.</v>
      </c>
      <c r="P113" s="41" t="str">
        <f>DATASETS!A66</f>
        <v>R-6 MAGSAYSAY / AURORA BLVD.</v>
      </c>
      <c r="Q113" s="41" t="str">
        <f>DATASETS!A76</f>
        <v>QUEZON AVE.</v>
      </c>
      <c r="R113" s="41" t="str">
        <f>DATASETS!A86</f>
        <v>COMMONWEALTH AVE.</v>
      </c>
      <c r="S113" s="41" t="str">
        <f>DATASETS!A96</f>
        <v>RIZAL AVE.</v>
      </c>
      <c r="T113" s="41" t="str">
        <f>DATASETS!A106</f>
        <v>DEL PAN</v>
      </c>
      <c r="U113" s="41" t="str">
        <f>DATASETS!A116</f>
        <v>MARCOS HIGHWAY</v>
      </c>
      <c r="V113" s="41" t="str">
        <f>DATASETS!A126</f>
        <v>MCARTHUR HIGHWAY</v>
      </c>
    </row>
    <row r="114" spans="1:33" x14ac:dyDescent="0.3">
      <c r="A114" s="11" t="s">
        <v>366</v>
      </c>
      <c r="B114" s="9">
        <f>DATASETS!H6</f>
        <v>28.8</v>
      </c>
    </row>
    <row r="116" spans="1:33" x14ac:dyDescent="0.3">
      <c r="F116" s="2" t="s">
        <v>367</v>
      </c>
      <c r="K116" s="32">
        <f>C74</f>
        <v>3842.7012120312706</v>
      </c>
      <c r="L116" s="32">
        <f>C75</f>
        <v>361.8179994558451</v>
      </c>
      <c r="M116" s="32">
        <f>C76</f>
        <v>-52.933326801805379</v>
      </c>
      <c r="N116" s="32">
        <f>C77</f>
        <v>-138.9061066934737</v>
      </c>
      <c r="O116" s="32">
        <f>C78</f>
        <v>506.62357687391858</v>
      </c>
      <c r="P116" s="32">
        <f>C79</f>
        <v>656.47186927058772</v>
      </c>
      <c r="Q116" s="32">
        <f>C80</f>
        <v>266.20805575143731</v>
      </c>
      <c r="R116" s="32">
        <f>C81</f>
        <v>1372.2044540359066</v>
      </c>
      <c r="S116" s="32">
        <f>C82</f>
        <v>-149.79417085118007</v>
      </c>
      <c r="T116" s="32">
        <f>C83</f>
        <v>175.65904104344406</v>
      </c>
      <c r="U116" s="32">
        <f>C84</f>
        <v>-368.00004933798112</v>
      </c>
      <c r="V116" s="32">
        <f>C85</f>
        <v>-67.317471836385039</v>
      </c>
    </row>
    <row r="118" spans="1:33" ht="55.5" customHeight="1" x14ac:dyDescent="0.3">
      <c r="A118" s="3" t="s">
        <v>2</v>
      </c>
      <c r="B118" s="3" t="s">
        <v>3</v>
      </c>
      <c r="C118" s="3" t="s">
        <v>144</v>
      </c>
      <c r="D118" s="3" t="s">
        <v>145</v>
      </c>
      <c r="E118" s="3" t="s">
        <v>146</v>
      </c>
      <c r="F118" s="3" t="s">
        <v>368</v>
      </c>
      <c r="G118" s="3" t="s">
        <v>313</v>
      </c>
      <c r="H118" s="3" t="s">
        <v>314</v>
      </c>
      <c r="I118" s="3" t="s">
        <v>315</v>
      </c>
      <c r="J118" s="3" t="s">
        <v>316</v>
      </c>
      <c r="K118" s="3" t="s">
        <v>369</v>
      </c>
      <c r="L118" s="3" t="s">
        <v>370</v>
      </c>
      <c r="M118" s="3" t="s">
        <v>371</v>
      </c>
      <c r="N118" s="3" t="s">
        <v>372</v>
      </c>
      <c r="O118" s="3" t="s">
        <v>373</v>
      </c>
      <c r="P118" s="3" t="s">
        <v>374</v>
      </c>
      <c r="Q118" s="3" t="s">
        <v>375</v>
      </c>
      <c r="R118" s="3" t="s">
        <v>376</v>
      </c>
      <c r="S118" s="3" t="s">
        <v>377</v>
      </c>
      <c r="T118" s="3" t="s">
        <v>378</v>
      </c>
      <c r="U118" s="3" t="s">
        <v>379</v>
      </c>
      <c r="V118" s="3" t="s">
        <v>380</v>
      </c>
      <c r="W118" s="3" t="s">
        <v>381</v>
      </c>
      <c r="X118" s="3" t="s">
        <v>382</v>
      </c>
      <c r="Y118" s="3" t="s">
        <v>383</v>
      </c>
      <c r="Z118" s="3" t="s">
        <v>384</v>
      </c>
      <c r="AA118" s="3" t="s">
        <v>385</v>
      </c>
      <c r="AB118" s="3" t="s">
        <v>386</v>
      </c>
      <c r="AC118" s="3" t="s">
        <v>387</v>
      </c>
      <c r="AD118" s="3" t="s">
        <v>388</v>
      </c>
      <c r="AE118" s="3" t="s">
        <v>389</v>
      </c>
      <c r="AF118" s="3" t="s">
        <v>390</v>
      </c>
      <c r="AG118" s="3" t="s">
        <v>391</v>
      </c>
    </row>
    <row r="119" spans="1:33" x14ac:dyDescent="0.3">
      <c r="A119" s="4" t="str">
        <f>DATASETS!A6</f>
        <v>PRES. QUIRINO AVE.</v>
      </c>
      <c r="B119" s="4">
        <f>DATASETS!B6</f>
        <v>2016</v>
      </c>
      <c r="C119" s="9">
        <f>DATASETS!C6</f>
        <v>117482</v>
      </c>
      <c r="D119" s="6">
        <f>DATASETS!I6</f>
        <v>887</v>
      </c>
      <c r="E119" s="9">
        <f>DATASETS!H6</f>
        <v>28.8</v>
      </c>
      <c r="F119" s="6">
        <f>DATASETS!D6</f>
        <v>1005</v>
      </c>
      <c r="G119" s="11">
        <v>1</v>
      </c>
      <c r="H119" s="32">
        <f t="shared" ref="H119:H150" si="2">(C119-$B$6)/$C$6</f>
        <v>-0.6730245314170118</v>
      </c>
      <c r="I119" s="32">
        <f t="shared" ref="I119:I150" si="3">(B119-$B$7)/$C$7</f>
        <v>-1.5425586470170847</v>
      </c>
      <c r="J119" s="32">
        <f t="shared" ref="J119:J150" si="4">(D119-$B$8)/$C$8</f>
        <v>-0.51861346159751487</v>
      </c>
      <c r="K119" s="11">
        <f t="shared" ref="K119:V128" si="5">IF($A119=K$113,1,0)</f>
        <v>0</v>
      </c>
      <c r="L119" s="11">
        <f t="shared" si="5"/>
        <v>0</v>
      </c>
      <c r="M119" s="11">
        <f t="shared" si="5"/>
        <v>0</v>
      </c>
      <c r="N119" s="11">
        <f t="shared" si="5"/>
        <v>0</v>
      </c>
      <c r="O119" s="11">
        <f t="shared" si="5"/>
        <v>0</v>
      </c>
      <c r="P119" s="11">
        <f t="shared" si="5"/>
        <v>0</v>
      </c>
      <c r="Q119" s="11">
        <f t="shared" si="5"/>
        <v>0</v>
      </c>
      <c r="R119" s="11">
        <f t="shared" si="5"/>
        <v>0</v>
      </c>
      <c r="S119" s="11">
        <f t="shared" si="5"/>
        <v>0</v>
      </c>
      <c r="T119" s="11">
        <f t="shared" si="5"/>
        <v>0</v>
      </c>
      <c r="U119" s="11">
        <f t="shared" si="5"/>
        <v>0</v>
      </c>
      <c r="V119" s="11">
        <f t="shared" si="5"/>
        <v>0</v>
      </c>
      <c r="W119" s="35">
        <f t="shared" ref="W119:W150" si="6">$C$70+$C$71*C119+$C$72*B119+$C$73*D119+AE119</f>
        <v>1021.1194252271209</v>
      </c>
      <c r="X119" s="35">
        <f t="shared" ref="X119:X150" si="7">F119-W119</f>
        <v>-16.119425227120928</v>
      </c>
      <c r="Y119" s="35">
        <f t="shared" ref="Y119:Y150" si="8">ABS(X119)</f>
        <v>16.119425227120928</v>
      </c>
      <c r="Z119" s="35">
        <f t="shared" ref="Z119:Z150" si="9">X119^2</f>
        <v>259.83586965274259</v>
      </c>
      <c r="AA119" s="35">
        <f t="shared" ref="AA119:AA150" si="10">(F119-$B$11)^2</f>
        <v>766313.18876470148</v>
      </c>
      <c r="AB119" s="35">
        <f t="shared" ref="AB119:AB150" si="11">$C$71*C119</f>
        <v>652.73188535138524</v>
      </c>
      <c r="AC119" s="35">
        <f t="shared" ref="AC119:AC150" si="12">$C$72*B119</f>
        <v>-101406.06714128634</v>
      </c>
      <c r="AD119" s="35">
        <f t="shared" ref="AD119:AD150" si="13">$C$73*D119</f>
        <v>281.48452215910697</v>
      </c>
      <c r="AE119" s="35">
        <f t="shared" ref="AE119:AE150" si="14">SUMPRODUCT(K119:V119,$K$116:$V$116)</f>
        <v>0</v>
      </c>
      <c r="AF119" s="40">
        <f t="shared" ref="AF119:AF150" si="15">$B$114*(1-SUM(K119:V119))+SUMPRODUCT(K119:V119,$K$112:$V$112)</f>
        <v>28.8</v>
      </c>
      <c r="AG119" s="34">
        <f t="shared" ref="AG119:AG150" si="16">ABS(E119-AF119)</f>
        <v>0</v>
      </c>
    </row>
    <row r="120" spans="1:33" x14ac:dyDescent="0.3">
      <c r="A120" s="4" t="str">
        <f>DATASETS!A7</f>
        <v>PRES. QUIRINO AVE.</v>
      </c>
      <c r="B120" s="4">
        <f>DATASETS!B7</f>
        <v>2017</v>
      </c>
      <c r="C120" s="9">
        <f>DATASETS!C7</f>
        <v>105118</v>
      </c>
      <c r="D120" s="6">
        <f>DATASETS!I7</f>
        <v>1005</v>
      </c>
      <c r="E120" s="9">
        <f>DATASETS!H7</f>
        <v>28.8</v>
      </c>
      <c r="F120" s="6">
        <f>DATASETS!D7</f>
        <v>868</v>
      </c>
      <c r="G120" s="11">
        <v>1</v>
      </c>
      <c r="H120" s="32">
        <f t="shared" si="2"/>
        <v>-0.84140339061744585</v>
      </c>
      <c r="I120" s="32">
        <f t="shared" si="3"/>
        <v>-1.1569189852628134</v>
      </c>
      <c r="J120" s="32">
        <f t="shared" si="4"/>
        <v>-0.45238360394761579</v>
      </c>
      <c r="K120" s="11">
        <f t="shared" si="5"/>
        <v>0</v>
      </c>
      <c r="L120" s="11">
        <f t="shared" si="5"/>
        <v>0</v>
      </c>
      <c r="M120" s="11">
        <f t="shared" si="5"/>
        <v>0</v>
      </c>
      <c r="N120" s="11">
        <f t="shared" si="5"/>
        <v>0</v>
      </c>
      <c r="O120" s="11">
        <f t="shared" si="5"/>
        <v>0</v>
      </c>
      <c r="P120" s="11">
        <f t="shared" si="5"/>
        <v>0</v>
      </c>
      <c r="Q120" s="11">
        <f t="shared" si="5"/>
        <v>0</v>
      </c>
      <c r="R120" s="11">
        <f t="shared" si="5"/>
        <v>0</v>
      </c>
      <c r="S120" s="11">
        <f t="shared" si="5"/>
        <v>0</v>
      </c>
      <c r="T120" s="11">
        <f t="shared" si="5"/>
        <v>0</v>
      </c>
      <c r="U120" s="11">
        <f t="shared" si="5"/>
        <v>0</v>
      </c>
      <c r="V120" s="11">
        <f t="shared" si="5"/>
        <v>0</v>
      </c>
      <c r="W120" s="35">
        <f t="shared" si="6"/>
        <v>939.57085786142989</v>
      </c>
      <c r="X120" s="35">
        <f t="shared" si="7"/>
        <v>-71.570857861429886</v>
      </c>
      <c r="Y120" s="35">
        <f t="shared" si="8"/>
        <v>71.570857861429886</v>
      </c>
      <c r="Z120" s="35">
        <f t="shared" si="9"/>
        <v>5122.3876950209997</v>
      </c>
      <c r="AA120" s="35">
        <f t="shared" si="10"/>
        <v>1024939.915260428</v>
      </c>
      <c r="AB120" s="35">
        <f t="shared" si="11"/>
        <v>584.03730209195385</v>
      </c>
      <c r="AC120" s="35">
        <f t="shared" si="12"/>
        <v>-101456.36776982865</v>
      </c>
      <c r="AD120" s="35">
        <f t="shared" si="13"/>
        <v>318.93116659515499</v>
      </c>
      <c r="AE120" s="35">
        <f t="shared" si="14"/>
        <v>0</v>
      </c>
      <c r="AF120" s="40">
        <f t="shared" si="15"/>
        <v>28.8</v>
      </c>
      <c r="AG120" s="34">
        <f t="shared" si="16"/>
        <v>0</v>
      </c>
    </row>
    <row r="121" spans="1:33" x14ac:dyDescent="0.3">
      <c r="A121" s="4" t="str">
        <f>DATASETS!A8</f>
        <v>PRES. QUIRINO AVE.</v>
      </c>
      <c r="B121" s="4">
        <f>DATASETS!B8</f>
        <v>2018</v>
      </c>
      <c r="C121" s="9">
        <f>DATASETS!C8</f>
        <v>108592</v>
      </c>
      <c r="D121" s="6">
        <f>DATASETS!I8</f>
        <v>868</v>
      </c>
      <c r="E121" s="9">
        <f>DATASETS!H8</f>
        <v>28.8</v>
      </c>
      <c r="F121" s="6">
        <f>DATASETS!D8</f>
        <v>953</v>
      </c>
      <c r="G121" s="11">
        <v>1</v>
      </c>
      <c r="H121" s="32">
        <f t="shared" si="2"/>
        <v>-0.79409279882981176</v>
      </c>
      <c r="I121" s="32">
        <f t="shared" si="3"/>
        <v>-0.77127932350854234</v>
      </c>
      <c r="J121" s="32">
        <f t="shared" si="4"/>
        <v>-0.52927759121910878</v>
      </c>
      <c r="K121" s="11">
        <f t="shared" si="5"/>
        <v>0</v>
      </c>
      <c r="L121" s="11">
        <f t="shared" si="5"/>
        <v>0</v>
      </c>
      <c r="M121" s="11">
        <f t="shared" si="5"/>
        <v>0</v>
      </c>
      <c r="N121" s="11">
        <f t="shared" si="5"/>
        <v>0</v>
      </c>
      <c r="O121" s="11">
        <f t="shared" si="5"/>
        <v>0</v>
      </c>
      <c r="P121" s="11">
        <f t="shared" si="5"/>
        <v>0</v>
      </c>
      <c r="Q121" s="11">
        <f t="shared" si="5"/>
        <v>0</v>
      </c>
      <c r="R121" s="11">
        <f t="shared" si="5"/>
        <v>0</v>
      </c>
      <c r="S121" s="11">
        <f t="shared" si="5"/>
        <v>0</v>
      </c>
      <c r="T121" s="11">
        <f t="shared" si="5"/>
        <v>0</v>
      </c>
      <c r="U121" s="11">
        <f t="shared" si="5"/>
        <v>0</v>
      </c>
      <c r="V121" s="11">
        <f t="shared" si="5"/>
        <v>0</v>
      </c>
      <c r="W121" s="35">
        <f t="shared" si="6"/>
        <v>865.09564042731733</v>
      </c>
      <c r="X121" s="35">
        <f t="shared" si="7"/>
        <v>87.904359572682665</v>
      </c>
      <c r="Y121" s="35">
        <f t="shared" si="8"/>
        <v>87.904359572682665</v>
      </c>
      <c r="Z121" s="35">
        <f t="shared" si="9"/>
        <v>7727.1764318834867</v>
      </c>
      <c r="AA121" s="35">
        <f t="shared" si="10"/>
        <v>860058.07765359036</v>
      </c>
      <c r="AB121" s="35">
        <f t="shared" si="11"/>
        <v>603.33890207927709</v>
      </c>
      <c r="AC121" s="35">
        <f t="shared" si="12"/>
        <v>-101506.66839837095</v>
      </c>
      <c r="AD121" s="35">
        <f t="shared" si="13"/>
        <v>275.45497771601447</v>
      </c>
      <c r="AE121" s="35">
        <f t="shared" si="14"/>
        <v>0</v>
      </c>
      <c r="AF121" s="40">
        <f t="shared" si="15"/>
        <v>28.8</v>
      </c>
      <c r="AG121" s="34">
        <f t="shared" si="16"/>
        <v>0</v>
      </c>
    </row>
    <row r="122" spans="1:33" x14ac:dyDescent="0.3">
      <c r="A122" s="4" t="str">
        <f>DATASETS!A9</f>
        <v>PRES. QUIRINO AVE.</v>
      </c>
      <c r="B122" s="4">
        <f>DATASETS!B9</f>
        <v>2019</v>
      </c>
      <c r="C122" s="9">
        <f>DATASETS!C9</f>
        <v>116767</v>
      </c>
      <c r="D122" s="6">
        <f>DATASETS!I9</f>
        <v>953</v>
      </c>
      <c r="E122" s="9">
        <f>DATASETS!H9</f>
        <v>28.8</v>
      </c>
      <c r="F122" s="6">
        <f>DATASETS!D9</f>
        <v>1127</v>
      </c>
      <c r="G122" s="11">
        <v>1</v>
      </c>
      <c r="H122" s="32">
        <f t="shared" si="2"/>
        <v>-0.68276174302557779</v>
      </c>
      <c r="I122" s="32">
        <f t="shared" si="3"/>
        <v>-0.38563966175427117</v>
      </c>
      <c r="J122" s="32">
        <f t="shared" si="4"/>
        <v>-0.48156964291197807</v>
      </c>
      <c r="K122" s="11">
        <f t="shared" si="5"/>
        <v>0</v>
      </c>
      <c r="L122" s="11">
        <f t="shared" si="5"/>
        <v>0</v>
      </c>
      <c r="M122" s="11">
        <f t="shared" si="5"/>
        <v>0</v>
      </c>
      <c r="N122" s="11">
        <f t="shared" si="5"/>
        <v>0</v>
      </c>
      <c r="O122" s="11">
        <f t="shared" si="5"/>
        <v>0</v>
      </c>
      <c r="P122" s="11">
        <f t="shared" si="5"/>
        <v>0</v>
      </c>
      <c r="Q122" s="11">
        <f t="shared" si="5"/>
        <v>0</v>
      </c>
      <c r="R122" s="11">
        <f t="shared" si="5"/>
        <v>0</v>
      </c>
      <c r="S122" s="11">
        <f t="shared" si="5"/>
        <v>0</v>
      </c>
      <c r="T122" s="11">
        <f t="shared" si="5"/>
        <v>0</v>
      </c>
      <c r="U122" s="11">
        <f t="shared" si="5"/>
        <v>0</v>
      </c>
      <c r="V122" s="11">
        <f t="shared" si="5"/>
        <v>0</v>
      </c>
      <c r="W122" s="35">
        <f t="shared" si="6"/>
        <v>887.18972140583833</v>
      </c>
      <c r="X122" s="35">
        <f t="shared" si="7"/>
        <v>239.81027859416167</v>
      </c>
      <c r="Y122" s="35">
        <f t="shared" si="8"/>
        <v>239.81027859416167</v>
      </c>
      <c r="Z122" s="35">
        <f t="shared" si="9"/>
        <v>57508.969719409433</v>
      </c>
      <c r="AA122" s="35">
        <f t="shared" si="10"/>
        <v>567601.25714076986</v>
      </c>
      <c r="AB122" s="35">
        <f t="shared" si="11"/>
        <v>648.75933382837547</v>
      </c>
      <c r="AC122" s="35">
        <f t="shared" si="12"/>
        <v>-101556.96902691326</v>
      </c>
      <c r="AD122" s="35">
        <f t="shared" si="13"/>
        <v>302.429255487744</v>
      </c>
      <c r="AE122" s="35">
        <f t="shared" si="14"/>
        <v>0</v>
      </c>
      <c r="AF122" s="40">
        <f t="shared" si="15"/>
        <v>28.8</v>
      </c>
      <c r="AG122" s="34">
        <f t="shared" si="16"/>
        <v>0</v>
      </c>
    </row>
    <row r="123" spans="1:33" x14ac:dyDescent="0.3">
      <c r="A123" s="4" t="str">
        <f>DATASETS!A10</f>
        <v>PRES. QUIRINO AVE.</v>
      </c>
      <c r="B123" s="4">
        <f>DATASETS!B10</f>
        <v>2020</v>
      </c>
      <c r="C123" s="9">
        <f>DATASETS!C10</f>
        <v>84967</v>
      </c>
      <c r="D123" s="6">
        <f>DATASETS!I10</f>
        <v>1127</v>
      </c>
      <c r="E123" s="9">
        <f>DATASETS!H10</f>
        <v>28.8</v>
      </c>
      <c r="F123" s="6">
        <f>DATASETS!D10</f>
        <v>484</v>
      </c>
      <c r="G123" s="11">
        <v>1</v>
      </c>
      <c r="H123" s="32">
        <f t="shared" si="2"/>
        <v>-1.115829336245717</v>
      </c>
      <c r="I123" s="32">
        <f t="shared" si="3"/>
        <v>0</v>
      </c>
      <c r="J123" s="32">
        <f t="shared" si="4"/>
        <v>-0.38390866637738114</v>
      </c>
      <c r="K123" s="11">
        <f t="shared" si="5"/>
        <v>0</v>
      </c>
      <c r="L123" s="11">
        <f t="shared" si="5"/>
        <v>0</v>
      </c>
      <c r="M123" s="11">
        <f t="shared" si="5"/>
        <v>0</v>
      </c>
      <c r="N123" s="11">
        <f t="shared" si="5"/>
        <v>0</v>
      </c>
      <c r="O123" s="11">
        <f t="shared" si="5"/>
        <v>0</v>
      </c>
      <c r="P123" s="11">
        <f t="shared" si="5"/>
        <v>0</v>
      </c>
      <c r="Q123" s="11">
        <f t="shared" si="5"/>
        <v>0</v>
      </c>
      <c r="R123" s="11">
        <f t="shared" si="5"/>
        <v>0</v>
      </c>
      <c r="S123" s="11">
        <f t="shared" si="5"/>
        <v>0</v>
      </c>
      <c r="T123" s="11">
        <f t="shared" si="5"/>
        <v>0</v>
      </c>
      <c r="U123" s="11">
        <f t="shared" si="5"/>
        <v>0</v>
      </c>
      <c r="V123" s="11">
        <f t="shared" si="5"/>
        <v>0</v>
      </c>
      <c r="W123" s="35">
        <f t="shared" si="6"/>
        <v>715.42571369255893</v>
      </c>
      <c r="X123" s="35">
        <f t="shared" si="7"/>
        <v>-231.42571369255893</v>
      </c>
      <c r="Y123" s="35">
        <f t="shared" si="8"/>
        <v>231.42571369255893</v>
      </c>
      <c r="Z123" s="35">
        <f t="shared" si="9"/>
        <v>53557.860958110257</v>
      </c>
      <c r="AA123" s="35">
        <f t="shared" si="10"/>
        <v>1949913.8639783766</v>
      </c>
      <c r="AB123" s="35">
        <f t="shared" si="11"/>
        <v>472.07802133646987</v>
      </c>
      <c r="AC123" s="35">
        <f t="shared" si="12"/>
        <v>-101607.26965545557</v>
      </c>
      <c r="AD123" s="35">
        <f t="shared" si="13"/>
        <v>357.64718880869623</v>
      </c>
      <c r="AE123" s="35">
        <f t="shared" si="14"/>
        <v>0</v>
      </c>
      <c r="AF123" s="40">
        <f t="shared" si="15"/>
        <v>28.8</v>
      </c>
      <c r="AG123" s="34">
        <f t="shared" si="16"/>
        <v>0</v>
      </c>
    </row>
    <row r="124" spans="1:33" x14ac:dyDescent="0.3">
      <c r="A124" s="4" t="str">
        <f>DATASETS!A11</f>
        <v>PRES. QUIRINO AVE.</v>
      </c>
      <c r="B124" s="4">
        <f>DATASETS!B11</f>
        <v>2021</v>
      </c>
      <c r="C124" s="9">
        <f>DATASETS!C11</f>
        <v>72582</v>
      </c>
      <c r="D124" s="6">
        <f>DATASETS!I11</f>
        <v>484</v>
      </c>
      <c r="E124" s="9">
        <f>DATASETS!H11</f>
        <v>28.8</v>
      </c>
      <c r="F124" s="6">
        <f>DATASETS!D11</f>
        <v>350</v>
      </c>
      <c r="G124" s="11">
        <v>1</v>
      </c>
      <c r="H124" s="32">
        <f t="shared" si="2"/>
        <v>-1.2844941834794097</v>
      </c>
      <c r="I124" s="32">
        <f t="shared" si="3"/>
        <v>0.38563966175427117</v>
      </c>
      <c r="J124" s="32">
        <f t="shared" si="4"/>
        <v>-0.74480526357132271</v>
      </c>
      <c r="K124" s="11">
        <f t="shared" si="5"/>
        <v>0</v>
      </c>
      <c r="L124" s="11">
        <f t="shared" si="5"/>
        <v>0</v>
      </c>
      <c r="M124" s="11">
        <f t="shared" si="5"/>
        <v>0</v>
      </c>
      <c r="N124" s="11">
        <f t="shared" si="5"/>
        <v>0</v>
      </c>
      <c r="O124" s="11">
        <f t="shared" si="5"/>
        <v>0</v>
      </c>
      <c r="P124" s="11">
        <f t="shared" si="5"/>
        <v>0</v>
      </c>
      <c r="Q124" s="11">
        <f t="shared" si="5"/>
        <v>0</v>
      </c>
      <c r="R124" s="11">
        <f t="shared" si="5"/>
        <v>0</v>
      </c>
      <c r="S124" s="11">
        <f t="shared" si="5"/>
        <v>0</v>
      </c>
      <c r="T124" s="11">
        <f t="shared" si="5"/>
        <v>0</v>
      </c>
      <c r="U124" s="11">
        <f t="shared" si="5"/>
        <v>0</v>
      </c>
      <c r="V124" s="11">
        <f t="shared" si="5"/>
        <v>0</v>
      </c>
      <c r="W124" s="35">
        <f t="shared" si="6"/>
        <v>392.26134782037087</v>
      </c>
      <c r="X124" s="35">
        <f t="shared" si="7"/>
        <v>-42.261347820370872</v>
      </c>
      <c r="Y124" s="35">
        <f t="shared" si="8"/>
        <v>42.261347820370872</v>
      </c>
      <c r="Z124" s="35">
        <f t="shared" si="9"/>
        <v>1786.0215195943658</v>
      </c>
      <c r="AA124" s="35">
        <f t="shared" si="10"/>
        <v>2342103.2314997441</v>
      </c>
      <c r="AB124" s="35">
        <f t="shared" si="11"/>
        <v>403.26676173860034</v>
      </c>
      <c r="AC124" s="35">
        <f t="shared" si="12"/>
        <v>-101657.57028399788</v>
      </c>
      <c r="AD124" s="35">
        <f t="shared" si="13"/>
        <v>153.59471107667167</v>
      </c>
      <c r="AE124" s="35">
        <f t="shared" si="14"/>
        <v>0</v>
      </c>
      <c r="AF124" s="40">
        <f t="shared" si="15"/>
        <v>28.8</v>
      </c>
      <c r="AG124" s="34">
        <f t="shared" si="16"/>
        <v>0</v>
      </c>
    </row>
    <row r="125" spans="1:33" x14ac:dyDescent="0.3">
      <c r="A125" s="4" t="str">
        <f>DATASETS!A12</f>
        <v>PRES. QUIRINO AVE.</v>
      </c>
      <c r="B125" s="4">
        <f>DATASETS!B12</f>
        <v>2022</v>
      </c>
      <c r="C125" s="9">
        <f>DATASETS!C12</f>
        <v>147617</v>
      </c>
      <c r="D125" s="6">
        <f>DATASETS!I12</f>
        <v>350</v>
      </c>
      <c r="E125" s="9">
        <f>DATASETS!H12</f>
        <v>28.8</v>
      </c>
      <c r="F125" s="6">
        <f>DATASETS!D12</f>
        <v>808</v>
      </c>
      <c r="G125" s="11">
        <v>1</v>
      </c>
      <c r="H125" s="32">
        <f t="shared" si="2"/>
        <v>-0.26263170369094579</v>
      </c>
      <c r="I125" s="32">
        <f t="shared" si="3"/>
        <v>0.77127932350854234</v>
      </c>
      <c r="J125" s="32">
        <f t="shared" si="4"/>
        <v>-0.82001544090256406</v>
      </c>
      <c r="K125" s="11">
        <f t="shared" si="5"/>
        <v>0</v>
      </c>
      <c r="L125" s="11">
        <f t="shared" si="5"/>
        <v>0</v>
      </c>
      <c r="M125" s="11">
        <f t="shared" si="5"/>
        <v>0</v>
      </c>
      <c r="N125" s="11">
        <f t="shared" si="5"/>
        <v>0</v>
      </c>
      <c r="O125" s="11">
        <f t="shared" si="5"/>
        <v>0</v>
      </c>
      <c r="P125" s="11">
        <f t="shared" si="5"/>
        <v>0</v>
      </c>
      <c r="Q125" s="11">
        <f t="shared" si="5"/>
        <v>0</v>
      </c>
      <c r="R125" s="11">
        <f t="shared" si="5"/>
        <v>0</v>
      </c>
      <c r="S125" s="11">
        <f t="shared" si="5"/>
        <v>0</v>
      </c>
      <c r="T125" s="11">
        <f t="shared" si="5"/>
        <v>0</v>
      </c>
      <c r="U125" s="11">
        <f t="shared" si="5"/>
        <v>0</v>
      </c>
      <c r="V125" s="11">
        <f t="shared" si="5"/>
        <v>0</v>
      </c>
      <c r="W125" s="35">
        <f t="shared" si="6"/>
        <v>716.33223300343047</v>
      </c>
      <c r="X125" s="35">
        <f t="shared" si="7"/>
        <v>91.667766996569526</v>
      </c>
      <c r="Y125" s="35">
        <f t="shared" si="8"/>
        <v>91.667766996569526</v>
      </c>
      <c r="Z125" s="35">
        <f t="shared" si="9"/>
        <v>8402.9795061373607</v>
      </c>
      <c r="AA125" s="35">
        <f t="shared" si="10"/>
        <v>1150027.0947476076</v>
      </c>
      <c r="AB125" s="35">
        <f t="shared" si="11"/>
        <v>820.16243100998827</v>
      </c>
      <c r="AC125" s="35">
        <f t="shared" si="12"/>
        <v>-101707.87091254018</v>
      </c>
      <c r="AD125" s="35">
        <f t="shared" si="13"/>
        <v>111.07055553065101</v>
      </c>
      <c r="AE125" s="35">
        <f t="shared" si="14"/>
        <v>0</v>
      </c>
      <c r="AF125" s="40">
        <f t="shared" si="15"/>
        <v>28.8</v>
      </c>
      <c r="AG125" s="34">
        <f t="shared" si="16"/>
        <v>0</v>
      </c>
    </row>
    <row r="126" spans="1:33" x14ac:dyDescent="0.3">
      <c r="A126" s="4" t="str">
        <f>DATASETS!A13</f>
        <v>PRES. QUIRINO AVE.</v>
      </c>
      <c r="B126" s="4">
        <f>DATASETS!B13</f>
        <v>2023</v>
      </c>
      <c r="C126" s="9">
        <f>DATASETS!C13</f>
        <v>177881</v>
      </c>
      <c r="D126" s="6">
        <f>DATASETS!I13</f>
        <v>808</v>
      </c>
      <c r="E126" s="9">
        <f>DATASETS!H13</f>
        <v>28.8</v>
      </c>
      <c r="F126" s="6">
        <f>DATASETS!D13</f>
        <v>951</v>
      </c>
      <c r="G126" s="11">
        <v>1</v>
      </c>
      <c r="H126" s="32">
        <f t="shared" si="2"/>
        <v>0.14951790766799433</v>
      </c>
      <c r="I126" s="32">
        <f t="shared" si="3"/>
        <v>1.1569189852628134</v>
      </c>
      <c r="J126" s="32">
        <f t="shared" si="4"/>
        <v>-0.56295379002414225</v>
      </c>
      <c r="K126" s="11">
        <f t="shared" si="5"/>
        <v>0</v>
      </c>
      <c r="L126" s="11">
        <f t="shared" si="5"/>
        <v>0</v>
      </c>
      <c r="M126" s="11">
        <f t="shared" si="5"/>
        <v>0</v>
      </c>
      <c r="N126" s="11">
        <f t="shared" si="5"/>
        <v>0</v>
      </c>
      <c r="O126" s="11">
        <f t="shared" si="5"/>
        <v>0</v>
      </c>
      <c r="P126" s="11">
        <f t="shared" si="5"/>
        <v>0</v>
      </c>
      <c r="Q126" s="11">
        <f t="shared" si="5"/>
        <v>0</v>
      </c>
      <c r="R126" s="11">
        <f t="shared" si="5"/>
        <v>0</v>
      </c>
      <c r="S126" s="11">
        <f t="shared" si="5"/>
        <v>0</v>
      </c>
      <c r="T126" s="11">
        <f t="shared" si="5"/>
        <v>0</v>
      </c>
      <c r="U126" s="11">
        <f t="shared" si="5"/>
        <v>0</v>
      </c>
      <c r="V126" s="11">
        <f t="shared" si="5"/>
        <v>0</v>
      </c>
      <c r="W126" s="35">
        <f t="shared" si="6"/>
        <v>979.52263172168045</v>
      </c>
      <c r="X126" s="35">
        <f t="shared" si="7"/>
        <v>-28.522631721680455</v>
      </c>
      <c r="Y126" s="35">
        <f t="shared" si="8"/>
        <v>28.522631721680455</v>
      </c>
      <c r="Z126" s="35">
        <f t="shared" si="9"/>
        <v>813.54052033061214</v>
      </c>
      <c r="AA126" s="35">
        <f t="shared" si="10"/>
        <v>863771.6503031631</v>
      </c>
      <c r="AB126" s="35">
        <f t="shared" si="11"/>
        <v>988.30970274756783</v>
      </c>
      <c r="AC126" s="35">
        <f t="shared" si="12"/>
        <v>-101758.17154108248</v>
      </c>
      <c r="AD126" s="35">
        <f t="shared" si="13"/>
        <v>256.41431105361715</v>
      </c>
      <c r="AE126" s="35">
        <f t="shared" si="14"/>
        <v>0</v>
      </c>
      <c r="AF126" s="40">
        <f t="shared" si="15"/>
        <v>28.8</v>
      </c>
      <c r="AG126" s="34">
        <f t="shared" si="16"/>
        <v>0</v>
      </c>
    </row>
    <row r="127" spans="1:33" x14ac:dyDescent="0.3">
      <c r="A127" s="4" t="str">
        <f>DATASETS!A14</f>
        <v>PRES. QUIRINO AVE.</v>
      </c>
      <c r="B127" s="4">
        <f>DATASETS!B14</f>
        <v>2024</v>
      </c>
      <c r="C127" s="9">
        <f>DATASETS!C14</f>
        <v>195138</v>
      </c>
      <c r="D127" s="6">
        <f>DATASETS!I14</f>
        <v>951</v>
      </c>
      <c r="E127" s="9">
        <f>DATASETS!H14</f>
        <v>28.8</v>
      </c>
      <c r="F127" s="6">
        <f>DATASETS!D14</f>
        <v>1041</v>
      </c>
      <c r="G127" s="11">
        <v>1</v>
      </c>
      <c r="H127" s="32">
        <f t="shared" si="2"/>
        <v>0.38453197861767813</v>
      </c>
      <c r="I127" s="32">
        <f t="shared" si="3"/>
        <v>1.5425586470170847</v>
      </c>
      <c r="J127" s="32">
        <f t="shared" si="4"/>
        <v>-0.48269218287214588</v>
      </c>
      <c r="K127" s="11">
        <f t="shared" si="5"/>
        <v>0</v>
      </c>
      <c r="L127" s="11">
        <f t="shared" si="5"/>
        <v>0</v>
      </c>
      <c r="M127" s="11">
        <f t="shared" si="5"/>
        <v>0</v>
      </c>
      <c r="N127" s="11">
        <f t="shared" si="5"/>
        <v>0</v>
      </c>
      <c r="O127" s="11">
        <f t="shared" si="5"/>
        <v>0</v>
      </c>
      <c r="P127" s="11">
        <f t="shared" si="5"/>
        <v>0</v>
      </c>
      <c r="Q127" s="11">
        <f t="shared" si="5"/>
        <v>0</v>
      </c>
      <c r="R127" s="11">
        <f t="shared" si="5"/>
        <v>0</v>
      </c>
      <c r="S127" s="11">
        <f t="shared" si="5"/>
        <v>0</v>
      </c>
      <c r="T127" s="11">
        <f t="shared" si="5"/>
        <v>0</v>
      </c>
      <c r="U127" s="11">
        <f t="shared" si="5"/>
        <v>0</v>
      </c>
      <c r="V127" s="11">
        <f t="shared" si="5"/>
        <v>0</v>
      </c>
      <c r="W127" s="35">
        <f t="shared" si="6"/>
        <v>1070.4824288402451</v>
      </c>
      <c r="X127" s="35">
        <f t="shared" si="7"/>
        <v>-29.48242884024512</v>
      </c>
      <c r="Y127" s="35">
        <f t="shared" si="8"/>
        <v>29.48242884024512</v>
      </c>
      <c r="Z127" s="35">
        <f t="shared" si="9"/>
        <v>869.21361032011725</v>
      </c>
      <c r="AA127" s="35">
        <f t="shared" si="10"/>
        <v>704580.88107239385</v>
      </c>
      <c r="AB127" s="35">
        <f t="shared" si="11"/>
        <v>1084.1898728630651</v>
      </c>
      <c r="AC127" s="35">
        <f t="shared" si="12"/>
        <v>-101808.47216962479</v>
      </c>
      <c r="AD127" s="35">
        <f t="shared" si="13"/>
        <v>301.79456659899745</v>
      </c>
      <c r="AE127" s="35">
        <f t="shared" si="14"/>
        <v>0</v>
      </c>
      <c r="AF127" s="40">
        <f t="shared" si="15"/>
        <v>28.8</v>
      </c>
      <c r="AG127" s="34">
        <f t="shared" si="16"/>
        <v>0</v>
      </c>
    </row>
    <row r="128" spans="1:33" x14ac:dyDescent="0.3">
      <c r="A128" s="4" t="str">
        <f>DATASETS!A16</f>
        <v>C.P. GARCIA /KATIPUNAN AVE. / TANDANG SORA</v>
      </c>
      <c r="B128" s="4">
        <f>DATASETS!B16</f>
        <v>2016</v>
      </c>
      <c r="C128" s="9">
        <f>DATASETS!C16</f>
        <v>218155</v>
      </c>
      <c r="D128" s="6">
        <f>DATASETS!I16</f>
        <v>4598</v>
      </c>
      <c r="E128" s="9">
        <f>DATASETS!H16</f>
        <v>438.7</v>
      </c>
      <c r="F128" s="6">
        <f>DATASETS!D16</f>
        <v>5911</v>
      </c>
      <c r="G128" s="11">
        <v>1</v>
      </c>
      <c r="H128" s="32">
        <f t="shared" si="2"/>
        <v>0.69798848154685877</v>
      </c>
      <c r="I128" s="32">
        <f t="shared" si="3"/>
        <v>-1.5425586470170847</v>
      </c>
      <c r="J128" s="32">
        <f t="shared" si="4"/>
        <v>1.564259434493803</v>
      </c>
      <c r="K128" s="11">
        <f t="shared" si="5"/>
        <v>1</v>
      </c>
      <c r="L128" s="11">
        <f t="shared" si="5"/>
        <v>0</v>
      </c>
      <c r="M128" s="11">
        <f t="shared" si="5"/>
        <v>0</v>
      </c>
      <c r="N128" s="11">
        <f t="shared" si="5"/>
        <v>0</v>
      </c>
      <c r="O128" s="11">
        <f t="shared" si="5"/>
        <v>0</v>
      </c>
      <c r="P128" s="11">
        <f t="shared" si="5"/>
        <v>0</v>
      </c>
      <c r="Q128" s="11">
        <f t="shared" si="5"/>
        <v>0</v>
      </c>
      <c r="R128" s="11">
        <f t="shared" si="5"/>
        <v>0</v>
      </c>
      <c r="S128" s="11">
        <f t="shared" si="5"/>
        <v>0</v>
      </c>
      <c r="T128" s="11">
        <f t="shared" si="5"/>
        <v>0</v>
      </c>
      <c r="U128" s="11">
        <f t="shared" si="5"/>
        <v>0</v>
      </c>
      <c r="V128" s="11">
        <f t="shared" si="5"/>
        <v>0</v>
      </c>
      <c r="W128" s="35">
        <f t="shared" si="6"/>
        <v>6600.8266807835716</v>
      </c>
      <c r="X128" s="35">
        <f t="shared" si="7"/>
        <v>-689.82668078357165</v>
      </c>
      <c r="Y128" s="35">
        <f t="shared" si="8"/>
        <v>689.82668078357165</v>
      </c>
      <c r="Z128" s="35">
        <f t="shared" si="9"/>
        <v>475860.84952087968</v>
      </c>
      <c r="AA128" s="35">
        <f t="shared" si="10"/>
        <v>16245791.479362994</v>
      </c>
      <c r="AB128" s="35">
        <f t="shared" si="11"/>
        <v>1212.0726958072848</v>
      </c>
      <c r="AC128" s="35">
        <f t="shared" si="12"/>
        <v>-101406.06714128634</v>
      </c>
      <c r="AD128" s="35">
        <f t="shared" si="13"/>
        <v>1459.1497552283809</v>
      </c>
      <c r="AE128" s="35">
        <f t="shared" si="14"/>
        <v>3842.7012120312706</v>
      </c>
      <c r="AF128" s="40">
        <f t="shared" si="15"/>
        <v>438.7</v>
      </c>
      <c r="AG128" s="34">
        <f t="shared" si="16"/>
        <v>0</v>
      </c>
    </row>
    <row r="129" spans="1:33" x14ac:dyDescent="0.3">
      <c r="A129" s="4" t="str">
        <f>DATASETS!A17</f>
        <v>C.P. GARCIA /KATIPUNAN AVE. / TANDANG SORA</v>
      </c>
      <c r="B129" s="4">
        <f>DATASETS!B17</f>
        <v>2017</v>
      </c>
      <c r="C129" s="9">
        <f>DATASETS!C17</f>
        <v>218751</v>
      </c>
      <c r="D129" s="6">
        <f>DATASETS!I17</f>
        <v>5911</v>
      </c>
      <c r="E129" s="9">
        <f>DATASETS!H17</f>
        <v>438.7</v>
      </c>
      <c r="F129" s="6">
        <f>DATASETS!D17</f>
        <v>5794</v>
      </c>
      <c r="G129" s="11">
        <v>1</v>
      </c>
      <c r="H129" s="32">
        <f t="shared" si="2"/>
        <v>0.70610509430029289</v>
      </c>
      <c r="I129" s="32">
        <f t="shared" si="3"/>
        <v>-1.1569189852628134</v>
      </c>
      <c r="J129" s="32">
        <f t="shared" si="4"/>
        <v>2.3012069183439512</v>
      </c>
      <c r="K129" s="11">
        <f t="shared" ref="K129:V138" si="17">IF($A129=K$113,1,0)</f>
        <v>1</v>
      </c>
      <c r="L129" s="11">
        <f t="shared" si="17"/>
        <v>0</v>
      </c>
      <c r="M129" s="11">
        <f t="shared" si="17"/>
        <v>0</v>
      </c>
      <c r="N129" s="11">
        <f t="shared" si="17"/>
        <v>0</v>
      </c>
      <c r="O129" s="11">
        <f t="shared" si="17"/>
        <v>0</v>
      </c>
      <c r="P129" s="11">
        <f t="shared" si="17"/>
        <v>0</v>
      </c>
      <c r="Q129" s="11">
        <f t="shared" si="17"/>
        <v>0</v>
      </c>
      <c r="R129" s="11">
        <f t="shared" si="17"/>
        <v>0</v>
      </c>
      <c r="S129" s="11">
        <f t="shared" si="17"/>
        <v>0</v>
      </c>
      <c r="T129" s="11">
        <f t="shared" si="17"/>
        <v>0</v>
      </c>
      <c r="U129" s="11">
        <f t="shared" si="17"/>
        <v>0</v>
      </c>
      <c r="V129" s="11">
        <f t="shared" si="17"/>
        <v>0</v>
      </c>
      <c r="W129" s="35">
        <f t="shared" si="6"/>
        <v>6970.5106933085881</v>
      </c>
      <c r="X129" s="35">
        <f t="shared" si="7"/>
        <v>-1176.5106933085881</v>
      </c>
      <c r="Y129" s="35">
        <f t="shared" si="8"/>
        <v>1176.5106933085881</v>
      </c>
      <c r="Z129" s="35">
        <f t="shared" si="9"/>
        <v>1384177.4114694546</v>
      </c>
      <c r="AA129" s="35">
        <f t="shared" si="10"/>
        <v>15316318.479362994</v>
      </c>
      <c r="AB129" s="35">
        <f t="shared" si="11"/>
        <v>1215.3840814124792</v>
      </c>
      <c r="AC129" s="35">
        <f t="shared" si="12"/>
        <v>-101456.36776982865</v>
      </c>
      <c r="AD129" s="35">
        <f t="shared" si="13"/>
        <v>1875.8230106905087</v>
      </c>
      <c r="AE129" s="35">
        <f t="shared" si="14"/>
        <v>3842.7012120312706</v>
      </c>
      <c r="AF129" s="40">
        <f t="shared" si="15"/>
        <v>438.7</v>
      </c>
      <c r="AG129" s="34">
        <f t="shared" si="16"/>
        <v>0</v>
      </c>
    </row>
    <row r="130" spans="1:33" x14ac:dyDescent="0.3">
      <c r="A130" s="4" t="str">
        <f>DATASETS!A18</f>
        <v>C.P. GARCIA /KATIPUNAN AVE. / TANDANG SORA</v>
      </c>
      <c r="B130" s="4">
        <f>DATASETS!B18</f>
        <v>2018</v>
      </c>
      <c r="C130" s="9">
        <f>DATASETS!C18</f>
        <v>235744</v>
      </c>
      <c r="D130" s="6">
        <f>DATASETS!I18</f>
        <v>5794</v>
      </c>
      <c r="E130" s="9">
        <f>DATASETS!H18</f>
        <v>438.7</v>
      </c>
      <c r="F130" s="6">
        <f>DATASETS!D18</f>
        <v>8252</v>
      </c>
      <c r="G130" s="11">
        <v>1</v>
      </c>
      <c r="H130" s="32">
        <f t="shared" si="2"/>
        <v>0.93752388711758305</v>
      </c>
      <c r="I130" s="32">
        <f t="shared" si="3"/>
        <v>-0.77127932350854234</v>
      </c>
      <c r="J130" s="32">
        <f t="shared" si="4"/>
        <v>2.2355383306741361</v>
      </c>
      <c r="K130" s="11">
        <f t="shared" si="17"/>
        <v>1</v>
      </c>
      <c r="L130" s="11">
        <f t="shared" si="17"/>
        <v>0</v>
      </c>
      <c r="M130" s="11">
        <f t="shared" si="17"/>
        <v>0</v>
      </c>
      <c r="N130" s="11">
        <f t="shared" si="17"/>
        <v>0</v>
      </c>
      <c r="O130" s="11">
        <f t="shared" si="17"/>
        <v>0</v>
      </c>
      <c r="P130" s="11">
        <f t="shared" si="17"/>
        <v>0</v>
      </c>
      <c r="Q130" s="11">
        <f t="shared" si="17"/>
        <v>0</v>
      </c>
      <c r="R130" s="11">
        <f t="shared" si="17"/>
        <v>0</v>
      </c>
      <c r="S130" s="11">
        <f t="shared" si="17"/>
        <v>0</v>
      </c>
      <c r="T130" s="11">
        <f t="shared" si="17"/>
        <v>0</v>
      </c>
      <c r="U130" s="11">
        <f t="shared" si="17"/>
        <v>0</v>
      </c>
      <c r="V130" s="11">
        <f t="shared" si="17"/>
        <v>0</v>
      </c>
      <c r="W130" s="35">
        <f t="shared" si="6"/>
        <v>6977.4941466354494</v>
      </c>
      <c r="X130" s="35">
        <f t="shared" si="7"/>
        <v>1274.5058533645506</v>
      </c>
      <c r="Y130" s="35">
        <f t="shared" si="8"/>
        <v>1274.5058533645506</v>
      </c>
      <c r="Z130" s="35">
        <f t="shared" si="9"/>
        <v>1624365.1702605013</v>
      </c>
      <c r="AA130" s="35">
        <f t="shared" si="10"/>
        <v>40597373.69303821</v>
      </c>
      <c r="AB130" s="35">
        <f t="shared" si="11"/>
        <v>1309.7974632733267</v>
      </c>
      <c r="AC130" s="35">
        <f t="shared" si="12"/>
        <v>-101506.66839837095</v>
      </c>
      <c r="AD130" s="35">
        <f t="shared" si="13"/>
        <v>1838.6937106988339</v>
      </c>
      <c r="AE130" s="35">
        <f t="shared" si="14"/>
        <v>3842.7012120312706</v>
      </c>
      <c r="AF130" s="40">
        <f t="shared" si="15"/>
        <v>438.7</v>
      </c>
      <c r="AG130" s="34">
        <f t="shared" si="16"/>
        <v>0</v>
      </c>
    </row>
    <row r="131" spans="1:33" x14ac:dyDescent="0.3">
      <c r="A131" s="4" t="str">
        <f>DATASETS!A19</f>
        <v>C.P. GARCIA /KATIPUNAN AVE. / TANDANG SORA</v>
      </c>
      <c r="B131" s="4">
        <f>DATASETS!B19</f>
        <v>2019</v>
      </c>
      <c r="C131" s="9">
        <f>DATASETS!C19</f>
        <v>236060</v>
      </c>
      <c r="D131" s="6">
        <f>DATASETS!I19</f>
        <v>8252</v>
      </c>
      <c r="E131" s="9">
        <f>DATASETS!H19</f>
        <v>438.7</v>
      </c>
      <c r="F131" s="6">
        <f>DATASETS!D19</f>
        <v>8735</v>
      </c>
      <c r="G131" s="11">
        <v>1</v>
      </c>
      <c r="H131" s="32">
        <f t="shared" si="2"/>
        <v>0.94182732609423603</v>
      </c>
      <c r="I131" s="32">
        <f t="shared" si="3"/>
        <v>-0.38563966175427117</v>
      </c>
      <c r="J131" s="32">
        <f t="shared" si="4"/>
        <v>3.6151399417203387</v>
      </c>
      <c r="K131" s="11">
        <f t="shared" si="17"/>
        <v>1</v>
      </c>
      <c r="L131" s="11">
        <f t="shared" si="17"/>
        <v>0</v>
      </c>
      <c r="M131" s="11">
        <f t="shared" si="17"/>
        <v>0</v>
      </c>
      <c r="N131" s="11">
        <f t="shared" si="17"/>
        <v>0</v>
      </c>
      <c r="O131" s="11">
        <f t="shared" si="17"/>
        <v>0</v>
      </c>
      <c r="P131" s="11">
        <f t="shared" si="17"/>
        <v>0</v>
      </c>
      <c r="Q131" s="11">
        <f t="shared" si="17"/>
        <v>0</v>
      </c>
      <c r="R131" s="11">
        <f t="shared" si="17"/>
        <v>0</v>
      </c>
      <c r="S131" s="11">
        <f t="shared" si="17"/>
        <v>0</v>
      </c>
      <c r="T131" s="11">
        <f t="shared" si="17"/>
        <v>0</v>
      </c>
      <c r="U131" s="11">
        <f t="shared" si="17"/>
        <v>0</v>
      </c>
      <c r="V131" s="11">
        <f t="shared" si="17"/>
        <v>0</v>
      </c>
      <c r="W131" s="35">
        <f t="shared" si="6"/>
        <v>7708.9818634553721</v>
      </c>
      <c r="X131" s="35">
        <f t="shared" si="7"/>
        <v>1026.0181365446279</v>
      </c>
      <c r="Y131" s="35">
        <f t="shared" si="8"/>
        <v>1026.0181365446279</v>
      </c>
      <c r="Z131" s="35">
        <f t="shared" si="9"/>
        <v>1052713.2165185106</v>
      </c>
      <c r="AA131" s="35">
        <f t="shared" si="10"/>
        <v>46985634.898166418</v>
      </c>
      <c r="AB131" s="35">
        <f t="shared" si="11"/>
        <v>1311.5531643660136</v>
      </c>
      <c r="AC131" s="35">
        <f t="shared" si="12"/>
        <v>-101556.96902691326</v>
      </c>
      <c r="AD131" s="35">
        <f t="shared" si="13"/>
        <v>2618.7263549683771</v>
      </c>
      <c r="AE131" s="35">
        <f t="shared" si="14"/>
        <v>3842.7012120312706</v>
      </c>
      <c r="AF131" s="40">
        <f t="shared" si="15"/>
        <v>438.7</v>
      </c>
      <c r="AG131" s="34">
        <f t="shared" si="16"/>
        <v>0</v>
      </c>
    </row>
    <row r="132" spans="1:33" x14ac:dyDescent="0.3">
      <c r="A132" s="4" t="str">
        <f>DATASETS!A20</f>
        <v>C.P. GARCIA /KATIPUNAN AVE. / TANDANG SORA</v>
      </c>
      <c r="B132" s="4">
        <f>DATASETS!B20</f>
        <v>2020</v>
      </c>
      <c r="C132" s="9">
        <f>DATASETS!C20</f>
        <v>192418</v>
      </c>
      <c r="D132" s="6">
        <f>DATASETS!I20</f>
        <v>8735</v>
      </c>
      <c r="E132" s="9">
        <f>DATASETS!H20</f>
        <v>438.7</v>
      </c>
      <c r="F132" s="6">
        <f>DATASETS!D20</f>
        <v>5208</v>
      </c>
      <c r="G132" s="11">
        <v>1</v>
      </c>
      <c r="H132" s="32">
        <f t="shared" si="2"/>
        <v>0.34748971907180454</v>
      </c>
      <c r="I132" s="32">
        <f t="shared" si="3"/>
        <v>0</v>
      </c>
      <c r="J132" s="32">
        <f t="shared" si="4"/>
        <v>3.8862333421008581</v>
      </c>
      <c r="K132" s="11">
        <f t="shared" si="17"/>
        <v>1</v>
      </c>
      <c r="L132" s="11">
        <f t="shared" si="17"/>
        <v>0</v>
      </c>
      <c r="M132" s="11">
        <f t="shared" si="17"/>
        <v>0</v>
      </c>
      <c r="N132" s="11">
        <f t="shared" si="17"/>
        <v>0</v>
      </c>
      <c r="O132" s="11">
        <f t="shared" si="17"/>
        <v>0</v>
      </c>
      <c r="P132" s="11">
        <f t="shared" si="17"/>
        <v>0</v>
      </c>
      <c r="Q132" s="11">
        <f t="shared" si="17"/>
        <v>0</v>
      </c>
      <c r="R132" s="11">
        <f t="shared" si="17"/>
        <v>0</v>
      </c>
      <c r="S132" s="11">
        <f t="shared" si="17"/>
        <v>0</v>
      </c>
      <c r="T132" s="11">
        <f t="shared" si="17"/>
        <v>0</v>
      </c>
      <c r="U132" s="11">
        <f t="shared" si="17"/>
        <v>0</v>
      </c>
      <c r="V132" s="11">
        <f t="shared" si="17"/>
        <v>0</v>
      </c>
      <c r="W132" s="35">
        <f t="shared" si="6"/>
        <v>7569.4829462066264</v>
      </c>
      <c r="X132" s="35">
        <f t="shared" si="7"/>
        <v>-2361.4829462066264</v>
      </c>
      <c r="Y132" s="35">
        <f t="shared" si="8"/>
        <v>2361.4829462066264</v>
      </c>
      <c r="Z132" s="35">
        <f t="shared" si="9"/>
        <v>5576601.7052247282</v>
      </c>
      <c r="AA132" s="35">
        <f t="shared" si="10"/>
        <v>11072967.26568778</v>
      </c>
      <c r="AB132" s="35">
        <f t="shared" si="11"/>
        <v>1069.0775090272796</v>
      </c>
      <c r="AC132" s="35">
        <f t="shared" si="12"/>
        <v>-101607.26965545557</v>
      </c>
      <c r="AD132" s="35">
        <f t="shared" si="13"/>
        <v>2772.0037216006758</v>
      </c>
      <c r="AE132" s="35">
        <f t="shared" si="14"/>
        <v>3842.7012120312706</v>
      </c>
      <c r="AF132" s="40">
        <f t="shared" si="15"/>
        <v>438.7</v>
      </c>
      <c r="AG132" s="34">
        <f t="shared" si="16"/>
        <v>0</v>
      </c>
    </row>
    <row r="133" spans="1:33" x14ac:dyDescent="0.3">
      <c r="A133" s="4" t="str">
        <f>DATASETS!A21</f>
        <v>C.P. GARCIA /KATIPUNAN AVE. / TANDANG SORA</v>
      </c>
      <c r="B133" s="4">
        <f>DATASETS!B21</f>
        <v>2021</v>
      </c>
      <c r="C133" s="9">
        <f>DATASETS!C21</f>
        <v>212285</v>
      </c>
      <c r="D133" s="6">
        <f>DATASETS!I21</f>
        <v>5208</v>
      </c>
      <c r="E133" s="9">
        <f>DATASETS!H21</f>
        <v>438.7</v>
      </c>
      <c r="F133" s="6">
        <f>DATASETS!D21</f>
        <v>5769</v>
      </c>
      <c r="G133" s="11">
        <v>1</v>
      </c>
      <c r="H133" s="32">
        <f t="shared" si="2"/>
        <v>0.61804801701219791</v>
      </c>
      <c r="I133" s="32">
        <f t="shared" si="3"/>
        <v>0.38563966175427117</v>
      </c>
      <c r="J133" s="32">
        <f t="shared" si="4"/>
        <v>1.9066341223449761</v>
      </c>
      <c r="K133" s="11">
        <f t="shared" si="17"/>
        <v>1</v>
      </c>
      <c r="L133" s="11">
        <f t="shared" si="17"/>
        <v>0</v>
      </c>
      <c r="M133" s="11">
        <f t="shared" si="17"/>
        <v>0</v>
      </c>
      <c r="N133" s="11">
        <f t="shared" si="17"/>
        <v>0</v>
      </c>
      <c r="O133" s="11">
        <f t="shared" si="17"/>
        <v>0</v>
      </c>
      <c r="P133" s="11">
        <f t="shared" si="17"/>
        <v>0</v>
      </c>
      <c r="Q133" s="11">
        <f t="shared" si="17"/>
        <v>0</v>
      </c>
      <c r="R133" s="11">
        <f t="shared" si="17"/>
        <v>0</v>
      </c>
      <c r="S133" s="11">
        <f t="shared" si="17"/>
        <v>0</v>
      </c>
      <c r="T133" s="11">
        <f t="shared" si="17"/>
        <v>0</v>
      </c>
      <c r="U133" s="11">
        <f t="shared" si="17"/>
        <v>0</v>
      </c>
      <c r="V133" s="11">
        <f t="shared" si="17"/>
        <v>0</v>
      </c>
      <c r="W133" s="35">
        <f t="shared" si="6"/>
        <v>6510.2898345382455</v>
      </c>
      <c r="X133" s="35">
        <f t="shared" si="7"/>
        <v>-741.28983453824549</v>
      </c>
      <c r="Y133" s="35">
        <f t="shared" si="8"/>
        <v>741.28983453824549</v>
      </c>
      <c r="Z133" s="35">
        <f t="shared" si="9"/>
        <v>549510.61878973932</v>
      </c>
      <c r="AA133" s="35">
        <f t="shared" si="10"/>
        <v>15121263.137482652</v>
      </c>
      <c r="AB133" s="35">
        <f t="shared" si="11"/>
        <v>1179.4588812057916</v>
      </c>
      <c r="AC133" s="35">
        <f t="shared" si="12"/>
        <v>-101657.57028399788</v>
      </c>
      <c r="AD133" s="35">
        <f t="shared" si="13"/>
        <v>1652.7298662960868</v>
      </c>
      <c r="AE133" s="35">
        <f t="shared" si="14"/>
        <v>3842.7012120312706</v>
      </c>
      <c r="AF133" s="40">
        <f t="shared" si="15"/>
        <v>438.7</v>
      </c>
      <c r="AG133" s="34">
        <f t="shared" si="16"/>
        <v>0</v>
      </c>
    </row>
    <row r="134" spans="1:33" x14ac:dyDescent="0.3">
      <c r="A134" s="4" t="str">
        <f>DATASETS!A22</f>
        <v>C.P. GARCIA /KATIPUNAN AVE. / TANDANG SORA</v>
      </c>
      <c r="B134" s="4">
        <f>DATASETS!B22</f>
        <v>2022</v>
      </c>
      <c r="C134" s="9">
        <f>DATASETS!C22</f>
        <v>211819</v>
      </c>
      <c r="D134" s="6">
        <f>DATASETS!I22</f>
        <v>5769</v>
      </c>
      <c r="E134" s="9">
        <f>DATASETS!H22</f>
        <v>438.7</v>
      </c>
      <c r="F134" s="6">
        <f>DATASETS!D22</f>
        <v>7255</v>
      </c>
      <c r="G134" s="11">
        <v>1</v>
      </c>
      <c r="H134" s="32">
        <f t="shared" si="2"/>
        <v>0.61170180636941218</v>
      </c>
      <c r="I134" s="32">
        <f t="shared" si="3"/>
        <v>0.77127932350854234</v>
      </c>
      <c r="J134" s="32">
        <f t="shared" si="4"/>
        <v>2.2215065811720387</v>
      </c>
      <c r="K134" s="11">
        <f t="shared" si="17"/>
        <v>1</v>
      </c>
      <c r="L134" s="11">
        <f t="shared" si="17"/>
        <v>0</v>
      </c>
      <c r="M134" s="11">
        <f t="shared" si="17"/>
        <v>0</v>
      </c>
      <c r="N134" s="11">
        <f t="shared" si="17"/>
        <v>0</v>
      </c>
      <c r="O134" s="11">
        <f t="shared" si="17"/>
        <v>0</v>
      </c>
      <c r="P134" s="11">
        <f t="shared" si="17"/>
        <v>0</v>
      </c>
      <c r="Q134" s="11">
        <f t="shared" si="17"/>
        <v>0</v>
      </c>
      <c r="R134" s="11">
        <f t="shared" si="17"/>
        <v>0</v>
      </c>
      <c r="S134" s="11">
        <f t="shared" si="17"/>
        <v>0</v>
      </c>
      <c r="T134" s="11">
        <f t="shared" si="17"/>
        <v>0</v>
      </c>
      <c r="U134" s="11">
        <f t="shared" si="17"/>
        <v>0</v>
      </c>
      <c r="V134" s="11">
        <f t="shared" si="17"/>
        <v>0</v>
      </c>
      <c r="W134" s="35">
        <f t="shared" si="6"/>
        <v>6635.4303357792487</v>
      </c>
      <c r="X134" s="35">
        <f t="shared" si="7"/>
        <v>619.56966422075129</v>
      </c>
      <c r="Y134" s="35">
        <f t="shared" si="8"/>
        <v>619.56966422075129</v>
      </c>
      <c r="Z134" s="35">
        <f t="shared" si="9"/>
        <v>383866.5688226145</v>
      </c>
      <c r="AA134" s="35">
        <f t="shared" si="10"/>
        <v>28886398.658850174</v>
      </c>
      <c r="AB134" s="35">
        <f t="shared" si="11"/>
        <v>1176.8697776956901</v>
      </c>
      <c r="AC134" s="35">
        <f t="shared" si="12"/>
        <v>-101707.87091254018</v>
      </c>
      <c r="AD134" s="35">
        <f t="shared" si="13"/>
        <v>1830.7600995895018</v>
      </c>
      <c r="AE134" s="35">
        <f t="shared" si="14"/>
        <v>3842.7012120312706</v>
      </c>
      <c r="AF134" s="40">
        <f t="shared" si="15"/>
        <v>438.7</v>
      </c>
      <c r="AG134" s="34">
        <f t="shared" si="16"/>
        <v>0</v>
      </c>
    </row>
    <row r="135" spans="1:33" x14ac:dyDescent="0.3">
      <c r="A135" s="4" t="str">
        <f>DATASETS!A23</f>
        <v>C.P. GARCIA /KATIPUNAN AVE. / TANDANG SORA</v>
      </c>
      <c r="B135" s="4">
        <f>DATASETS!B23</f>
        <v>2023</v>
      </c>
      <c r="C135" s="9">
        <f>DATASETS!C23</f>
        <v>238695</v>
      </c>
      <c r="D135" s="6">
        <f>DATASETS!I23</f>
        <v>7255</v>
      </c>
      <c r="E135" s="9">
        <f>DATASETS!H23</f>
        <v>438.7</v>
      </c>
      <c r="F135" s="6">
        <f>DATASETS!D23</f>
        <v>8119</v>
      </c>
      <c r="G135" s="11">
        <v>1</v>
      </c>
      <c r="H135" s="32">
        <f t="shared" si="2"/>
        <v>0.97771201502930105</v>
      </c>
      <c r="I135" s="32">
        <f t="shared" si="3"/>
        <v>1.1569189852628134</v>
      </c>
      <c r="J135" s="32">
        <f t="shared" si="4"/>
        <v>3.0555537715767001</v>
      </c>
      <c r="K135" s="11">
        <f t="shared" si="17"/>
        <v>1</v>
      </c>
      <c r="L135" s="11">
        <f t="shared" si="17"/>
        <v>0</v>
      </c>
      <c r="M135" s="11">
        <f t="shared" si="17"/>
        <v>0</v>
      </c>
      <c r="N135" s="11">
        <f t="shared" si="17"/>
        <v>0</v>
      </c>
      <c r="O135" s="11">
        <f t="shared" si="17"/>
        <v>0</v>
      </c>
      <c r="P135" s="11">
        <f t="shared" si="17"/>
        <v>0</v>
      </c>
      <c r="Q135" s="11">
        <f t="shared" si="17"/>
        <v>0</v>
      </c>
      <c r="R135" s="11">
        <f t="shared" si="17"/>
        <v>0</v>
      </c>
      <c r="S135" s="11">
        <f t="shared" si="17"/>
        <v>0</v>
      </c>
      <c r="T135" s="11">
        <f t="shared" si="17"/>
        <v>0</v>
      </c>
      <c r="U135" s="11">
        <f t="shared" si="17"/>
        <v>0</v>
      </c>
      <c r="V135" s="11">
        <f t="shared" si="17"/>
        <v>0</v>
      </c>
      <c r="W135" s="35">
        <f t="shared" si="6"/>
        <v>7206.0270407119033</v>
      </c>
      <c r="X135" s="35">
        <f t="shared" si="7"/>
        <v>912.97295928809672</v>
      </c>
      <c r="Y135" s="35">
        <f t="shared" si="8"/>
        <v>912.97295928809672</v>
      </c>
      <c r="Z135" s="35">
        <f t="shared" si="9"/>
        <v>833519.62439126475</v>
      </c>
      <c r="AA135" s="35">
        <f t="shared" si="10"/>
        <v>38920215.274234787</v>
      </c>
      <c r="AB135" s="35">
        <f t="shared" si="11"/>
        <v>1326.1932668319309</v>
      </c>
      <c r="AC135" s="35">
        <f t="shared" si="12"/>
        <v>-101758.17154108248</v>
      </c>
      <c r="AD135" s="35">
        <f t="shared" si="13"/>
        <v>2302.3339439282086</v>
      </c>
      <c r="AE135" s="35">
        <f t="shared" si="14"/>
        <v>3842.7012120312706</v>
      </c>
      <c r="AF135" s="40">
        <f t="shared" si="15"/>
        <v>438.7</v>
      </c>
      <c r="AG135" s="34">
        <f t="shared" si="16"/>
        <v>0</v>
      </c>
    </row>
    <row r="136" spans="1:33" x14ac:dyDescent="0.3">
      <c r="A136" s="4" t="str">
        <f>DATASETS!A24</f>
        <v>C.P. GARCIA /KATIPUNAN AVE. / TANDANG SORA</v>
      </c>
      <c r="B136" s="4">
        <f>DATASETS!B24</f>
        <v>2024</v>
      </c>
      <c r="C136" s="9">
        <f>DATASETS!C24</f>
        <v>250762</v>
      </c>
      <c r="D136" s="6">
        <f>DATASETS!I24</f>
        <v>8119</v>
      </c>
      <c r="E136" s="9">
        <f>DATASETS!H24</f>
        <v>438.7</v>
      </c>
      <c r="F136" s="6">
        <f>DATASETS!D24</f>
        <v>8633</v>
      </c>
      <c r="G136" s="11">
        <v>1</v>
      </c>
      <c r="H136" s="32">
        <f t="shared" si="2"/>
        <v>1.1420461863307922</v>
      </c>
      <c r="I136" s="32">
        <f t="shared" si="3"/>
        <v>1.5425586470170847</v>
      </c>
      <c r="J136" s="32">
        <f t="shared" si="4"/>
        <v>3.5404910343691816</v>
      </c>
      <c r="K136" s="11">
        <f t="shared" si="17"/>
        <v>1</v>
      </c>
      <c r="L136" s="11">
        <f t="shared" si="17"/>
        <v>0</v>
      </c>
      <c r="M136" s="11">
        <f t="shared" si="17"/>
        <v>0</v>
      </c>
      <c r="N136" s="11">
        <f t="shared" si="17"/>
        <v>0</v>
      </c>
      <c r="O136" s="11">
        <f t="shared" si="17"/>
        <v>0</v>
      </c>
      <c r="P136" s="11">
        <f t="shared" si="17"/>
        <v>0</v>
      </c>
      <c r="Q136" s="11">
        <f t="shared" si="17"/>
        <v>0</v>
      </c>
      <c r="R136" s="11">
        <f t="shared" si="17"/>
        <v>0</v>
      </c>
      <c r="S136" s="11">
        <f t="shared" si="17"/>
        <v>0</v>
      </c>
      <c r="T136" s="11">
        <f t="shared" si="17"/>
        <v>0</v>
      </c>
      <c r="U136" s="11">
        <f t="shared" si="17"/>
        <v>0</v>
      </c>
      <c r="V136" s="11">
        <f t="shared" si="17"/>
        <v>0</v>
      </c>
      <c r="W136" s="35">
        <f t="shared" si="6"/>
        <v>7496.9564585810731</v>
      </c>
      <c r="X136" s="35">
        <f t="shared" si="7"/>
        <v>1136.0435414189269</v>
      </c>
      <c r="Y136" s="35">
        <f t="shared" si="8"/>
        <v>1136.0435414189269</v>
      </c>
      <c r="Z136" s="35">
        <f t="shared" si="9"/>
        <v>1290594.9279996571</v>
      </c>
      <c r="AA136" s="35">
        <f t="shared" si="10"/>
        <v>45597699.103294618</v>
      </c>
      <c r="AB136" s="35">
        <f t="shared" si="11"/>
        <v>1393.2377133048813</v>
      </c>
      <c r="AC136" s="35">
        <f t="shared" si="12"/>
        <v>-101808.47216962479</v>
      </c>
      <c r="AD136" s="35">
        <f t="shared" si="13"/>
        <v>2576.5195438667297</v>
      </c>
      <c r="AE136" s="35">
        <f t="shared" si="14"/>
        <v>3842.7012120312706</v>
      </c>
      <c r="AF136" s="40">
        <f t="shared" si="15"/>
        <v>438.7</v>
      </c>
      <c r="AG136" s="34">
        <f t="shared" si="16"/>
        <v>0</v>
      </c>
    </row>
    <row r="137" spans="1:33" x14ac:dyDescent="0.3">
      <c r="A137" s="4" t="str">
        <f>DATASETS!A26</f>
        <v>ROXAS BLVD.</v>
      </c>
      <c r="B137" s="4">
        <f>DATASETS!B26</f>
        <v>2016</v>
      </c>
      <c r="C137" s="9">
        <f>DATASETS!C26</f>
        <v>175185</v>
      </c>
      <c r="D137" s="6">
        <f>DATASETS!I26</f>
        <v>1528</v>
      </c>
      <c r="E137" s="9">
        <f>DATASETS!H26</f>
        <v>60.8</v>
      </c>
      <c r="F137" s="6">
        <f>DATASETS!D26</f>
        <v>1877</v>
      </c>
      <c r="G137" s="11">
        <v>1</v>
      </c>
      <c r="H137" s="32">
        <f t="shared" si="2"/>
        <v>0.11280249158870202</v>
      </c>
      <c r="I137" s="32">
        <f t="shared" si="3"/>
        <v>-1.5425586470170847</v>
      </c>
      <c r="J137" s="32">
        <f t="shared" si="4"/>
        <v>-0.15883940436374103</v>
      </c>
      <c r="K137" s="11">
        <f t="shared" si="17"/>
        <v>0</v>
      </c>
      <c r="L137" s="11">
        <f t="shared" si="17"/>
        <v>1</v>
      </c>
      <c r="M137" s="11">
        <f t="shared" si="17"/>
        <v>0</v>
      </c>
      <c r="N137" s="11">
        <f t="shared" si="17"/>
        <v>0</v>
      </c>
      <c r="O137" s="11">
        <f t="shared" si="17"/>
        <v>0</v>
      </c>
      <c r="P137" s="11">
        <f t="shared" si="17"/>
        <v>0</v>
      </c>
      <c r="Q137" s="11">
        <f t="shared" si="17"/>
        <v>0</v>
      </c>
      <c r="R137" s="11">
        <f t="shared" si="17"/>
        <v>0</v>
      </c>
      <c r="S137" s="11">
        <f t="shared" si="17"/>
        <v>0</v>
      </c>
      <c r="T137" s="11">
        <f t="shared" si="17"/>
        <v>0</v>
      </c>
      <c r="U137" s="11">
        <f t="shared" si="17"/>
        <v>0</v>
      </c>
      <c r="V137" s="11">
        <f t="shared" si="17"/>
        <v>0</v>
      </c>
      <c r="W137" s="35">
        <f t="shared" si="6"/>
        <v>1906.9540114734268</v>
      </c>
      <c r="X137" s="35">
        <f t="shared" si="7"/>
        <v>-29.954011473426817</v>
      </c>
      <c r="Y137" s="35">
        <f t="shared" si="8"/>
        <v>29.954011473426817</v>
      </c>
      <c r="Z137" s="35">
        <f t="shared" si="9"/>
        <v>897.24280335018545</v>
      </c>
      <c r="AA137" s="35">
        <f t="shared" si="10"/>
        <v>11.513551026371289</v>
      </c>
      <c r="AB137" s="35">
        <f t="shared" si="11"/>
        <v>973.33068329856849</v>
      </c>
      <c r="AC137" s="35">
        <f t="shared" si="12"/>
        <v>-101406.06714128634</v>
      </c>
      <c r="AD137" s="35">
        <f t="shared" si="13"/>
        <v>484.90231100238492</v>
      </c>
      <c r="AE137" s="35">
        <f t="shared" si="14"/>
        <v>361.8179994558451</v>
      </c>
      <c r="AF137" s="40">
        <f t="shared" si="15"/>
        <v>60.8</v>
      </c>
      <c r="AG137" s="34">
        <f t="shared" si="16"/>
        <v>0</v>
      </c>
    </row>
    <row r="138" spans="1:33" x14ac:dyDescent="0.3">
      <c r="A138" s="4" t="str">
        <f>DATASETS!A27</f>
        <v>ROXAS BLVD.</v>
      </c>
      <c r="B138" s="4">
        <f>DATASETS!B27</f>
        <v>2017</v>
      </c>
      <c r="C138" s="9">
        <f>DATASETS!C27</f>
        <v>191120</v>
      </c>
      <c r="D138" s="6">
        <f>DATASETS!I27</f>
        <v>1877</v>
      </c>
      <c r="E138" s="9">
        <f>DATASETS!H27</f>
        <v>60.8</v>
      </c>
      <c r="F138" s="6">
        <f>DATASETS!D27</f>
        <v>2365</v>
      </c>
      <c r="G138" s="11">
        <v>1</v>
      </c>
      <c r="H138" s="32">
        <f t="shared" si="2"/>
        <v>0.32981293492086933</v>
      </c>
      <c r="I138" s="32">
        <f t="shared" si="3"/>
        <v>-1.1569189852628134</v>
      </c>
      <c r="J138" s="32">
        <f t="shared" si="4"/>
        <v>3.7043818685536772E-2</v>
      </c>
      <c r="K138" s="11">
        <f t="shared" si="17"/>
        <v>0</v>
      </c>
      <c r="L138" s="11">
        <f t="shared" si="17"/>
        <v>1</v>
      </c>
      <c r="M138" s="11">
        <f t="shared" si="17"/>
        <v>0</v>
      </c>
      <c r="N138" s="11">
        <f t="shared" si="17"/>
        <v>0</v>
      </c>
      <c r="O138" s="11">
        <f t="shared" si="17"/>
        <v>0</v>
      </c>
      <c r="P138" s="11">
        <f t="shared" si="17"/>
        <v>0</v>
      </c>
      <c r="Q138" s="11">
        <f t="shared" si="17"/>
        <v>0</v>
      </c>
      <c r="R138" s="11">
        <f t="shared" si="17"/>
        <v>0</v>
      </c>
      <c r="S138" s="11">
        <f t="shared" si="17"/>
        <v>0</v>
      </c>
      <c r="T138" s="11">
        <f t="shared" si="17"/>
        <v>0</v>
      </c>
      <c r="U138" s="11">
        <f t="shared" si="17"/>
        <v>0</v>
      </c>
      <c r="V138" s="11">
        <f t="shared" si="17"/>
        <v>0</v>
      </c>
      <c r="W138" s="35">
        <f t="shared" si="6"/>
        <v>2055.9417108274179</v>
      </c>
      <c r="X138" s="35">
        <f t="shared" si="7"/>
        <v>309.05828917258214</v>
      </c>
      <c r="Y138" s="35">
        <f t="shared" si="8"/>
        <v>309.05828917258214</v>
      </c>
      <c r="Z138" s="35">
        <f t="shared" si="9"/>
        <v>95517.026106283403</v>
      </c>
      <c r="AA138" s="35">
        <f t="shared" si="10"/>
        <v>234843.78705529991</v>
      </c>
      <c r="AB138" s="35">
        <f t="shared" si="11"/>
        <v>1061.8658001085846</v>
      </c>
      <c r="AC138" s="35">
        <f t="shared" si="12"/>
        <v>-101456.36776982865</v>
      </c>
      <c r="AD138" s="35">
        <f t="shared" si="13"/>
        <v>595.65552208866268</v>
      </c>
      <c r="AE138" s="35">
        <f t="shared" si="14"/>
        <v>361.8179994558451</v>
      </c>
      <c r="AF138" s="40">
        <f t="shared" si="15"/>
        <v>60.8</v>
      </c>
      <c r="AG138" s="34">
        <f t="shared" si="16"/>
        <v>0</v>
      </c>
    </row>
    <row r="139" spans="1:33" x14ac:dyDescent="0.3">
      <c r="A139" s="4" t="str">
        <f>DATASETS!A28</f>
        <v>ROXAS BLVD.</v>
      </c>
      <c r="B139" s="4">
        <f>DATASETS!B28</f>
        <v>2018</v>
      </c>
      <c r="C139" s="9">
        <f>DATASETS!C28</f>
        <v>203487</v>
      </c>
      <c r="D139" s="6">
        <f>DATASETS!I28</f>
        <v>2365</v>
      </c>
      <c r="E139" s="9">
        <f>DATASETS!H28</f>
        <v>60.8</v>
      </c>
      <c r="F139" s="6">
        <f>DATASETS!D28</f>
        <v>2540</v>
      </c>
      <c r="G139" s="11">
        <v>1</v>
      </c>
      <c r="H139" s="32">
        <f t="shared" si="2"/>
        <v>0.49823264955462598</v>
      </c>
      <c r="I139" s="32">
        <f t="shared" si="3"/>
        <v>-0.77127932350854234</v>
      </c>
      <c r="J139" s="32">
        <f t="shared" si="4"/>
        <v>0.31094356896647535</v>
      </c>
      <c r="K139" s="11">
        <f t="shared" ref="K139:V148" si="18">IF($A139=K$113,1,0)</f>
        <v>0</v>
      </c>
      <c r="L139" s="11">
        <f t="shared" si="18"/>
        <v>1</v>
      </c>
      <c r="M139" s="11">
        <f t="shared" si="18"/>
        <v>0</v>
      </c>
      <c r="N139" s="11">
        <f t="shared" si="18"/>
        <v>0</v>
      </c>
      <c r="O139" s="11">
        <f t="shared" si="18"/>
        <v>0</v>
      </c>
      <c r="P139" s="11">
        <f t="shared" si="18"/>
        <v>0</v>
      </c>
      <c r="Q139" s="11">
        <f t="shared" si="18"/>
        <v>0</v>
      </c>
      <c r="R139" s="11">
        <f t="shared" si="18"/>
        <v>0</v>
      </c>
      <c r="S139" s="11">
        <f t="shared" si="18"/>
        <v>0</v>
      </c>
      <c r="T139" s="11">
        <f t="shared" si="18"/>
        <v>0</v>
      </c>
      <c r="U139" s="11">
        <f t="shared" si="18"/>
        <v>0</v>
      </c>
      <c r="V139" s="11">
        <f t="shared" si="18"/>
        <v>0</v>
      </c>
      <c r="W139" s="35">
        <f t="shared" si="6"/>
        <v>2229.216422447053</v>
      </c>
      <c r="X139" s="35">
        <f t="shared" si="7"/>
        <v>310.78357755294701</v>
      </c>
      <c r="Y139" s="35">
        <f t="shared" si="8"/>
        <v>310.78357755294701</v>
      </c>
      <c r="Z139" s="35">
        <f t="shared" si="9"/>
        <v>96586.432076608631</v>
      </c>
      <c r="AA139" s="35">
        <f t="shared" si="10"/>
        <v>435081.18021769309</v>
      </c>
      <c r="AB139" s="35">
        <f t="shared" si="11"/>
        <v>1130.5770514163644</v>
      </c>
      <c r="AC139" s="35">
        <f t="shared" si="12"/>
        <v>-101506.66839837095</v>
      </c>
      <c r="AD139" s="35">
        <f t="shared" si="13"/>
        <v>750.51961094282751</v>
      </c>
      <c r="AE139" s="35">
        <f t="shared" si="14"/>
        <v>361.8179994558451</v>
      </c>
      <c r="AF139" s="40">
        <f t="shared" si="15"/>
        <v>60.8</v>
      </c>
      <c r="AG139" s="34">
        <f t="shared" si="16"/>
        <v>0</v>
      </c>
    </row>
    <row r="140" spans="1:33" x14ac:dyDescent="0.3">
      <c r="A140" s="4" t="str">
        <f>DATASETS!A29</f>
        <v>ROXAS BLVD.</v>
      </c>
      <c r="B140" s="4">
        <f>DATASETS!B29</f>
        <v>2019</v>
      </c>
      <c r="C140" s="9">
        <f>DATASETS!C29</f>
        <v>203582</v>
      </c>
      <c r="D140" s="6">
        <f>DATASETS!I29</f>
        <v>2540</v>
      </c>
      <c r="E140" s="9">
        <f>DATASETS!H29</f>
        <v>60.8</v>
      </c>
      <c r="F140" s="6">
        <f>DATASETS!D29</f>
        <v>2737</v>
      </c>
      <c r="G140" s="11">
        <v>1</v>
      </c>
      <c r="H140" s="32">
        <f t="shared" si="2"/>
        <v>0.49952640494317674</v>
      </c>
      <c r="I140" s="32">
        <f t="shared" si="3"/>
        <v>-0.38563966175427117</v>
      </c>
      <c r="J140" s="32">
        <f t="shared" si="4"/>
        <v>0.40916581548115621</v>
      </c>
      <c r="K140" s="11">
        <f t="shared" si="18"/>
        <v>0</v>
      </c>
      <c r="L140" s="11">
        <f t="shared" si="18"/>
        <v>1</v>
      </c>
      <c r="M140" s="11">
        <f t="shared" si="18"/>
        <v>0</v>
      </c>
      <c r="N140" s="11">
        <f t="shared" si="18"/>
        <v>0</v>
      </c>
      <c r="O140" s="11">
        <f t="shared" si="18"/>
        <v>0</v>
      </c>
      <c r="P140" s="11">
        <f t="shared" si="18"/>
        <v>0</v>
      </c>
      <c r="Q140" s="11">
        <f t="shared" si="18"/>
        <v>0</v>
      </c>
      <c r="R140" s="11">
        <f t="shared" si="18"/>
        <v>0</v>
      </c>
      <c r="S140" s="11">
        <f t="shared" si="18"/>
        <v>0</v>
      </c>
      <c r="T140" s="11">
        <f t="shared" si="18"/>
        <v>0</v>
      </c>
      <c r="U140" s="11">
        <f t="shared" si="18"/>
        <v>0</v>
      </c>
      <c r="V140" s="11">
        <f t="shared" si="18"/>
        <v>0</v>
      </c>
      <c r="W140" s="35">
        <f t="shared" si="6"/>
        <v>2234.9788932011143</v>
      </c>
      <c r="X140" s="35">
        <f t="shared" si="7"/>
        <v>502.02110679888574</v>
      </c>
      <c r="Y140" s="35">
        <f t="shared" si="8"/>
        <v>502.02110679888574</v>
      </c>
      <c r="Z140" s="35">
        <f t="shared" si="9"/>
        <v>252025.19167157824</v>
      </c>
      <c r="AA140" s="35">
        <f t="shared" si="10"/>
        <v>733775.2742347871</v>
      </c>
      <c r="AB140" s="35">
        <f t="shared" si="11"/>
        <v>1131.1048729473937</v>
      </c>
      <c r="AC140" s="35">
        <f t="shared" si="12"/>
        <v>-101556.96902691326</v>
      </c>
      <c r="AD140" s="35">
        <f t="shared" si="13"/>
        <v>806.05488870815293</v>
      </c>
      <c r="AE140" s="35">
        <f t="shared" si="14"/>
        <v>361.8179994558451</v>
      </c>
      <c r="AF140" s="40">
        <f t="shared" si="15"/>
        <v>60.8</v>
      </c>
      <c r="AG140" s="34">
        <f t="shared" si="16"/>
        <v>0</v>
      </c>
    </row>
    <row r="141" spans="1:33" x14ac:dyDescent="0.3">
      <c r="A141" s="4" t="str">
        <f>DATASETS!A30</f>
        <v>ROXAS BLVD.</v>
      </c>
      <c r="B141" s="4">
        <f>DATASETS!B30</f>
        <v>2020</v>
      </c>
      <c r="C141" s="9">
        <f>DATASETS!C30</f>
        <v>190626</v>
      </c>
      <c r="D141" s="6">
        <f>DATASETS!I30</f>
        <v>2737</v>
      </c>
      <c r="E141" s="9">
        <f>DATASETS!H30</f>
        <v>60.8</v>
      </c>
      <c r="F141" s="6">
        <f>DATASETS!D30</f>
        <v>1401</v>
      </c>
      <c r="G141" s="11">
        <v>1</v>
      </c>
      <c r="H141" s="32">
        <f t="shared" si="2"/>
        <v>0.32308540690040549</v>
      </c>
      <c r="I141" s="32">
        <f t="shared" si="3"/>
        <v>0</v>
      </c>
      <c r="J141" s="32">
        <f t="shared" si="4"/>
        <v>0.51973600155768263</v>
      </c>
      <c r="K141" s="11">
        <f t="shared" si="18"/>
        <v>0</v>
      </c>
      <c r="L141" s="11">
        <f t="shared" si="18"/>
        <v>1</v>
      </c>
      <c r="M141" s="11">
        <f t="shared" si="18"/>
        <v>0</v>
      </c>
      <c r="N141" s="11">
        <f t="shared" si="18"/>
        <v>0</v>
      </c>
      <c r="O141" s="11">
        <f t="shared" si="18"/>
        <v>0</v>
      </c>
      <c r="P141" s="11">
        <f t="shared" si="18"/>
        <v>0</v>
      </c>
      <c r="Q141" s="11">
        <f t="shared" si="18"/>
        <v>0</v>
      </c>
      <c r="R141" s="11">
        <f t="shared" si="18"/>
        <v>0</v>
      </c>
      <c r="S141" s="11">
        <f t="shared" si="18"/>
        <v>0</v>
      </c>
      <c r="T141" s="11">
        <f t="shared" si="18"/>
        <v>0</v>
      </c>
      <c r="U141" s="11">
        <f t="shared" si="18"/>
        <v>0</v>
      </c>
      <c r="V141" s="11">
        <f t="shared" si="18"/>
        <v>0</v>
      </c>
      <c r="W141" s="35">
        <f t="shared" si="6"/>
        <v>2175.2113754001703</v>
      </c>
      <c r="X141" s="35">
        <f t="shared" si="7"/>
        <v>-774.21137540017025</v>
      </c>
      <c r="Y141" s="35">
        <f t="shared" si="8"/>
        <v>774.21137540017025</v>
      </c>
      <c r="Z141" s="35">
        <f t="shared" si="9"/>
        <v>599403.25379902334</v>
      </c>
      <c r="AA141" s="35">
        <f t="shared" si="10"/>
        <v>229817.80414931694</v>
      </c>
      <c r="AB141" s="35">
        <f t="shared" si="11"/>
        <v>1059.1211281472324</v>
      </c>
      <c r="AC141" s="35">
        <f t="shared" si="12"/>
        <v>-101607.26965545557</v>
      </c>
      <c r="AD141" s="35">
        <f t="shared" si="13"/>
        <v>868.57174424969082</v>
      </c>
      <c r="AE141" s="35">
        <f t="shared" si="14"/>
        <v>361.8179994558451</v>
      </c>
      <c r="AF141" s="40">
        <f t="shared" si="15"/>
        <v>60.8</v>
      </c>
      <c r="AG141" s="34">
        <f t="shared" si="16"/>
        <v>0</v>
      </c>
    </row>
    <row r="142" spans="1:33" x14ac:dyDescent="0.3">
      <c r="A142" s="4" t="str">
        <f>DATASETS!A31</f>
        <v>ROXAS BLVD.</v>
      </c>
      <c r="B142" s="4">
        <f>DATASETS!B31</f>
        <v>2021</v>
      </c>
      <c r="C142" s="9">
        <f>DATASETS!C31</f>
        <v>209339</v>
      </c>
      <c r="D142" s="6">
        <f>DATASETS!I31</f>
        <v>1401</v>
      </c>
      <c r="E142" s="9">
        <f>DATASETS!H31</f>
        <v>60.8</v>
      </c>
      <c r="F142" s="6">
        <f>DATASETS!D31</f>
        <v>1283</v>
      </c>
      <c r="G142" s="11">
        <v>1</v>
      </c>
      <c r="H142" s="32">
        <f t="shared" si="2"/>
        <v>0.57792798148935098</v>
      </c>
      <c r="I142" s="32">
        <f t="shared" si="3"/>
        <v>0.38563966175427117</v>
      </c>
      <c r="J142" s="32">
        <f t="shared" si="4"/>
        <v>-0.23012069183439512</v>
      </c>
      <c r="K142" s="11">
        <f t="shared" si="18"/>
        <v>0</v>
      </c>
      <c r="L142" s="11">
        <f t="shared" si="18"/>
        <v>1</v>
      </c>
      <c r="M142" s="11">
        <f t="shared" si="18"/>
        <v>0</v>
      </c>
      <c r="N142" s="11">
        <f t="shared" si="18"/>
        <v>0</v>
      </c>
      <c r="O142" s="11">
        <f t="shared" si="18"/>
        <v>0</v>
      </c>
      <c r="P142" s="11">
        <f t="shared" si="18"/>
        <v>0</v>
      </c>
      <c r="Q142" s="11">
        <f t="shared" si="18"/>
        <v>0</v>
      </c>
      <c r="R142" s="11">
        <f t="shared" si="18"/>
        <v>0</v>
      </c>
      <c r="S142" s="11">
        <f t="shared" si="18"/>
        <v>0</v>
      </c>
      <c r="T142" s="11">
        <f t="shared" si="18"/>
        <v>0</v>
      </c>
      <c r="U142" s="11">
        <f t="shared" si="18"/>
        <v>0</v>
      </c>
      <c r="V142" s="11">
        <f t="shared" si="18"/>
        <v>0</v>
      </c>
      <c r="W142" s="35">
        <f t="shared" si="6"/>
        <v>1804.9082987556917</v>
      </c>
      <c r="X142" s="35">
        <f t="shared" si="7"/>
        <v>-521.9082987556917</v>
      </c>
      <c r="Y142" s="35">
        <f t="shared" si="8"/>
        <v>521.9082987556917</v>
      </c>
      <c r="Z142" s="35">
        <f t="shared" si="9"/>
        <v>272388.27231006033</v>
      </c>
      <c r="AA142" s="35">
        <f t="shared" si="10"/>
        <v>356878.59047410323</v>
      </c>
      <c r="AB142" s="35">
        <f t="shared" si="11"/>
        <v>1163.090857727768</v>
      </c>
      <c r="AC142" s="35">
        <f t="shared" si="12"/>
        <v>-101657.57028399788</v>
      </c>
      <c r="AD142" s="35">
        <f t="shared" si="13"/>
        <v>444.59956656697727</v>
      </c>
      <c r="AE142" s="35">
        <f t="shared" si="14"/>
        <v>361.8179994558451</v>
      </c>
      <c r="AF142" s="40">
        <f t="shared" si="15"/>
        <v>60.8</v>
      </c>
      <c r="AG142" s="34">
        <f t="shared" si="16"/>
        <v>0</v>
      </c>
    </row>
    <row r="143" spans="1:33" x14ac:dyDescent="0.3">
      <c r="A143" s="4" t="str">
        <f>DATASETS!A32</f>
        <v>ROXAS BLVD.</v>
      </c>
      <c r="B143" s="4">
        <f>DATASETS!B32</f>
        <v>2022</v>
      </c>
      <c r="C143" s="9">
        <f>DATASETS!C32</f>
        <v>186079</v>
      </c>
      <c r="D143" s="6">
        <f>DATASETS!I32</f>
        <v>1283</v>
      </c>
      <c r="E143" s="9">
        <f>DATASETS!H32</f>
        <v>60.8</v>
      </c>
      <c r="F143" s="6">
        <f>DATASETS!D32</f>
        <v>1786</v>
      </c>
      <c r="G143" s="11">
        <v>1</v>
      </c>
      <c r="H143" s="32">
        <f t="shared" si="2"/>
        <v>0.26116218846103528</v>
      </c>
      <c r="I143" s="32">
        <f t="shared" si="3"/>
        <v>0.77127932350854234</v>
      </c>
      <c r="J143" s="32">
        <f t="shared" si="4"/>
        <v>-0.29635054948429418</v>
      </c>
      <c r="K143" s="11">
        <f t="shared" si="18"/>
        <v>0</v>
      </c>
      <c r="L143" s="11">
        <f t="shared" si="18"/>
        <v>1</v>
      </c>
      <c r="M143" s="11">
        <f t="shared" si="18"/>
        <v>0</v>
      </c>
      <c r="N143" s="11">
        <f t="shared" si="18"/>
        <v>0</v>
      </c>
      <c r="O143" s="11">
        <f t="shared" si="18"/>
        <v>0</v>
      </c>
      <c r="P143" s="11">
        <f t="shared" si="18"/>
        <v>0</v>
      </c>
      <c r="Q143" s="11">
        <f t="shared" si="18"/>
        <v>0</v>
      </c>
      <c r="R143" s="11">
        <f t="shared" si="18"/>
        <v>0</v>
      </c>
      <c r="S143" s="11">
        <f t="shared" si="18"/>
        <v>0</v>
      </c>
      <c r="T143" s="11">
        <f t="shared" si="18"/>
        <v>0</v>
      </c>
      <c r="U143" s="11">
        <f t="shared" si="18"/>
        <v>0</v>
      </c>
      <c r="V143" s="11">
        <f t="shared" si="18"/>
        <v>0</v>
      </c>
      <c r="W143" s="35">
        <f t="shared" si="6"/>
        <v>1587.9280909169001</v>
      </c>
      <c r="X143" s="35">
        <f t="shared" si="7"/>
        <v>198.07190908309985</v>
      </c>
      <c r="Y143" s="35">
        <f t="shared" si="8"/>
        <v>198.07190908309985</v>
      </c>
      <c r="Z143" s="35">
        <f t="shared" si="9"/>
        <v>39232.481167823775</v>
      </c>
      <c r="AA143" s="35">
        <f t="shared" si="10"/>
        <v>8910.069106581921</v>
      </c>
      <c r="AB143" s="35">
        <f t="shared" si="11"/>
        <v>1033.8579228673364</v>
      </c>
      <c r="AC143" s="35">
        <f t="shared" si="12"/>
        <v>-101707.87091254018</v>
      </c>
      <c r="AD143" s="35">
        <f t="shared" si="13"/>
        <v>407.15292213092926</v>
      </c>
      <c r="AE143" s="35">
        <f t="shared" si="14"/>
        <v>361.8179994558451</v>
      </c>
      <c r="AF143" s="40">
        <f t="shared" si="15"/>
        <v>60.8</v>
      </c>
      <c r="AG143" s="34">
        <f t="shared" si="16"/>
        <v>0</v>
      </c>
    </row>
    <row r="144" spans="1:33" x14ac:dyDescent="0.3">
      <c r="A144" s="4" t="str">
        <f>DATASETS!A33</f>
        <v>ROXAS BLVD.</v>
      </c>
      <c r="B144" s="4">
        <f>DATASETS!B33</f>
        <v>2023</v>
      </c>
      <c r="C144" s="9">
        <f>DATASETS!C33</f>
        <v>190184</v>
      </c>
      <c r="D144" s="6">
        <f>DATASETS!I33</f>
        <v>1786</v>
      </c>
      <c r="E144" s="9">
        <f>DATASETS!H33</f>
        <v>60.8</v>
      </c>
      <c r="F144" s="6">
        <f>DATASETS!D33</f>
        <v>1817</v>
      </c>
      <c r="G144" s="11">
        <v>1</v>
      </c>
      <c r="H144" s="32">
        <f t="shared" si="2"/>
        <v>0.31706603972420105</v>
      </c>
      <c r="I144" s="32">
        <f t="shared" si="3"/>
        <v>1.1569189852628134</v>
      </c>
      <c r="J144" s="32">
        <f t="shared" si="4"/>
        <v>-1.4031749502097263E-2</v>
      </c>
      <c r="K144" s="11">
        <f t="shared" si="18"/>
        <v>0</v>
      </c>
      <c r="L144" s="11">
        <f t="shared" si="18"/>
        <v>1</v>
      </c>
      <c r="M144" s="11">
        <f t="shared" si="18"/>
        <v>0</v>
      </c>
      <c r="N144" s="11">
        <f t="shared" si="18"/>
        <v>0</v>
      </c>
      <c r="O144" s="11">
        <f t="shared" si="18"/>
        <v>0</v>
      </c>
      <c r="P144" s="11">
        <f t="shared" si="18"/>
        <v>0</v>
      </c>
      <c r="Q144" s="11">
        <f t="shared" si="18"/>
        <v>0</v>
      </c>
      <c r="R144" s="11">
        <f t="shared" si="18"/>
        <v>0</v>
      </c>
      <c r="S144" s="11">
        <f t="shared" si="18"/>
        <v>0</v>
      </c>
      <c r="T144" s="11">
        <f t="shared" si="18"/>
        <v>0</v>
      </c>
      <c r="U144" s="11">
        <f t="shared" si="18"/>
        <v>0</v>
      </c>
      <c r="V144" s="11">
        <f t="shared" si="18"/>
        <v>0</v>
      </c>
      <c r="W144" s="35">
        <f t="shared" si="6"/>
        <v>1720.0591640509456</v>
      </c>
      <c r="X144" s="35">
        <f t="shared" si="7"/>
        <v>96.940835949054417</v>
      </c>
      <c r="Y144" s="35">
        <f t="shared" si="8"/>
        <v>96.940835949054417</v>
      </c>
      <c r="Z144" s="35">
        <f t="shared" si="9"/>
        <v>9397.5256745014813</v>
      </c>
      <c r="AA144" s="35">
        <f t="shared" si="10"/>
        <v>4018.693038205854</v>
      </c>
      <c r="AB144" s="35">
        <f t="shared" si="11"/>
        <v>1056.6653690239173</v>
      </c>
      <c r="AC144" s="35">
        <f t="shared" si="12"/>
        <v>-101758.17154108248</v>
      </c>
      <c r="AD144" s="35">
        <f t="shared" si="13"/>
        <v>566.77717765069337</v>
      </c>
      <c r="AE144" s="35">
        <f t="shared" si="14"/>
        <v>361.8179994558451</v>
      </c>
      <c r="AF144" s="40">
        <f t="shared" si="15"/>
        <v>60.8</v>
      </c>
      <c r="AG144" s="34">
        <f t="shared" si="16"/>
        <v>0</v>
      </c>
    </row>
    <row r="145" spans="1:33" x14ac:dyDescent="0.3">
      <c r="A145" s="4" t="str">
        <f>DATASETS!A34</f>
        <v>ROXAS BLVD.</v>
      </c>
      <c r="B145" s="4">
        <f>DATASETS!B34</f>
        <v>2024</v>
      </c>
      <c r="C145" s="9">
        <f>DATASETS!C34</f>
        <v>202820</v>
      </c>
      <c r="D145" s="6">
        <f>DATASETS!I34</f>
        <v>1817</v>
      </c>
      <c r="E145" s="9">
        <f>DATASETS!H34</f>
        <v>60.8</v>
      </c>
      <c r="F145" s="6">
        <f>DATASETS!D34</f>
        <v>1659</v>
      </c>
      <c r="G145" s="11">
        <v>1</v>
      </c>
      <c r="H145" s="32">
        <f t="shared" si="2"/>
        <v>0.48914912487922246</v>
      </c>
      <c r="I145" s="32">
        <f t="shared" si="3"/>
        <v>1.5425586470170847</v>
      </c>
      <c r="J145" s="32">
        <f t="shared" si="4"/>
        <v>3.3676198805033431E-3</v>
      </c>
      <c r="K145" s="11">
        <f t="shared" si="18"/>
        <v>0</v>
      </c>
      <c r="L145" s="11">
        <f t="shared" si="18"/>
        <v>1</v>
      </c>
      <c r="M145" s="11">
        <f t="shared" si="18"/>
        <v>0</v>
      </c>
      <c r="N145" s="11">
        <f t="shared" si="18"/>
        <v>0</v>
      </c>
      <c r="O145" s="11">
        <f t="shared" si="18"/>
        <v>0</v>
      </c>
      <c r="P145" s="11">
        <f t="shared" si="18"/>
        <v>0</v>
      </c>
      <c r="Q145" s="11">
        <f t="shared" si="18"/>
        <v>0</v>
      </c>
      <c r="R145" s="11">
        <f t="shared" si="18"/>
        <v>0</v>
      </c>
      <c r="S145" s="11">
        <f t="shared" si="18"/>
        <v>0</v>
      </c>
      <c r="T145" s="11">
        <f t="shared" si="18"/>
        <v>0</v>
      </c>
      <c r="U145" s="11">
        <f t="shared" si="18"/>
        <v>0</v>
      </c>
      <c r="V145" s="11">
        <f t="shared" si="18"/>
        <v>0</v>
      </c>
      <c r="W145" s="35">
        <f t="shared" si="6"/>
        <v>1749.8020329272294</v>
      </c>
      <c r="X145" s="35">
        <f t="shared" si="7"/>
        <v>-90.802032927229448</v>
      </c>
      <c r="Y145" s="35">
        <f t="shared" si="8"/>
        <v>90.802032927229448</v>
      </c>
      <c r="Z145" s="35">
        <f t="shared" si="9"/>
        <v>8245.0091837176606</v>
      </c>
      <c r="AA145" s="35">
        <f t="shared" si="10"/>
        <v>49014.932354445162</v>
      </c>
      <c r="AB145" s="35">
        <f t="shared" si="11"/>
        <v>1126.8711886669273</v>
      </c>
      <c r="AC145" s="35">
        <f t="shared" si="12"/>
        <v>-101808.47216962479</v>
      </c>
      <c r="AD145" s="35">
        <f t="shared" si="13"/>
        <v>576.61485542626531</v>
      </c>
      <c r="AE145" s="35">
        <f t="shared" si="14"/>
        <v>361.8179994558451</v>
      </c>
      <c r="AF145" s="40">
        <f t="shared" si="15"/>
        <v>60.8</v>
      </c>
      <c r="AG145" s="34">
        <f t="shared" si="16"/>
        <v>0</v>
      </c>
    </row>
    <row r="146" spans="1:33" x14ac:dyDescent="0.3">
      <c r="A146" s="4" t="str">
        <f>DATASETS!A36</f>
        <v>TAFT AVE.</v>
      </c>
      <c r="B146" s="4">
        <f>DATASETS!B36</f>
        <v>2016</v>
      </c>
      <c r="C146" s="9">
        <f>DATASETS!C36</f>
        <v>89848</v>
      </c>
      <c r="D146" s="6">
        <f>DATASETS!I36</f>
        <v>789</v>
      </c>
      <c r="E146" s="9">
        <f>DATASETS!H36</f>
        <v>42</v>
      </c>
      <c r="F146" s="6">
        <f>DATASETS!D36</f>
        <v>979</v>
      </c>
      <c r="G146" s="11">
        <v>1</v>
      </c>
      <c r="H146" s="32">
        <f t="shared" si="2"/>
        <v>-1.049357546229758</v>
      </c>
      <c r="I146" s="32">
        <f t="shared" si="3"/>
        <v>-1.5425586470170847</v>
      </c>
      <c r="J146" s="32">
        <f t="shared" si="4"/>
        <v>-0.57361791964573616</v>
      </c>
      <c r="K146" s="11">
        <f t="shared" si="18"/>
        <v>0</v>
      </c>
      <c r="L146" s="11">
        <f t="shared" si="18"/>
        <v>0</v>
      </c>
      <c r="M146" s="11">
        <f t="shared" si="18"/>
        <v>1</v>
      </c>
      <c r="N146" s="11">
        <f t="shared" si="18"/>
        <v>0</v>
      </c>
      <c r="O146" s="11">
        <f t="shared" si="18"/>
        <v>0</v>
      </c>
      <c r="P146" s="11">
        <f t="shared" si="18"/>
        <v>0</v>
      </c>
      <c r="Q146" s="11">
        <f t="shared" si="18"/>
        <v>0</v>
      </c>
      <c r="R146" s="11">
        <f t="shared" si="18"/>
        <v>0</v>
      </c>
      <c r="S146" s="11">
        <f t="shared" si="18"/>
        <v>0</v>
      </c>
      <c r="T146" s="11">
        <f t="shared" si="18"/>
        <v>0</v>
      </c>
      <c r="U146" s="11">
        <f t="shared" si="18"/>
        <v>0</v>
      </c>
      <c r="V146" s="11">
        <f t="shared" si="18"/>
        <v>0</v>
      </c>
      <c r="W146" s="35">
        <f t="shared" si="6"/>
        <v>783.55139352449612</v>
      </c>
      <c r="X146" s="35">
        <f t="shared" si="7"/>
        <v>195.44860647550388</v>
      </c>
      <c r="Y146" s="35">
        <f t="shared" si="8"/>
        <v>195.44860647550388</v>
      </c>
      <c r="Z146" s="35">
        <f t="shared" si="9"/>
        <v>38200.157773216379</v>
      </c>
      <c r="AA146" s="35">
        <f t="shared" si="10"/>
        <v>812509.63320914598</v>
      </c>
      <c r="AB146" s="35">
        <f t="shared" si="11"/>
        <v>499.19693599914251</v>
      </c>
      <c r="AC146" s="35">
        <f t="shared" si="12"/>
        <v>-101406.06714128634</v>
      </c>
      <c r="AD146" s="35">
        <f t="shared" si="13"/>
        <v>250.38476661052468</v>
      </c>
      <c r="AE146" s="35">
        <f t="shared" si="14"/>
        <v>-52.933326801805379</v>
      </c>
      <c r="AF146" s="40">
        <f t="shared" si="15"/>
        <v>42</v>
      </c>
      <c r="AG146" s="34">
        <f t="shared" si="16"/>
        <v>0</v>
      </c>
    </row>
    <row r="147" spans="1:33" x14ac:dyDescent="0.3">
      <c r="A147" s="4" t="str">
        <f>DATASETS!A37</f>
        <v>TAFT AVE.</v>
      </c>
      <c r="B147" s="4">
        <f>DATASETS!B37</f>
        <v>2017</v>
      </c>
      <c r="C147" s="9">
        <f>DATASETS!C37</f>
        <v>90586</v>
      </c>
      <c r="D147" s="6">
        <f>DATASETS!I37</f>
        <v>979</v>
      </c>
      <c r="E147" s="9">
        <f>DATASETS!H37</f>
        <v>42</v>
      </c>
      <c r="F147" s="6">
        <f>DATASETS!D37</f>
        <v>937</v>
      </c>
      <c r="G147" s="11">
        <v>1</v>
      </c>
      <c r="H147" s="32">
        <f t="shared" si="2"/>
        <v>-1.0393071096323849</v>
      </c>
      <c r="I147" s="32">
        <f t="shared" si="3"/>
        <v>-1.1569189852628134</v>
      </c>
      <c r="J147" s="32">
        <f t="shared" si="4"/>
        <v>-0.4669766234297969</v>
      </c>
      <c r="K147" s="11">
        <f t="shared" si="18"/>
        <v>0</v>
      </c>
      <c r="L147" s="11">
        <f t="shared" si="18"/>
        <v>0</v>
      </c>
      <c r="M147" s="11">
        <f t="shared" si="18"/>
        <v>1</v>
      </c>
      <c r="N147" s="11">
        <f t="shared" si="18"/>
        <v>0</v>
      </c>
      <c r="O147" s="11">
        <f t="shared" si="18"/>
        <v>0</v>
      </c>
      <c r="P147" s="11">
        <f t="shared" si="18"/>
        <v>0</v>
      </c>
      <c r="Q147" s="11">
        <f t="shared" si="18"/>
        <v>0</v>
      </c>
      <c r="R147" s="11">
        <f t="shared" si="18"/>
        <v>0</v>
      </c>
      <c r="S147" s="11">
        <f t="shared" si="18"/>
        <v>0</v>
      </c>
      <c r="T147" s="11">
        <f t="shared" si="18"/>
        <v>0</v>
      </c>
      <c r="U147" s="11">
        <f t="shared" si="18"/>
        <v>0</v>
      </c>
      <c r="V147" s="11">
        <f t="shared" si="18"/>
        <v>0</v>
      </c>
      <c r="W147" s="35">
        <f t="shared" si="6"/>
        <v>797.64654930679114</v>
      </c>
      <c r="X147" s="35">
        <f t="shared" si="7"/>
        <v>139.35345069320886</v>
      </c>
      <c r="Y147" s="35">
        <f t="shared" si="8"/>
        <v>139.35345069320886</v>
      </c>
      <c r="Z147" s="35">
        <f t="shared" si="9"/>
        <v>19419.384220104592</v>
      </c>
      <c r="AA147" s="35">
        <f t="shared" si="10"/>
        <v>889990.6588501716</v>
      </c>
      <c r="AB147" s="35">
        <f t="shared" si="11"/>
        <v>503.2972758928226</v>
      </c>
      <c r="AC147" s="35">
        <f t="shared" si="12"/>
        <v>-101456.36776982865</v>
      </c>
      <c r="AD147" s="35">
        <f t="shared" si="13"/>
        <v>310.68021104144952</v>
      </c>
      <c r="AE147" s="35">
        <f t="shared" si="14"/>
        <v>-52.933326801805379</v>
      </c>
      <c r="AF147" s="40">
        <f t="shared" si="15"/>
        <v>42</v>
      </c>
      <c r="AG147" s="34">
        <f t="shared" si="16"/>
        <v>0</v>
      </c>
    </row>
    <row r="148" spans="1:33" x14ac:dyDescent="0.3">
      <c r="A148" s="4" t="str">
        <f>DATASETS!A38</f>
        <v>TAFT AVE.</v>
      </c>
      <c r="B148" s="4">
        <f>DATASETS!B38</f>
        <v>2018</v>
      </c>
      <c r="C148" s="9">
        <f>DATASETS!C38</f>
        <v>91766</v>
      </c>
      <c r="D148" s="6">
        <f>DATASETS!I38</f>
        <v>937</v>
      </c>
      <c r="E148" s="9">
        <f>DATASETS!H38</f>
        <v>42</v>
      </c>
      <c r="F148" s="6">
        <f>DATASETS!D38</f>
        <v>930</v>
      </c>
      <c r="G148" s="11">
        <v>1</v>
      </c>
      <c r="H148" s="32">
        <f t="shared" si="2"/>
        <v>-1.0232373058588073</v>
      </c>
      <c r="I148" s="32">
        <f t="shared" si="3"/>
        <v>-0.77127932350854234</v>
      </c>
      <c r="J148" s="32">
        <f t="shared" si="4"/>
        <v>-0.49054996259332034</v>
      </c>
      <c r="K148" s="11">
        <f t="shared" si="18"/>
        <v>0</v>
      </c>
      <c r="L148" s="11">
        <f t="shared" si="18"/>
        <v>0</v>
      </c>
      <c r="M148" s="11">
        <f t="shared" si="18"/>
        <v>1</v>
      </c>
      <c r="N148" s="11">
        <f t="shared" si="18"/>
        <v>0</v>
      </c>
      <c r="O148" s="11">
        <f t="shared" si="18"/>
        <v>0</v>
      </c>
      <c r="P148" s="11">
        <f t="shared" si="18"/>
        <v>0</v>
      </c>
      <c r="Q148" s="11">
        <f t="shared" si="18"/>
        <v>0</v>
      </c>
      <c r="R148" s="11">
        <f t="shared" si="18"/>
        <v>0</v>
      </c>
      <c r="S148" s="11">
        <f t="shared" si="18"/>
        <v>0</v>
      </c>
      <c r="T148" s="11">
        <f t="shared" si="18"/>
        <v>0</v>
      </c>
      <c r="U148" s="11">
        <f t="shared" si="18"/>
        <v>0</v>
      </c>
      <c r="V148" s="11">
        <f t="shared" si="18"/>
        <v>0</v>
      </c>
      <c r="W148" s="35">
        <f t="shared" si="6"/>
        <v>740.5735531178002</v>
      </c>
      <c r="X148" s="35">
        <f t="shared" si="7"/>
        <v>189.4264468821998</v>
      </c>
      <c r="Y148" s="35">
        <f t="shared" si="8"/>
        <v>189.4264468821998</v>
      </c>
      <c r="Z148" s="35">
        <f t="shared" si="9"/>
        <v>35882.378778414859</v>
      </c>
      <c r="AA148" s="35">
        <f t="shared" si="10"/>
        <v>903247.16312367585</v>
      </c>
      <c r="AB148" s="35">
        <f t="shared" si="11"/>
        <v>509.85337490981783</v>
      </c>
      <c r="AC148" s="35">
        <f t="shared" si="12"/>
        <v>-101506.66839837095</v>
      </c>
      <c r="AD148" s="35">
        <f t="shared" si="13"/>
        <v>297.35174437777141</v>
      </c>
      <c r="AE148" s="35">
        <f t="shared" si="14"/>
        <v>-52.933326801805379</v>
      </c>
      <c r="AF148" s="40">
        <f t="shared" si="15"/>
        <v>42</v>
      </c>
      <c r="AG148" s="34">
        <f t="shared" si="16"/>
        <v>0</v>
      </c>
    </row>
    <row r="149" spans="1:33" x14ac:dyDescent="0.3">
      <c r="A149" s="4" t="str">
        <f>DATASETS!A39</f>
        <v>TAFT AVE.</v>
      </c>
      <c r="B149" s="4">
        <f>DATASETS!B39</f>
        <v>2019</v>
      </c>
      <c r="C149" s="9">
        <f>DATASETS!C39</f>
        <v>100065</v>
      </c>
      <c r="D149" s="6">
        <f>DATASETS!I39</f>
        <v>930</v>
      </c>
      <c r="E149" s="9">
        <f>DATASETS!H39</f>
        <v>42</v>
      </c>
      <c r="F149" s="6">
        <f>DATASETS!D39</f>
        <v>1101</v>
      </c>
      <c r="G149" s="11">
        <v>1</v>
      </c>
      <c r="H149" s="32">
        <f t="shared" si="2"/>
        <v>-0.91021755881057043</v>
      </c>
      <c r="I149" s="32">
        <f t="shared" si="3"/>
        <v>-0.38563966175427117</v>
      </c>
      <c r="J149" s="32">
        <f t="shared" si="4"/>
        <v>-0.49447885245390755</v>
      </c>
      <c r="K149" s="11">
        <f t="shared" ref="K149:V158" si="19">IF($A149=K$113,1,0)</f>
        <v>0</v>
      </c>
      <c r="L149" s="11">
        <f t="shared" si="19"/>
        <v>0</v>
      </c>
      <c r="M149" s="11">
        <f t="shared" si="19"/>
        <v>1</v>
      </c>
      <c r="N149" s="11">
        <f t="shared" si="19"/>
        <v>0</v>
      </c>
      <c r="O149" s="11">
        <f t="shared" si="19"/>
        <v>0</v>
      </c>
      <c r="P149" s="11">
        <f t="shared" si="19"/>
        <v>0</v>
      </c>
      <c r="Q149" s="11">
        <f t="shared" si="19"/>
        <v>0</v>
      </c>
      <c r="R149" s="11">
        <f t="shared" si="19"/>
        <v>0</v>
      </c>
      <c r="S149" s="11">
        <f t="shared" si="19"/>
        <v>0</v>
      </c>
      <c r="T149" s="11">
        <f t="shared" si="19"/>
        <v>0</v>
      </c>
      <c r="U149" s="11">
        <f t="shared" si="19"/>
        <v>0</v>
      </c>
      <c r="V149" s="11">
        <f t="shared" si="19"/>
        <v>0</v>
      </c>
      <c r="W149" s="35">
        <f t="shared" si="6"/>
        <v>734.16089121238724</v>
      </c>
      <c r="X149" s="35">
        <f t="shared" si="7"/>
        <v>366.83910878761276</v>
      </c>
      <c r="Y149" s="35">
        <f t="shared" si="8"/>
        <v>366.83910878761276</v>
      </c>
      <c r="Z149" s="35">
        <f t="shared" si="9"/>
        <v>134570.93173608999</v>
      </c>
      <c r="AA149" s="35">
        <f t="shared" si="10"/>
        <v>607453.70158521435</v>
      </c>
      <c r="AB149" s="35">
        <f t="shared" si="11"/>
        <v>555.96275265731231</v>
      </c>
      <c r="AC149" s="35">
        <f t="shared" si="12"/>
        <v>-101556.96902691326</v>
      </c>
      <c r="AD149" s="35">
        <f t="shared" si="13"/>
        <v>295.13033326715839</v>
      </c>
      <c r="AE149" s="35">
        <f t="shared" si="14"/>
        <v>-52.933326801805379</v>
      </c>
      <c r="AF149" s="40">
        <f t="shared" si="15"/>
        <v>42</v>
      </c>
      <c r="AG149" s="34">
        <f t="shared" si="16"/>
        <v>0</v>
      </c>
    </row>
    <row r="150" spans="1:33" x14ac:dyDescent="0.3">
      <c r="A150" s="4" t="str">
        <f>DATASETS!A40</f>
        <v>TAFT AVE.</v>
      </c>
      <c r="B150" s="4">
        <f>DATASETS!B40</f>
        <v>2020</v>
      </c>
      <c r="C150" s="9">
        <f>DATASETS!C40</f>
        <v>110916</v>
      </c>
      <c r="D150" s="6">
        <f>DATASETS!I40</f>
        <v>1101</v>
      </c>
      <c r="E150" s="9">
        <f>DATASETS!H40</f>
        <v>42</v>
      </c>
      <c r="F150" s="6">
        <f>DATASETS!D40</f>
        <v>502</v>
      </c>
      <c r="G150" s="11">
        <v>1</v>
      </c>
      <c r="H150" s="32">
        <f t="shared" si="2"/>
        <v>-0.76244345648252854</v>
      </c>
      <c r="I150" s="32">
        <f t="shared" si="3"/>
        <v>0</v>
      </c>
      <c r="J150" s="32">
        <f t="shared" si="4"/>
        <v>-0.39850168585956225</v>
      </c>
      <c r="K150" s="11">
        <f t="shared" si="19"/>
        <v>0</v>
      </c>
      <c r="L150" s="11">
        <f t="shared" si="19"/>
        <v>0</v>
      </c>
      <c r="M150" s="11">
        <f t="shared" si="19"/>
        <v>1</v>
      </c>
      <c r="N150" s="11">
        <f t="shared" si="19"/>
        <v>0</v>
      </c>
      <c r="O150" s="11">
        <f t="shared" si="19"/>
        <v>0</v>
      </c>
      <c r="P150" s="11">
        <f t="shared" si="19"/>
        <v>0</v>
      </c>
      <c r="Q150" s="11">
        <f t="shared" si="19"/>
        <v>0</v>
      </c>
      <c r="R150" s="11">
        <f t="shared" si="19"/>
        <v>0</v>
      </c>
      <c r="S150" s="11">
        <f t="shared" si="19"/>
        <v>0</v>
      </c>
      <c r="T150" s="11">
        <f t="shared" si="19"/>
        <v>0</v>
      </c>
      <c r="U150" s="11">
        <f t="shared" si="19"/>
        <v>0</v>
      </c>
      <c r="V150" s="11">
        <f t="shared" si="19"/>
        <v>0</v>
      </c>
      <c r="W150" s="35">
        <f t="shared" si="6"/>
        <v>798.41449353367511</v>
      </c>
      <c r="X150" s="35">
        <f t="shared" si="7"/>
        <v>-296.41449353367511</v>
      </c>
      <c r="Y150" s="35">
        <f t="shared" si="8"/>
        <v>296.41449353367511</v>
      </c>
      <c r="Z150" s="35">
        <f t="shared" si="9"/>
        <v>87861.551976825125</v>
      </c>
      <c r="AA150" s="35">
        <f t="shared" si="10"/>
        <v>1899967.7101322229</v>
      </c>
      <c r="AB150" s="35">
        <f t="shared" si="11"/>
        <v>616.25108353308804</v>
      </c>
      <c r="AC150" s="35">
        <f t="shared" si="12"/>
        <v>-101607.26965545557</v>
      </c>
      <c r="AD150" s="35">
        <f t="shared" si="13"/>
        <v>349.3962332549907</v>
      </c>
      <c r="AE150" s="35">
        <f t="shared" si="14"/>
        <v>-52.933326801805379</v>
      </c>
      <c r="AF150" s="40">
        <f t="shared" si="15"/>
        <v>42</v>
      </c>
      <c r="AG150" s="34">
        <f t="shared" si="16"/>
        <v>0</v>
      </c>
    </row>
    <row r="151" spans="1:33" x14ac:dyDescent="0.3">
      <c r="A151" s="4" t="str">
        <f>DATASETS!A41</f>
        <v>TAFT AVE.</v>
      </c>
      <c r="B151" s="4">
        <f>DATASETS!B41</f>
        <v>2021</v>
      </c>
      <c r="C151" s="9">
        <f>DATASETS!C41</f>
        <v>114715</v>
      </c>
      <c r="D151" s="6">
        <f>DATASETS!I41</f>
        <v>502</v>
      </c>
      <c r="E151" s="9">
        <f>DATASETS!H41</f>
        <v>42</v>
      </c>
      <c r="F151" s="6">
        <f>DATASETS!D41</f>
        <v>395</v>
      </c>
      <c r="G151" s="11">
        <v>1</v>
      </c>
      <c r="H151" s="32">
        <f t="shared" ref="H151:H182" si="20">(C151-$B$6)/$C$6</f>
        <v>-0.71070685941827361</v>
      </c>
      <c r="I151" s="32">
        <f t="shared" ref="I151:I182" si="21">(B151-$B$7)/$C$7</f>
        <v>0.38563966175427117</v>
      </c>
      <c r="J151" s="32">
        <f t="shared" ref="J151:J182" si="22">(D151-$B$8)/$C$8</f>
        <v>-0.73470240392981268</v>
      </c>
      <c r="K151" s="11">
        <f t="shared" si="19"/>
        <v>0</v>
      </c>
      <c r="L151" s="11">
        <f t="shared" si="19"/>
        <v>0</v>
      </c>
      <c r="M151" s="11">
        <f t="shared" si="19"/>
        <v>1</v>
      </c>
      <c r="N151" s="11">
        <f t="shared" si="19"/>
        <v>0</v>
      </c>
      <c r="O151" s="11">
        <f t="shared" si="19"/>
        <v>0</v>
      </c>
      <c r="P151" s="11">
        <f t="shared" si="19"/>
        <v>0</v>
      </c>
      <c r="Q151" s="11">
        <f t="shared" si="19"/>
        <v>0</v>
      </c>
      <c r="R151" s="11">
        <f t="shared" si="19"/>
        <v>0</v>
      </c>
      <c r="S151" s="11">
        <f t="shared" si="19"/>
        <v>0</v>
      </c>
      <c r="T151" s="11">
        <f t="shared" si="19"/>
        <v>0</v>
      </c>
      <c r="U151" s="11">
        <f t="shared" si="19"/>
        <v>0</v>
      </c>
      <c r="V151" s="11">
        <f t="shared" si="19"/>
        <v>0</v>
      </c>
      <c r="W151" s="35">
        <f t="shared" ref="W151:W182" si="23">$C$70+$C$71*C151+$C$72*B151+$C$73*D151+AE151</f>
        <v>579.13184803682952</v>
      </c>
      <c r="X151" s="35">
        <f t="shared" ref="X151:X182" si="24">F151-W151</f>
        <v>-184.13184803682952</v>
      </c>
      <c r="Y151" s="35">
        <f t="shared" ref="Y151:Y182" si="25">ABS(X151)</f>
        <v>184.13184803682952</v>
      </c>
      <c r="Z151" s="35">
        <f t="shared" ref="Z151:Z182" si="26">X151^2</f>
        <v>33904.53746145808</v>
      </c>
      <c r="AA151" s="35">
        <f t="shared" ref="AA151:AA182" si="27">(F151-$B$11)^2</f>
        <v>2206392.8468843596</v>
      </c>
      <c r="AB151" s="35">
        <f t="shared" ref="AB151:AB182" si="28">$C$71*C151</f>
        <v>637.35838875814306</v>
      </c>
      <c r="AC151" s="35">
        <f t="shared" ref="AC151:AC182" si="29">$C$72*B151</f>
        <v>-101657.57028399788</v>
      </c>
      <c r="AD151" s="35">
        <f t="shared" ref="AD151:AD182" si="30">$C$73*D151</f>
        <v>159.30691107539087</v>
      </c>
      <c r="AE151" s="35">
        <f t="shared" ref="AE151:AE182" si="31">SUMPRODUCT(K151:V151,$K$116:$V$116)</f>
        <v>-52.933326801805379</v>
      </c>
      <c r="AF151" s="40">
        <f t="shared" ref="AF151:AF182" si="32">$B$114*(1-SUM(K151:V151))+SUMPRODUCT(K151:V151,$K$112:$V$112)</f>
        <v>42</v>
      </c>
      <c r="AG151" s="34">
        <f t="shared" ref="AG151:AG182" si="33">ABS(E151-AF151)</f>
        <v>0</v>
      </c>
    </row>
    <row r="152" spans="1:33" x14ac:dyDescent="0.3">
      <c r="A152" s="4" t="str">
        <f>DATASETS!A42</f>
        <v>TAFT AVE.</v>
      </c>
      <c r="B152" s="4">
        <f>DATASETS!B42</f>
        <v>2022</v>
      </c>
      <c r="C152" s="9">
        <f>DATASETS!C42</f>
        <v>194464</v>
      </c>
      <c r="D152" s="6">
        <f>DATASETS!I42</f>
        <v>395</v>
      </c>
      <c r="E152" s="9">
        <f>DATASETS!H42</f>
        <v>42</v>
      </c>
      <c r="F152" s="6">
        <f>DATASETS!D42</f>
        <v>538</v>
      </c>
      <c r="G152" s="11">
        <v>1</v>
      </c>
      <c r="H152" s="32">
        <f t="shared" si="20"/>
        <v>0.37535312459785503</v>
      </c>
      <c r="I152" s="32">
        <f t="shared" si="21"/>
        <v>0.77127932350854234</v>
      </c>
      <c r="J152" s="32">
        <f t="shared" si="22"/>
        <v>-0.79475829179878899</v>
      </c>
      <c r="K152" s="11">
        <f t="shared" si="19"/>
        <v>0</v>
      </c>
      <c r="L152" s="11">
        <f t="shared" si="19"/>
        <v>0</v>
      </c>
      <c r="M152" s="11">
        <f t="shared" si="19"/>
        <v>1</v>
      </c>
      <c r="N152" s="11">
        <f t="shared" si="19"/>
        <v>0</v>
      </c>
      <c r="O152" s="11">
        <f t="shared" si="19"/>
        <v>0</v>
      </c>
      <c r="P152" s="11">
        <f t="shared" si="19"/>
        <v>0</v>
      </c>
      <c r="Q152" s="11">
        <f t="shared" si="19"/>
        <v>0</v>
      </c>
      <c r="R152" s="11">
        <f t="shared" si="19"/>
        <v>0</v>
      </c>
      <c r="S152" s="11">
        <f t="shared" si="19"/>
        <v>0</v>
      </c>
      <c r="T152" s="11">
        <f t="shared" si="19"/>
        <v>0</v>
      </c>
      <c r="U152" s="11">
        <f t="shared" si="19"/>
        <v>0</v>
      </c>
      <c r="V152" s="11">
        <f t="shared" si="19"/>
        <v>0</v>
      </c>
      <c r="W152" s="35">
        <f t="shared" si="23"/>
        <v>937.96209318925435</v>
      </c>
      <c r="X152" s="35">
        <f t="shared" si="24"/>
        <v>-399.96209318925435</v>
      </c>
      <c r="Y152" s="35">
        <f t="shared" si="25"/>
        <v>399.96209318925435</v>
      </c>
      <c r="Z152" s="35">
        <f t="shared" si="26"/>
        <v>159969.67598832978</v>
      </c>
      <c r="AA152" s="35">
        <f t="shared" si="27"/>
        <v>1802019.4024399151</v>
      </c>
      <c r="AB152" s="35">
        <f t="shared" si="28"/>
        <v>1080.4451180008152</v>
      </c>
      <c r="AC152" s="35">
        <f t="shared" si="29"/>
        <v>-101707.87091254018</v>
      </c>
      <c r="AD152" s="35">
        <f t="shared" si="30"/>
        <v>125.35105552744899</v>
      </c>
      <c r="AE152" s="35">
        <f t="shared" si="31"/>
        <v>-52.933326801805379</v>
      </c>
      <c r="AF152" s="40">
        <f t="shared" si="32"/>
        <v>42</v>
      </c>
      <c r="AG152" s="34">
        <f t="shared" si="33"/>
        <v>0</v>
      </c>
    </row>
    <row r="153" spans="1:33" x14ac:dyDescent="0.3">
      <c r="A153" s="4" t="str">
        <f>DATASETS!A43</f>
        <v>TAFT AVE.</v>
      </c>
      <c r="B153" s="4">
        <f>DATASETS!B43</f>
        <v>2023</v>
      </c>
      <c r="C153" s="9">
        <f>DATASETS!C43</f>
        <v>134321</v>
      </c>
      <c r="D153" s="6">
        <f>DATASETS!I43</f>
        <v>538</v>
      </c>
      <c r="E153" s="9">
        <f>DATASETS!H43</f>
        <v>42</v>
      </c>
      <c r="F153" s="6">
        <f>DATASETS!D43</f>
        <v>587</v>
      </c>
      <c r="G153" s="11">
        <v>1</v>
      </c>
      <c r="H153" s="32">
        <f t="shared" si="20"/>
        <v>-0.4437029841769512</v>
      </c>
      <c r="I153" s="32">
        <f t="shared" si="21"/>
        <v>1.1569189852628134</v>
      </c>
      <c r="J153" s="32">
        <f t="shared" si="22"/>
        <v>-0.71449668464679261</v>
      </c>
      <c r="K153" s="11">
        <f t="shared" si="19"/>
        <v>0</v>
      </c>
      <c r="L153" s="11">
        <f t="shared" si="19"/>
        <v>0</v>
      </c>
      <c r="M153" s="11">
        <f t="shared" si="19"/>
        <v>1</v>
      </c>
      <c r="N153" s="11">
        <f t="shared" si="19"/>
        <v>0</v>
      </c>
      <c r="O153" s="11">
        <f t="shared" si="19"/>
        <v>0</v>
      </c>
      <c r="P153" s="11">
        <f t="shared" si="19"/>
        <v>0</v>
      </c>
      <c r="Q153" s="11">
        <f t="shared" si="19"/>
        <v>0</v>
      </c>
      <c r="R153" s="11">
        <f t="shared" si="19"/>
        <v>0</v>
      </c>
      <c r="S153" s="11">
        <f t="shared" si="19"/>
        <v>0</v>
      </c>
      <c r="T153" s="11">
        <f t="shared" si="19"/>
        <v>0</v>
      </c>
      <c r="U153" s="11">
        <f t="shared" si="19"/>
        <v>0</v>
      </c>
      <c r="V153" s="11">
        <f t="shared" si="19"/>
        <v>0</v>
      </c>
      <c r="W153" s="35">
        <f t="shared" si="23"/>
        <v>598.88624292186171</v>
      </c>
      <c r="X153" s="35">
        <f t="shared" si="24"/>
        <v>-11.886242921861708</v>
      </c>
      <c r="Y153" s="35">
        <f t="shared" si="25"/>
        <v>11.886242921861708</v>
      </c>
      <c r="Z153" s="35">
        <f t="shared" si="26"/>
        <v>141.28277079750757</v>
      </c>
      <c r="AA153" s="35">
        <f t="shared" si="27"/>
        <v>1672865.8725253853</v>
      </c>
      <c r="AB153" s="35">
        <f t="shared" si="28"/>
        <v>746.28964073035377</v>
      </c>
      <c r="AC153" s="35">
        <f t="shared" si="29"/>
        <v>-101758.17154108248</v>
      </c>
      <c r="AD153" s="35">
        <f t="shared" si="30"/>
        <v>170.73131107282924</v>
      </c>
      <c r="AE153" s="35">
        <f t="shared" si="31"/>
        <v>-52.933326801805379</v>
      </c>
      <c r="AF153" s="40">
        <f t="shared" si="32"/>
        <v>42</v>
      </c>
      <c r="AG153" s="34">
        <f t="shared" si="33"/>
        <v>0</v>
      </c>
    </row>
    <row r="154" spans="1:33" x14ac:dyDescent="0.3">
      <c r="A154" s="4" t="str">
        <f>DATASETS!A44</f>
        <v>TAFT AVE.</v>
      </c>
      <c r="B154" s="4">
        <f>DATASETS!B44</f>
        <v>2024</v>
      </c>
      <c r="C154" s="9">
        <f>DATASETS!C44</f>
        <v>119119</v>
      </c>
      <c r="D154" s="6">
        <f>DATASETS!I44</f>
        <v>587</v>
      </c>
      <c r="E154" s="9">
        <f>DATASETS!H44</f>
        <v>42</v>
      </c>
      <c r="F154" s="6">
        <f>DATASETS!D44</f>
        <v>481</v>
      </c>
      <c r="G154" s="11">
        <v>1</v>
      </c>
      <c r="H154" s="32">
        <f t="shared" si="20"/>
        <v>-0.65073108330061658</v>
      </c>
      <c r="I154" s="32">
        <f t="shared" si="21"/>
        <v>1.5425586470170847</v>
      </c>
      <c r="J154" s="32">
        <f t="shared" si="22"/>
        <v>-0.68699445562268202</v>
      </c>
      <c r="K154" s="11">
        <f t="shared" si="19"/>
        <v>0</v>
      </c>
      <c r="L154" s="11">
        <f t="shared" si="19"/>
        <v>0</v>
      </c>
      <c r="M154" s="11">
        <f t="shared" si="19"/>
        <v>1</v>
      </c>
      <c r="N154" s="11">
        <f t="shared" si="19"/>
        <v>0</v>
      </c>
      <c r="O154" s="11">
        <f t="shared" si="19"/>
        <v>0</v>
      </c>
      <c r="P154" s="11">
        <f t="shared" si="19"/>
        <v>0</v>
      </c>
      <c r="Q154" s="11">
        <f t="shared" si="19"/>
        <v>0</v>
      </c>
      <c r="R154" s="11">
        <f t="shared" si="19"/>
        <v>0</v>
      </c>
      <c r="S154" s="11">
        <f t="shared" si="19"/>
        <v>0</v>
      </c>
      <c r="T154" s="11">
        <f t="shared" si="19"/>
        <v>0</v>
      </c>
      <c r="U154" s="11">
        <f t="shared" si="19"/>
        <v>0</v>
      </c>
      <c r="V154" s="11">
        <f t="shared" si="19"/>
        <v>0</v>
      </c>
      <c r="W154" s="35">
        <f t="shared" si="23"/>
        <v>479.67293515694269</v>
      </c>
      <c r="X154" s="35">
        <f t="shared" si="24"/>
        <v>1.3270648430573146</v>
      </c>
      <c r="Y154" s="35">
        <f t="shared" si="25"/>
        <v>1.3270648430573146</v>
      </c>
      <c r="Z154" s="35">
        <f t="shared" si="26"/>
        <v>1.7611010976787351</v>
      </c>
      <c r="AA154" s="35">
        <f t="shared" si="27"/>
        <v>1958301.2229527356</v>
      </c>
      <c r="AB154" s="35">
        <f t="shared" si="28"/>
        <v>661.82708373343712</v>
      </c>
      <c r="AC154" s="35">
        <f t="shared" si="29"/>
        <v>-101808.47216962479</v>
      </c>
      <c r="AD154" s="35">
        <f t="shared" si="30"/>
        <v>186.2811888471204</v>
      </c>
      <c r="AE154" s="35">
        <f t="shared" si="31"/>
        <v>-52.933326801805379</v>
      </c>
      <c r="AF154" s="40">
        <f t="shared" si="32"/>
        <v>42</v>
      </c>
      <c r="AG154" s="34">
        <f t="shared" si="33"/>
        <v>0</v>
      </c>
    </row>
    <row r="155" spans="1:33" x14ac:dyDescent="0.3">
      <c r="A155" s="4" t="str">
        <f>DATASETS!A46</f>
        <v>SSH</v>
      </c>
      <c r="B155" s="4">
        <f>DATASETS!B46</f>
        <v>2016</v>
      </c>
      <c r="C155" s="9">
        <f>DATASETS!C46</f>
        <v>99923</v>
      </c>
      <c r="D155" s="6">
        <f>DATASETS!I46</f>
        <v>1481</v>
      </c>
      <c r="E155" s="9">
        <f>DATASETS!H46</f>
        <v>396.48</v>
      </c>
      <c r="F155" s="6">
        <f>DATASETS!D46</f>
        <v>1075</v>
      </c>
      <c r="G155" s="11">
        <v>1</v>
      </c>
      <c r="H155" s="32">
        <f t="shared" si="20"/>
        <v>-0.91215138265450946</v>
      </c>
      <c r="I155" s="32">
        <f t="shared" si="21"/>
        <v>-1.5425586470170847</v>
      </c>
      <c r="J155" s="32">
        <f t="shared" si="22"/>
        <v>-0.18521909342768386</v>
      </c>
      <c r="K155" s="11">
        <f t="shared" si="19"/>
        <v>0</v>
      </c>
      <c r="L155" s="11">
        <f t="shared" si="19"/>
        <v>0</v>
      </c>
      <c r="M155" s="11">
        <f t="shared" si="19"/>
        <v>0</v>
      </c>
      <c r="N155" s="11">
        <f t="shared" si="19"/>
        <v>1</v>
      </c>
      <c r="O155" s="11">
        <f t="shared" si="19"/>
        <v>0</v>
      </c>
      <c r="P155" s="11">
        <f t="shared" si="19"/>
        <v>0</v>
      </c>
      <c r="Q155" s="11">
        <f t="shared" si="19"/>
        <v>0</v>
      </c>
      <c r="R155" s="11">
        <f t="shared" si="19"/>
        <v>0</v>
      </c>
      <c r="S155" s="11">
        <f t="shared" si="19"/>
        <v>0</v>
      </c>
      <c r="T155" s="11">
        <f t="shared" si="19"/>
        <v>0</v>
      </c>
      <c r="U155" s="11">
        <f t="shared" si="19"/>
        <v>0</v>
      </c>
      <c r="V155" s="11">
        <f t="shared" si="19"/>
        <v>0</v>
      </c>
      <c r="W155" s="35">
        <f t="shared" si="23"/>
        <v>973.15783150881634</v>
      </c>
      <c r="X155" s="35">
        <f t="shared" si="24"/>
        <v>101.84216849118366</v>
      </c>
      <c r="Y155" s="35">
        <f t="shared" si="25"/>
        <v>101.84216849118366</v>
      </c>
      <c r="Z155" s="35">
        <f t="shared" si="26"/>
        <v>10371.827282986642</v>
      </c>
      <c r="AA155" s="35">
        <f t="shared" si="27"/>
        <v>648658.14602965885</v>
      </c>
      <c r="AB155" s="35">
        <f t="shared" si="28"/>
        <v>555.1737983688264</v>
      </c>
      <c r="AC155" s="35">
        <f t="shared" si="29"/>
        <v>-101406.06714128634</v>
      </c>
      <c r="AD155" s="35">
        <f t="shared" si="30"/>
        <v>469.9871221168404</v>
      </c>
      <c r="AE155" s="35">
        <f t="shared" si="31"/>
        <v>-138.9061066934737</v>
      </c>
      <c r="AF155" s="40">
        <f t="shared" si="32"/>
        <v>396.48</v>
      </c>
      <c r="AG155" s="34">
        <f t="shared" si="33"/>
        <v>0</v>
      </c>
    </row>
    <row r="156" spans="1:33" x14ac:dyDescent="0.3">
      <c r="A156" s="4" t="str">
        <f>DATASETS!A47</f>
        <v>SSH</v>
      </c>
      <c r="B156" s="4">
        <f>DATASETS!B47</f>
        <v>2017</v>
      </c>
      <c r="C156" s="9">
        <f>DATASETS!C47</f>
        <v>103377</v>
      </c>
      <c r="D156" s="6">
        <f>DATASETS!I47</f>
        <v>1075</v>
      </c>
      <c r="E156" s="9">
        <f>DATASETS!H47</f>
        <v>396.48</v>
      </c>
      <c r="F156" s="6">
        <f>DATASETS!D47</f>
        <v>970</v>
      </c>
      <c r="G156" s="11">
        <v>1</v>
      </c>
      <c r="H156" s="32">
        <f t="shared" si="20"/>
        <v>-0.86511316042235975</v>
      </c>
      <c r="I156" s="32">
        <f t="shared" si="21"/>
        <v>-1.1569189852628134</v>
      </c>
      <c r="J156" s="32">
        <f t="shared" si="22"/>
        <v>-0.41309470534174342</v>
      </c>
      <c r="K156" s="11">
        <f t="shared" si="19"/>
        <v>0</v>
      </c>
      <c r="L156" s="11">
        <f t="shared" si="19"/>
        <v>0</v>
      </c>
      <c r="M156" s="11">
        <f t="shared" si="19"/>
        <v>0</v>
      </c>
      <c r="N156" s="11">
        <f t="shared" si="19"/>
        <v>1</v>
      </c>
      <c r="O156" s="11">
        <f t="shared" si="19"/>
        <v>0</v>
      </c>
      <c r="P156" s="11">
        <f t="shared" si="19"/>
        <v>0</v>
      </c>
      <c r="Q156" s="11">
        <f t="shared" si="19"/>
        <v>0</v>
      </c>
      <c r="R156" s="11">
        <f t="shared" si="19"/>
        <v>0</v>
      </c>
      <c r="S156" s="11">
        <f t="shared" si="19"/>
        <v>0</v>
      </c>
      <c r="T156" s="11">
        <f t="shared" si="19"/>
        <v>0</v>
      </c>
      <c r="U156" s="11">
        <f t="shared" si="19"/>
        <v>0</v>
      </c>
      <c r="V156" s="11">
        <f t="shared" si="19"/>
        <v>0</v>
      </c>
      <c r="W156" s="35">
        <f t="shared" si="23"/>
        <v>813.20583821596279</v>
      </c>
      <c r="X156" s="35">
        <f t="shared" si="24"/>
        <v>156.79416178403721</v>
      </c>
      <c r="Y156" s="35">
        <f t="shared" si="25"/>
        <v>156.79416178403721</v>
      </c>
      <c r="Z156" s="35">
        <f t="shared" si="26"/>
        <v>24584.409169558836</v>
      </c>
      <c r="AA156" s="35">
        <f t="shared" si="27"/>
        <v>828815.71013222286</v>
      </c>
      <c r="AB156" s="35">
        <f t="shared" si="28"/>
        <v>574.36427803382776</v>
      </c>
      <c r="AC156" s="35">
        <f t="shared" si="29"/>
        <v>-101456.36776982865</v>
      </c>
      <c r="AD156" s="35">
        <f t="shared" si="30"/>
        <v>341.14527770128524</v>
      </c>
      <c r="AE156" s="35">
        <f t="shared" si="31"/>
        <v>-138.9061066934737</v>
      </c>
      <c r="AF156" s="40">
        <f t="shared" si="32"/>
        <v>396.48</v>
      </c>
      <c r="AG156" s="34">
        <f t="shared" si="33"/>
        <v>0</v>
      </c>
    </row>
    <row r="157" spans="1:33" x14ac:dyDescent="0.3">
      <c r="A157" s="4" t="str">
        <f>DATASETS!A48</f>
        <v>SSH</v>
      </c>
      <c r="B157" s="4">
        <f>DATASETS!B48</f>
        <v>2018</v>
      </c>
      <c r="C157" s="9">
        <f>DATASETS!C48</f>
        <v>100909</v>
      </c>
      <c r="D157" s="6">
        <f>DATASETS!I48</f>
        <v>970</v>
      </c>
      <c r="E157" s="9">
        <f>DATASETS!H48</f>
        <v>396.48</v>
      </c>
      <c r="F157" s="6">
        <f>DATASETS!D48</f>
        <v>1130</v>
      </c>
      <c r="G157" s="11">
        <v>1</v>
      </c>
      <c r="H157" s="32">
        <f t="shared" si="20"/>
        <v>-0.8987235635691303</v>
      </c>
      <c r="I157" s="32">
        <f t="shared" si="21"/>
        <v>-0.77127932350854234</v>
      </c>
      <c r="J157" s="32">
        <f t="shared" si="22"/>
        <v>-0.47202805325055192</v>
      </c>
      <c r="K157" s="11">
        <f t="shared" si="19"/>
        <v>0</v>
      </c>
      <c r="L157" s="11">
        <f t="shared" si="19"/>
        <v>0</v>
      </c>
      <c r="M157" s="11">
        <f t="shared" si="19"/>
        <v>0</v>
      </c>
      <c r="N157" s="11">
        <f t="shared" si="19"/>
        <v>1</v>
      </c>
      <c r="O157" s="11">
        <f t="shared" si="19"/>
        <v>0</v>
      </c>
      <c r="P157" s="11">
        <f t="shared" si="19"/>
        <v>0</v>
      </c>
      <c r="Q157" s="11">
        <f t="shared" si="19"/>
        <v>0</v>
      </c>
      <c r="R157" s="11">
        <f t="shared" si="19"/>
        <v>0</v>
      </c>
      <c r="S157" s="11">
        <f t="shared" si="19"/>
        <v>0</v>
      </c>
      <c r="T157" s="11">
        <f t="shared" si="19"/>
        <v>0</v>
      </c>
      <c r="U157" s="11">
        <f t="shared" si="19"/>
        <v>0</v>
      </c>
      <c r="V157" s="11">
        <f t="shared" si="19"/>
        <v>0</v>
      </c>
      <c r="W157" s="35">
        <f t="shared" si="23"/>
        <v>715.87179523993518</v>
      </c>
      <c r="X157" s="35">
        <f t="shared" si="24"/>
        <v>414.12820476006482</v>
      </c>
      <c r="Y157" s="35">
        <f t="shared" si="25"/>
        <v>414.12820476006482</v>
      </c>
      <c r="Z157" s="35">
        <f t="shared" si="26"/>
        <v>171502.16997779417</v>
      </c>
      <c r="AA157" s="35">
        <f t="shared" si="27"/>
        <v>563089.89816641097</v>
      </c>
      <c r="AB157" s="35">
        <f t="shared" si="28"/>
        <v>560.65203025929873</v>
      </c>
      <c r="AC157" s="35">
        <f t="shared" si="29"/>
        <v>-101506.66839837095</v>
      </c>
      <c r="AD157" s="35">
        <f t="shared" si="30"/>
        <v>307.8241110420899</v>
      </c>
      <c r="AE157" s="35">
        <f t="shared" si="31"/>
        <v>-138.9061066934737</v>
      </c>
      <c r="AF157" s="40">
        <f t="shared" si="32"/>
        <v>396.48</v>
      </c>
      <c r="AG157" s="34">
        <f t="shared" si="33"/>
        <v>0</v>
      </c>
    </row>
    <row r="158" spans="1:33" x14ac:dyDescent="0.3">
      <c r="A158" s="4" t="str">
        <f>DATASETS!A49</f>
        <v>SSH</v>
      </c>
      <c r="B158" s="4">
        <f>DATASETS!B49</f>
        <v>2019</v>
      </c>
      <c r="C158" s="9">
        <f>DATASETS!C49</f>
        <v>130434</v>
      </c>
      <c r="D158" s="6">
        <f>DATASETS!I49</f>
        <v>1130</v>
      </c>
      <c r="E158" s="9">
        <f>DATASETS!H49</f>
        <v>396.48</v>
      </c>
      <c r="F158" s="6">
        <f>DATASETS!D49</f>
        <v>1293</v>
      </c>
      <c r="G158" s="11">
        <v>1</v>
      </c>
      <c r="H158" s="32">
        <f t="shared" si="20"/>
        <v>-0.49663800728533741</v>
      </c>
      <c r="I158" s="32">
        <f t="shared" si="21"/>
        <v>-0.38563966175427117</v>
      </c>
      <c r="J158" s="32">
        <f t="shared" si="22"/>
        <v>-0.38222485643712945</v>
      </c>
      <c r="K158" s="11">
        <f t="shared" si="19"/>
        <v>0</v>
      </c>
      <c r="L158" s="11">
        <f t="shared" si="19"/>
        <v>0</v>
      </c>
      <c r="M158" s="11">
        <f t="shared" si="19"/>
        <v>0</v>
      </c>
      <c r="N158" s="11">
        <f t="shared" si="19"/>
        <v>1</v>
      </c>
      <c r="O158" s="11">
        <f t="shared" si="19"/>
        <v>0</v>
      </c>
      <c r="P158" s="11">
        <f t="shared" si="19"/>
        <v>0</v>
      </c>
      <c r="Q158" s="11">
        <f t="shared" si="19"/>
        <v>0</v>
      </c>
      <c r="R158" s="11">
        <f t="shared" si="19"/>
        <v>0</v>
      </c>
      <c r="S158" s="11">
        <f t="shared" si="19"/>
        <v>0</v>
      </c>
      <c r="T158" s="11">
        <f t="shared" si="19"/>
        <v>0</v>
      </c>
      <c r="U158" s="11">
        <f t="shared" si="19"/>
        <v>0</v>
      </c>
      <c r="V158" s="11">
        <f t="shared" si="19"/>
        <v>0</v>
      </c>
      <c r="W158" s="35">
        <f t="shared" si="23"/>
        <v>880.38765362514425</v>
      </c>
      <c r="X158" s="35">
        <f t="shared" si="24"/>
        <v>412.61234637485575</v>
      </c>
      <c r="Y158" s="35">
        <f t="shared" si="25"/>
        <v>412.61234637485575</v>
      </c>
      <c r="Z158" s="35">
        <f t="shared" si="26"/>
        <v>170248.94838096394</v>
      </c>
      <c r="AA158" s="35">
        <f t="shared" si="27"/>
        <v>345030.72722623998</v>
      </c>
      <c r="AB158" s="35">
        <f t="shared" si="28"/>
        <v>724.69340608708217</v>
      </c>
      <c r="AC158" s="35">
        <f t="shared" si="29"/>
        <v>-101556.96902691326</v>
      </c>
      <c r="AD158" s="35">
        <f t="shared" si="30"/>
        <v>358.59922214181609</v>
      </c>
      <c r="AE158" s="35">
        <f t="shared" si="31"/>
        <v>-138.9061066934737</v>
      </c>
      <c r="AF158" s="40">
        <f t="shared" si="32"/>
        <v>396.48</v>
      </c>
      <c r="AG158" s="34">
        <f t="shared" si="33"/>
        <v>0</v>
      </c>
    </row>
    <row r="159" spans="1:33" x14ac:dyDescent="0.3">
      <c r="A159" s="4" t="str">
        <f>DATASETS!A50</f>
        <v>SSH</v>
      </c>
      <c r="B159" s="4">
        <f>DATASETS!B50</f>
        <v>2020</v>
      </c>
      <c r="C159" s="9">
        <f>DATASETS!C50</f>
        <v>142755</v>
      </c>
      <c r="D159" s="6">
        <f>DATASETS!I50</f>
        <v>1293</v>
      </c>
      <c r="E159" s="9">
        <f>DATASETS!H50</f>
        <v>396.48</v>
      </c>
      <c r="F159" s="6">
        <f>DATASETS!D50</f>
        <v>639</v>
      </c>
      <c r="G159" s="11">
        <v>1</v>
      </c>
      <c r="H159" s="32">
        <f t="shared" si="20"/>
        <v>-0.32884474262919478</v>
      </c>
      <c r="I159" s="32">
        <f t="shared" si="21"/>
        <v>0</v>
      </c>
      <c r="J159" s="32">
        <f t="shared" si="22"/>
        <v>-0.29073784968345529</v>
      </c>
      <c r="K159" s="11">
        <f t="shared" ref="K159:V168" si="34">IF($A159=K$113,1,0)</f>
        <v>0</v>
      </c>
      <c r="L159" s="11">
        <f t="shared" si="34"/>
        <v>0</v>
      </c>
      <c r="M159" s="11">
        <f t="shared" si="34"/>
        <v>0</v>
      </c>
      <c r="N159" s="11">
        <f t="shared" si="34"/>
        <v>1</v>
      </c>
      <c r="O159" s="11">
        <f t="shared" si="34"/>
        <v>0</v>
      </c>
      <c r="P159" s="11">
        <f t="shared" si="34"/>
        <v>0</v>
      </c>
      <c r="Q159" s="11">
        <f t="shared" si="34"/>
        <v>0</v>
      </c>
      <c r="R159" s="11">
        <f t="shared" si="34"/>
        <v>0</v>
      </c>
      <c r="S159" s="11">
        <f t="shared" si="34"/>
        <v>0</v>
      </c>
      <c r="T159" s="11">
        <f t="shared" si="34"/>
        <v>0</v>
      </c>
      <c r="U159" s="11">
        <f t="shared" si="34"/>
        <v>0</v>
      </c>
      <c r="V159" s="11">
        <f t="shared" si="34"/>
        <v>0</v>
      </c>
      <c r="W159" s="35">
        <f t="shared" si="23"/>
        <v>950.26984408210274</v>
      </c>
      <c r="X159" s="35">
        <f t="shared" si="24"/>
        <v>-311.26984408210274</v>
      </c>
      <c r="Y159" s="35">
        <f t="shared" si="25"/>
        <v>311.26984408210274</v>
      </c>
      <c r="Z159" s="35">
        <f t="shared" si="26"/>
        <v>96888.915834896543</v>
      </c>
      <c r="AA159" s="35">
        <f t="shared" si="27"/>
        <v>1541056.9836364964</v>
      </c>
      <c r="AB159" s="35">
        <f t="shared" si="28"/>
        <v>793.14908065352142</v>
      </c>
      <c r="AC159" s="35">
        <f t="shared" si="29"/>
        <v>-101607.26965545557</v>
      </c>
      <c r="AD159" s="35">
        <f t="shared" si="30"/>
        <v>410.32636657466213</v>
      </c>
      <c r="AE159" s="35">
        <f t="shared" si="31"/>
        <v>-138.9061066934737</v>
      </c>
      <c r="AF159" s="40">
        <f t="shared" si="32"/>
        <v>396.48</v>
      </c>
      <c r="AG159" s="34">
        <f t="shared" si="33"/>
        <v>0</v>
      </c>
    </row>
    <row r="160" spans="1:33" x14ac:dyDescent="0.3">
      <c r="A160" s="4" t="str">
        <f>DATASETS!A51</f>
        <v>SSH</v>
      </c>
      <c r="B160" s="4">
        <f>DATASETS!B51</f>
        <v>2021</v>
      </c>
      <c r="C160" s="9">
        <f>DATASETS!C51</f>
        <v>187189</v>
      </c>
      <c r="D160" s="6">
        <f>DATASETS!I51</f>
        <v>639</v>
      </c>
      <c r="E160" s="9">
        <f>DATASETS!H51</f>
        <v>396.48</v>
      </c>
      <c r="F160" s="6">
        <f>DATASETS!D51</f>
        <v>223</v>
      </c>
      <c r="G160" s="11">
        <v>1</v>
      </c>
      <c r="H160" s="32">
        <f t="shared" si="20"/>
        <v>0.2762786987904175</v>
      </c>
      <c r="I160" s="32">
        <f t="shared" si="21"/>
        <v>0.38563966175427117</v>
      </c>
      <c r="J160" s="32">
        <f t="shared" si="22"/>
        <v>-0.65780841665831968</v>
      </c>
      <c r="K160" s="11">
        <f t="shared" si="34"/>
        <v>0</v>
      </c>
      <c r="L160" s="11">
        <f t="shared" si="34"/>
        <v>0</v>
      </c>
      <c r="M160" s="11">
        <f t="shared" si="34"/>
        <v>0</v>
      </c>
      <c r="N160" s="11">
        <f t="shared" si="34"/>
        <v>1</v>
      </c>
      <c r="O160" s="11">
        <f t="shared" si="34"/>
        <v>0</v>
      </c>
      <c r="P160" s="11">
        <f t="shared" si="34"/>
        <v>0</v>
      </c>
      <c r="Q160" s="11">
        <f t="shared" si="34"/>
        <v>0</v>
      </c>
      <c r="R160" s="11">
        <f t="shared" si="34"/>
        <v>0</v>
      </c>
      <c r="S160" s="11">
        <f t="shared" si="34"/>
        <v>0</v>
      </c>
      <c r="T160" s="11">
        <f t="shared" si="34"/>
        <v>0</v>
      </c>
      <c r="U160" s="11">
        <f t="shared" si="34"/>
        <v>0</v>
      </c>
      <c r="V160" s="11">
        <f t="shared" si="34"/>
        <v>0</v>
      </c>
      <c r="W160" s="35">
        <f t="shared" si="23"/>
        <v>939.3019690223573</v>
      </c>
      <c r="X160" s="35">
        <f t="shared" si="24"/>
        <v>-716.3019690223573</v>
      </c>
      <c r="Y160" s="35">
        <f t="shared" si="25"/>
        <v>716.3019690223573</v>
      </c>
      <c r="Z160" s="35">
        <f t="shared" si="26"/>
        <v>513088.51082530612</v>
      </c>
      <c r="AA160" s="35">
        <f t="shared" si="27"/>
        <v>2746952.0947476076</v>
      </c>
      <c r="AB160" s="35">
        <f t="shared" si="28"/>
        <v>1040.0251007562049</v>
      </c>
      <c r="AC160" s="35">
        <f t="shared" si="29"/>
        <v>-101657.57028399788</v>
      </c>
      <c r="AD160" s="35">
        <f t="shared" si="30"/>
        <v>202.78309995453139</v>
      </c>
      <c r="AE160" s="35">
        <f t="shared" si="31"/>
        <v>-138.9061066934737</v>
      </c>
      <c r="AF160" s="40">
        <f t="shared" si="32"/>
        <v>396.48</v>
      </c>
      <c r="AG160" s="34">
        <f t="shared" si="33"/>
        <v>0</v>
      </c>
    </row>
    <row r="161" spans="1:33" x14ac:dyDescent="0.3">
      <c r="A161" s="4" t="str">
        <f>DATASETS!A52</f>
        <v>SSH</v>
      </c>
      <c r="B161" s="4">
        <f>DATASETS!B52</f>
        <v>2022</v>
      </c>
      <c r="C161" s="9">
        <f>DATASETS!C52</f>
        <v>260549</v>
      </c>
      <c r="D161" s="6">
        <f>DATASETS!I52</f>
        <v>223</v>
      </c>
      <c r="E161" s="9">
        <f>DATASETS!H52</f>
        <v>396.48</v>
      </c>
      <c r="F161" s="6">
        <f>DATASETS!D52</f>
        <v>909</v>
      </c>
      <c r="G161" s="11">
        <v>1</v>
      </c>
      <c r="H161" s="32">
        <f t="shared" si="20"/>
        <v>1.275330228307066</v>
      </c>
      <c r="I161" s="32">
        <f t="shared" si="21"/>
        <v>0.77127932350854234</v>
      </c>
      <c r="J161" s="32">
        <f t="shared" si="22"/>
        <v>-0.89129672837321816</v>
      </c>
      <c r="K161" s="11">
        <f t="shared" si="34"/>
        <v>0</v>
      </c>
      <c r="L161" s="11">
        <f t="shared" si="34"/>
        <v>0</v>
      </c>
      <c r="M161" s="11">
        <f t="shared" si="34"/>
        <v>0</v>
      </c>
      <c r="N161" s="11">
        <f t="shared" si="34"/>
        <v>1</v>
      </c>
      <c r="O161" s="11">
        <f t="shared" si="34"/>
        <v>0</v>
      </c>
      <c r="P161" s="11">
        <f t="shared" si="34"/>
        <v>0</v>
      </c>
      <c r="Q161" s="11">
        <f t="shared" si="34"/>
        <v>0</v>
      </c>
      <c r="R161" s="11">
        <f t="shared" si="34"/>
        <v>0</v>
      </c>
      <c r="S161" s="11">
        <f t="shared" si="34"/>
        <v>0</v>
      </c>
      <c r="T161" s="11">
        <f t="shared" si="34"/>
        <v>0</v>
      </c>
      <c r="U161" s="11">
        <f t="shared" si="34"/>
        <v>0</v>
      </c>
      <c r="V161" s="11">
        <f t="shared" si="34"/>
        <v>0</v>
      </c>
      <c r="W161" s="35">
        <f t="shared" si="23"/>
        <v>1164.5753938976954</v>
      </c>
      <c r="X161" s="35">
        <f t="shared" si="24"/>
        <v>-255.57539389769545</v>
      </c>
      <c r="Y161" s="35">
        <f t="shared" si="25"/>
        <v>255.57539389769545</v>
      </c>
      <c r="Z161" s="35">
        <f t="shared" si="26"/>
        <v>65318.781965962182</v>
      </c>
      <c r="AA161" s="35">
        <f t="shared" si="27"/>
        <v>943604.67594418873</v>
      </c>
      <c r="AB161" s="35">
        <f t="shared" si="28"/>
        <v>1447.6144430331292</v>
      </c>
      <c r="AC161" s="35">
        <f t="shared" si="29"/>
        <v>-101707.87091254018</v>
      </c>
      <c r="AD161" s="35">
        <f t="shared" si="30"/>
        <v>70.767811095243346</v>
      </c>
      <c r="AE161" s="35">
        <f t="shared" si="31"/>
        <v>-138.9061066934737</v>
      </c>
      <c r="AF161" s="40">
        <f t="shared" si="32"/>
        <v>396.48</v>
      </c>
      <c r="AG161" s="34">
        <f t="shared" si="33"/>
        <v>0</v>
      </c>
    </row>
    <row r="162" spans="1:33" x14ac:dyDescent="0.3">
      <c r="A162" s="4" t="str">
        <f>DATASETS!A53</f>
        <v>SSH</v>
      </c>
      <c r="B162" s="4">
        <f>DATASETS!B53</f>
        <v>2023</v>
      </c>
      <c r="C162" s="9">
        <f>DATASETS!C53</f>
        <v>176904</v>
      </c>
      <c r="D162" s="6">
        <f>DATASETS!I53</f>
        <v>909</v>
      </c>
      <c r="E162" s="9">
        <f>DATASETS!H53</f>
        <v>396.48</v>
      </c>
      <c r="F162" s="6">
        <f>DATASETS!D53</f>
        <v>947</v>
      </c>
      <c r="G162" s="11">
        <v>1</v>
      </c>
      <c r="H162" s="32">
        <f t="shared" si="20"/>
        <v>0.13621265488258313</v>
      </c>
      <c r="I162" s="32">
        <f t="shared" si="21"/>
        <v>1.1569189852628134</v>
      </c>
      <c r="J162" s="32">
        <f t="shared" si="22"/>
        <v>-0.50626552203566921</v>
      </c>
      <c r="K162" s="11">
        <f t="shared" si="34"/>
        <v>0</v>
      </c>
      <c r="L162" s="11">
        <f t="shared" si="34"/>
        <v>0</v>
      </c>
      <c r="M162" s="11">
        <f t="shared" si="34"/>
        <v>0</v>
      </c>
      <c r="N162" s="11">
        <f t="shared" si="34"/>
        <v>1</v>
      </c>
      <c r="O162" s="11">
        <f t="shared" si="34"/>
        <v>0</v>
      </c>
      <c r="P162" s="11">
        <f t="shared" si="34"/>
        <v>0</v>
      </c>
      <c r="Q162" s="11">
        <f t="shared" si="34"/>
        <v>0</v>
      </c>
      <c r="R162" s="11">
        <f t="shared" si="34"/>
        <v>0</v>
      </c>
      <c r="S162" s="11">
        <f t="shared" si="34"/>
        <v>0</v>
      </c>
      <c r="T162" s="11">
        <f t="shared" si="34"/>
        <v>0</v>
      </c>
      <c r="U162" s="11">
        <f t="shared" si="34"/>
        <v>0</v>
      </c>
      <c r="V162" s="11">
        <f t="shared" si="34"/>
        <v>0</v>
      </c>
      <c r="W162" s="35">
        <f t="shared" si="23"/>
        <v>867.24008616447577</v>
      </c>
      <c r="X162" s="35">
        <f t="shared" si="24"/>
        <v>79.75991383552423</v>
      </c>
      <c r="Y162" s="35">
        <f t="shared" si="25"/>
        <v>79.75991383552423</v>
      </c>
      <c r="Z162" s="35">
        <f t="shared" si="26"/>
        <v>6361.6438550502498</v>
      </c>
      <c r="AA162" s="35">
        <f t="shared" si="27"/>
        <v>871222.79560230835</v>
      </c>
      <c r="AB162" s="35">
        <f t="shared" si="28"/>
        <v>982.88147500214041</v>
      </c>
      <c r="AC162" s="35">
        <f t="shared" si="29"/>
        <v>-101758.17154108248</v>
      </c>
      <c r="AD162" s="35">
        <f t="shared" si="30"/>
        <v>288.46609993531933</v>
      </c>
      <c r="AE162" s="35">
        <f t="shared" si="31"/>
        <v>-138.9061066934737</v>
      </c>
      <c r="AF162" s="40">
        <f t="shared" si="32"/>
        <v>396.48</v>
      </c>
      <c r="AG162" s="34">
        <f t="shared" si="33"/>
        <v>0</v>
      </c>
    </row>
    <row r="163" spans="1:33" x14ac:dyDescent="0.3">
      <c r="A163" s="4" t="str">
        <f>DATASETS!A54</f>
        <v>SSH</v>
      </c>
      <c r="B163" s="4">
        <f>DATASETS!B54</f>
        <v>2024</v>
      </c>
      <c r="C163" s="9">
        <f>DATASETS!C54</f>
        <v>193641</v>
      </c>
      <c r="D163" s="6">
        <f>DATASETS!I54</f>
        <v>947</v>
      </c>
      <c r="E163" s="9">
        <f>DATASETS!H54</f>
        <v>396.48</v>
      </c>
      <c r="F163" s="6">
        <f>DATASETS!D54</f>
        <v>1040</v>
      </c>
      <c r="G163" s="11">
        <v>1</v>
      </c>
      <c r="H163" s="32">
        <f t="shared" si="20"/>
        <v>0.36414511738967342</v>
      </c>
      <c r="I163" s="32">
        <f t="shared" si="21"/>
        <v>1.5425586470170847</v>
      </c>
      <c r="J163" s="32">
        <f t="shared" si="22"/>
        <v>-0.48493726279248139</v>
      </c>
      <c r="K163" s="11">
        <f t="shared" si="34"/>
        <v>0</v>
      </c>
      <c r="L163" s="11">
        <f t="shared" si="34"/>
        <v>0</v>
      </c>
      <c r="M163" s="11">
        <f t="shared" si="34"/>
        <v>0</v>
      </c>
      <c r="N163" s="11">
        <f t="shared" si="34"/>
        <v>1</v>
      </c>
      <c r="O163" s="11">
        <f t="shared" si="34"/>
        <v>0</v>
      </c>
      <c r="P163" s="11">
        <f t="shared" si="34"/>
        <v>0</v>
      </c>
      <c r="Q163" s="11">
        <f t="shared" si="34"/>
        <v>0</v>
      </c>
      <c r="R163" s="11">
        <f t="shared" si="34"/>
        <v>0</v>
      </c>
      <c r="S163" s="11">
        <f t="shared" si="34"/>
        <v>0</v>
      </c>
      <c r="T163" s="11">
        <f t="shared" si="34"/>
        <v>0</v>
      </c>
      <c r="U163" s="11">
        <f t="shared" si="34"/>
        <v>0</v>
      </c>
      <c r="V163" s="11">
        <f t="shared" si="34"/>
        <v>0</v>
      </c>
      <c r="W163" s="35">
        <f t="shared" si="23"/>
        <v>921.98958824347756</v>
      </c>
      <c r="X163" s="35">
        <f t="shared" si="24"/>
        <v>118.01041175652244</v>
      </c>
      <c r="Y163" s="35">
        <f t="shared" si="25"/>
        <v>118.01041175652244</v>
      </c>
      <c r="Z163" s="35">
        <f t="shared" si="26"/>
        <v>13926.457282943971</v>
      </c>
      <c r="AA163" s="35">
        <f t="shared" si="27"/>
        <v>706260.66739718011</v>
      </c>
      <c r="AB163" s="35">
        <f t="shared" si="28"/>
        <v>1075.872516737267</v>
      </c>
      <c r="AC163" s="35">
        <f t="shared" si="29"/>
        <v>-101808.47216962479</v>
      </c>
      <c r="AD163" s="35">
        <f t="shared" si="30"/>
        <v>300.52518882150429</v>
      </c>
      <c r="AE163" s="35">
        <f t="shared" si="31"/>
        <v>-138.9061066934737</v>
      </c>
      <c r="AF163" s="40">
        <f t="shared" si="32"/>
        <v>396.48</v>
      </c>
      <c r="AG163" s="34">
        <f t="shared" si="33"/>
        <v>0</v>
      </c>
    </row>
    <row r="164" spans="1:33" x14ac:dyDescent="0.3">
      <c r="A164" s="4" t="str">
        <f>DATASETS!A56</f>
        <v>ORTIGAS AVE.</v>
      </c>
      <c r="B164" s="4">
        <f>DATASETS!B56</f>
        <v>2016</v>
      </c>
      <c r="C164" s="9">
        <f>DATASETS!C56</f>
        <v>153425</v>
      </c>
      <c r="D164" s="6">
        <f>DATASETS!I56</f>
        <v>1973</v>
      </c>
      <c r="E164" s="9">
        <f>DATASETS!H56</f>
        <v>72.599999999999994</v>
      </c>
      <c r="F164" s="6">
        <f>DATASETS!D56</f>
        <v>2289</v>
      </c>
      <c r="G164" s="11">
        <v>1</v>
      </c>
      <c r="H164" s="32">
        <f t="shared" si="20"/>
        <v>-0.18353558477828638</v>
      </c>
      <c r="I164" s="32">
        <f t="shared" si="21"/>
        <v>-1.5425586470170847</v>
      </c>
      <c r="J164" s="32">
        <f t="shared" si="22"/>
        <v>9.0925736773590268E-2</v>
      </c>
      <c r="K164" s="11">
        <f t="shared" si="34"/>
        <v>0</v>
      </c>
      <c r="L164" s="11">
        <f t="shared" si="34"/>
        <v>0</v>
      </c>
      <c r="M164" s="11">
        <f t="shared" si="34"/>
        <v>0</v>
      </c>
      <c r="N164" s="11">
        <f t="shared" si="34"/>
        <v>0</v>
      </c>
      <c r="O164" s="11">
        <f t="shared" si="34"/>
        <v>1</v>
      </c>
      <c r="P164" s="11">
        <f t="shared" si="34"/>
        <v>0</v>
      </c>
      <c r="Q164" s="11">
        <f t="shared" si="34"/>
        <v>0</v>
      </c>
      <c r="R164" s="11">
        <f t="shared" si="34"/>
        <v>0</v>
      </c>
      <c r="S164" s="11">
        <f t="shared" si="34"/>
        <v>0</v>
      </c>
      <c r="T164" s="11">
        <f t="shared" si="34"/>
        <v>0</v>
      </c>
      <c r="U164" s="11">
        <f t="shared" si="34"/>
        <v>0</v>
      </c>
      <c r="V164" s="11">
        <f t="shared" si="34"/>
        <v>0</v>
      </c>
      <c r="W164" s="35">
        <f t="shared" si="23"/>
        <v>2072.0789559513273</v>
      </c>
      <c r="X164" s="35">
        <f t="shared" si="24"/>
        <v>216.92104404867268</v>
      </c>
      <c r="Y164" s="35">
        <f t="shared" si="25"/>
        <v>216.92104404867268</v>
      </c>
      <c r="Z164" s="35">
        <f t="shared" si="26"/>
        <v>47054.739351166194</v>
      </c>
      <c r="AA164" s="35">
        <f t="shared" si="27"/>
        <v>166959.5477390606</v>
      </c>
      <c r="AB164" s="35">
        <f t="shared" si="28"/>
        <v>852.43177261228345</v>
      </c>
      <c r="AC164" s="35">
        <f t="shared" si="29"/>
        <v>-101406.06714128634</v>
      </c>
      <c r="AD164" s="35">
        <f t="shared" si="30"/>
        <v>626.12058874849834</v>
      </c>
      <c r="AE164" s="35">
        <f t="shared" si="31"/>
        <v>506.62357687391858</v>
      </c>
      <c r="AF164" s="40">
        <f t="shared" si="32"/>
        <v>72.599999999999994</v>
      </c>
      <c r="AG164" s="34">
        <f t="shared" si="33"/>
        <v>0</v>
      </c>
    </row>
    <row r="165" spans="1:33" x14ac:dyDescent="0.3">
      <c r="A165" s="4" t="str">
        <f>DATASETS!A57</f>
        <v>ORTIGAS AVE.</v>
      </c>
      <c r="B165" s="4">
        <f>DATASETS!B57</f>
        <v>2017</v>
      </c>
      <c r="C165" s="9">
        <f>DATASETS!C57</f>
        <v>153955</v>
      </c>
      <c r="D165" s="6">
        <f>DATASETS!I57</f>
        <v>2289</v>
      </c>
      <c r="E165" s="9">
        <f>DATASETS!H57</f>
        <v>72.599999999999994</v>
      </c>
      <c r="F165" s="6">
        <f>DATASETS!D57</f>
        <v>2006</v>
      </c>
      <c r="G165" s="11">
        <v>1</v>
      </c>
      <c r="H165" s="32">
        <f t="shared" si="20"/>
        <v>-0.17631779155795074</v>
      </c>
      <c r="I165" s="32">
        <f t="shared" si="21"/>
        <v>-1.1569189852628134</v>
      </c>
      <c r="J165" s="32">
        <f t="shared" si="22"/>
        <v>0.26828705048009965</v>
      </c>
      <c r="K165" s="11">
        <f t="shared" si="34"/>
        <v>0</v>
      </c>
      <c r="L165" s="11">
        <f t="shared" si="34"/>
        <v>0</v>
      </c>
      <c r="M165" s="11">
        <f t="shared" si="34"/>
        <v>0</v>
      </c>
      <c r="N165" s="11">
        <f t="shared" si="34"/>
        <v>0</v>
      </c>
      <c r="O165" s="11">
        <f t="shared" si="34"/>
        <v>1</v>
      </c>
      <c r="P165" s="11">
        <f t="shared" si="34"/>
        <v>0</v>
      </c>
      <c r="Q165" s="11">
        <f t="shared" si="34"/>
        <v>0</v>
      </c>
      <c r="R165" s="11">
        <f t="shared" si="34"/>
        <v>0</v>
      </c>
      <c r="S165" s="11">
        <f t="shared" si="34"/>
        <v>0</v>
      </c>
      <c r="T165" s="11">
        <f t="shared" si="34"/>
        <v>0</v>
      </c>
      <c r="U165" s="11">
        <f t="shared" si="34"/>
        <v>0</v>
      </c>
      <c r="V165" s="11">
        <f t="shared" si="34"/>
        <v>0</v>
      </c>
      <c r="W165" s="35">
        <f t="shared" si="23"/>
        <v>2125.0038603725211</v>
      </c>
      <c r="X165" s="35">
        <f t="shared" si="24"/>
        <v>-119.0038603725211</v>
      </c>
      <c r="Y165" s="35">
        <f t="shared" si="25"/>
        <v>119.0038603725211</v>
      </c>
      <c r="Z165" s="35">
        <f t="shared" si="26"/>
        <v>14161.918783562498</v>
      </c>
      <c r="AA165" s="35">
        <f t="shared" si="27"/>
        <v>15777.077653590484</v>
      </c>
      <c r="AB165" s="35">
        <f t="shared" si="28"/>
        <v>855.37646115381517</v>
      </c>
      <c r="AC165" s="35">
        <f t="shared" si="29"/>
        <v>-101456.36776982865</v>
      </c>
      <c r="AD165" s="35">
        <f t="shared" si="30"/>
        <v>726.40143317045749</v>
      </c>
      <c r="AE165" s="35">
        <f t="shared" si="31"/>
        <v>506.62357687391858</v>
      </c>
      <c r="AF165" s="40">
        <f t="shared" si="32"/>
        <v>72.599999999999994</v>
      </c>
      <c r="AG165" s="34">
        <f t="shared" si="33"/>
        <v>0</v>
      </c>
    </row>
    <row r="166" spans="1:33" x14ac:dyDescent="0.3">
      <c r="A166" s="4" t="str">
        <f>DATASETS!A58</f>
        <v>ORTIGAS AVE.</v>
      </c>
      <c r="B166" s="4">
        <f>DATASETS!B58</f>
        <v>2018</v>
      </c>
      <c r="C166" s="9">
        <f>DATASETS!C58</f>
        <v>174480</v>
      </c>
      <c r="D166" s="6">
        <f>DATASETS!I58</f>
        <v>2006</v>
      </c>
      <c r="E166" s="9">
        <f>DATASETS!H58</f>
        <v>72.599999999999994</v>
      </c>
      <c r="F166" s="6">
        <f>DATASETS!D58</f>
        <v>2683</v>
      </c>
      <c r="G166" s="11">
        <v>1</v>
      </c>
      <c r="H166" s="32">
        <f t="shared" si="20"/>
        <v>0.10320146475787817</v>
      </c>
      <c r="I166" s="32">
        <f t="shared" si="21"/>
        <v>-0.77127932350854234</v>
      </c>
      <c r="J166" s="32">
        <f t="shared" si="22"/>
        <v>0.10944764611635865</v>
      </c>
      <c r="K166" s="11">
        <f t="shared" si="34"/>
        <v>0</v>
      </c>
      <c r="L166" s="11">
        <f t="shared" si="34"/>
        <v>0</v>
      </c>
      <c r="M166" s="11">
        <f t="shared" si="34"/>
        <v>0</v>
      </c>
      <c r="N166" s="11">
        <f t="shared" si="34"/>
        <v>0</v>
      </c>
      <c r="O166" s="11">
        <f t="shared" si="34"/>
        <v>1</v>
      </c>
      <c r="P166" s="11">
        <f t="shared" si="34"/>
        <v>0</v>
      </c>
      <c r="Q166" s="11">
        <f t="shared" si="34"/>
        <v>0</v>
      </c>
      <c r="R166" s="11">
        <f t="shared" si="34"/>
        <v>0</v>
      </c>
      <c r="S166" s="11">
        <f t="shared" si="34"/>
        <v>0</v>
      </c>
      <c r="T166" s="11">
        <f t="shared" si="34"/>
        <v>0</v>
      </c>
      <c r="U166" s="11">
        <f t="shared" si="34"/>
        <v>0</v>
      </c>
      <c r="V166" s="11">
        <f t="shared" si="34"/>
        <v>0</v>
      </c>
      <c r="W166" s="35">
        <f t="shared" si="23"/>
        <v>2098.9319848554719</v>
      </c>
      <c r="X166" s="35">
        <f t="shared" si="24"/>
        <v>584.06801514452809</v>
      </c>
      <c r="Y166" s="35">
        <f t="shared" si="25"/>
        <v>584.06801514452809</v>
      </c>
      <c r="Z166" s="35">
        <f t="shared" si="26"/>
        <v>341135.44631486869</v>
      </c>
      <c r="AA166" s="35">
        <f t="shared" si="27"/>
        <v>644177.7357732486</v>
      </c>
      <c r="AB166" s="35">
        <f t="shared" si="28"/>
        <v>969.41369193671972</v>
      </c>
      <c r="AC166" s="35">
        <f t="shared" si="29"/>
        <v>-101506.66839837095</v>
      </c>
      <c r="AD166" s="35">
        <f t="shared" si="30"/>
        <v>636.59295541281688</v>
      </c>
      <c r="AE166" s="35">
        <f t="shared" si="31"/>
        <v>506.62357687391858</v>
      </c>
      <c r="AF166" s="40">
        <f t="shared" si="32"/>
        <v>72.599999999999994</v>
      </c>
      <c r="AG166" s="34">
        <f t="shared" si="33"/>
        <v>0</v>
      </c>
    </row>
    <row r="167" spans="1:33" x14ac:dyDescent="0.3">
      <c r="A167" s="4" t="str">
        <f>DATASETS!A59</f>
        <v>ORTIGAS AVE.</v>
      </c>
      <c r="B167" s="4">
        <f>DATASETS!B59</f>
        <v>2019</v>
      </c>
      <c r="C167" s="9">
        <f>DATASETS!C59</f>
        <v>180737</v>
      </c>
      <c r="D167" s="6">
        <f>DATASETS!I59</f>
        <v>2683</v>
      </c>
      <c r="E167" s="9">
        <f>DATASETS!H59</f>
        <v>72.599999999999994</v>
      </c>
      <c r="F167" s="6">
        <f>DATASETS!D59</f>
        <v>2922</v>
      </c>
      <c r="G167" s="11">
        <v>1</v>
      </c>
      <c r="H167" s="32">
        <f t="shared" si="20"/>
        <v>0.18841228019116157</v>
      </c>
      <c r="I167" s="32">
        <f t="shared" si="21"/>
        <v>-0.38563966175427117</v>
      </c>
      <c r="J167" s="32">
        <f t="shared" si="22"/>
        <v>0.48942742263315253</v>
      </c>
      <c r="K167" s="11">
        <f t="shared" si="34"/>
        <v>0</v>
      </c>
      <c r="L167" s="11">
        <f t="shared" si="34"/>
        <v>0</v>
      </c>
      <c r="M167" s="11">
        <f t="shared" si="34"/>
        <v>0</v>
      </c>
      <c r="N167" s="11">
        <f t="shared" si="34"/>
        <v>0</v>
      </c>
      <c r="O167" s="11">
        <f t="shared" si="34"/>
        <v>1</v>
      </c>
      <c r="P167" s="11">
        <f t="shared" si="34"/>
        <v>0</v>
      </c>
      <c r="Q167" s="11">
        <f t="shared" si="34"/>
        <v>0</v>
      </c>
      <c r="R167" s="11">
        <f t="shared" si="34"/>
        <v>0</v>
      </c>
      <c r="S167" s="11">
        <f t="shared" si="34"/>
        <v>0</v>
      </c>
      <c r="T167" s="11">
        <f t="shared" si="34"/>
        <v>0</v>
      </c>
      <c r="U167" s="11">
        <f t="shared" si="34"/>
        <v>0</v>
      </c>
      <c r="V167" s="11">
        <f t="shared" si="34"/>
        <v>0</v>
      </c>
      <c r="W167" s="35">
        <f t="shared" si="23"/>
        <v>2298.2375379923155</v>
      </c>
      <c r="X167" s="35">
        <f t="shared" si="24"/>
        <v>623.76246200768446</v>
      </c>
      <c r="Y167" s="35">
        <f t="shared" si="25"/>
        <v>623.76246200768446</v>
      </c>
      <c r="Z167" s="35">
        <f t="shared" si="26"/>
        <v>389079.60900988802</v>
      </c>
      <c r="AA167" s="35">
        <f t="shared" si="27"/>
        <v>1084944.8041493171</v>
      </c>
      <c r="AB167" s="35">
        <f t="shared" si="28"/>
        <v>1004.1776847751427</v>
      </c>
      <c r="AC167" s="35">
        <f t="shared" si="29"/>
        <v>-101556.96902691326</v>
      </c>
      <c r="AD167" s="35">
        <f t="shared" si="30"/>
        <v>851.43514425353328</v>
      </c>
      <c r="AE167" s="35">
        <f t="shared" si="31"/>
        <v>506.62357687391858</v>
      </c>
      <c r="AF167" s="40">
        <f t="shared" si="32"/>
        <v>72.599999999999994</v>
      </c>
      <c r="AG167" s="34">
        <f t="shared" si="33"/>
        <v>0</v>
      </c>
    </row>
    <row r="168" spans="1:33" x14ac:dyDescent="0.3">
      <c r="A168" s="4" t="str">
        <f>DATASETS!A60</f>
        <v>ORTIGAS AVE.</v>
      </c>
      <c r="B168" s="4">
        <f>DATASETS!B60</f>
        <v>2020</v>
      </c>
      <c r="C168" s="9">
        <f>DATASETS!C60</f>
        <v>172490</v>
      </c>
      <c r="D168" s="6">
        <f>DATASETS!I60</f>
        <v>2922</v>
      </c>
      <c r="E168" s="9">
        <f>DATASETS!H60</f>
        <v>72.599999999999994</v>
      </c>
      <c r="F168" s="6">
        <f>DATASETS!D60</f>
        <v>1266</v>
      </c>
      <c r="G168" s="11">
        <v>1</v>
      </c>
      <c r="H168" s="32">
        <f t="shared" si="20"/>
        <v>7.6100693987183929E-2</v>
      </c>
      <c r="I168" s="32">
        <f t="shared" si="21"/>
        <v>0</v>
      </c>
      <c r="J168" s="32">
        <f t="shared" si="22"/>
        <v>0.62357094787320233</v>
      </c>
      <c r="K168" s="11">
        <f t="shared" si="34"/>
        <v>0</v>
      </c>
      <c r="L168" s="11">
        <f t="shared" si="34"/>
        <v>0</v>
      </c>
      <c r="M168" s="11">
        <f t="shared" si="34"/>
        <v>0</v>
      </c>
      <c r="N168" s="11">
        <f t="shared" si="34"/>
        <v>0</v>
      </c>
      <c r="O168" s="11">
        <f t="shared" si="34"/>
        <v>1</v>
      </c>
      <c r="P168" s="11">
        <f t="shared" si="34"/>
        <v>0</v>
      </c>
      <c r="Q168" s="11">
        <f t="shared" si="34"/>
        <v>0</v>
      </c>
      <c r="R168" s="11">
        <f t="shared" si="34"/>
        <v>0</v>
      </c>
      <c r="S168" s="11">
        <f t="shared" si="34"/>
        <v>0</v>
      </c>
      <c r="T168" s="11">
        <f t="shared" si="34"/>
        <v>0</v>
      </c>
      <c r="U168" s="11">
        <f t="shared" si="34"/>
        <v>0</v>
      </c>
      <c r="V168" s="11">
        <f t="shared" si="34"/>
        <v>0</v>
      </c>
      <c r="W168" s="35">
        <f t="shared" si="23"/>
        <v>2277.9617667457583</v>
      </c>
      <c r="X168" s="35">
        <f t="shared" si="24"/>
        <v>-1011.9617667457583</v>
      </c>
      <c r="Y168" s="35">
        <f t="shared" si="25"/>
        <v>1011.9617667457583</v>
      </c>
      <c r="Z168" s="35">
        <f t="shared" si="26"/>
        <v>1024066.6173551965</v>
      </c>
      <c r="AA168" s="35">
        <f t="shared" si="27"/>
        <v>377478.95799547079</v>
      </c>
      <c r="AB168" s="35">
        <f t="shared" si="28"/>
        <v>958.35721986568535</v>
      </c>
      <c r="AC168" s="35">
        <f t="shared" si="29"/>
        <v>-101607.26965545557</v>
      </c>
      <c r="AD168" s="35">
        <f t="shared" si="30"/>
        <v>927.28046645874917</v>
      </c>
      <c r="AE168" s="35">
        <f t="shared" si="31"/>
        <v>506.62357687391858</v>
      </c>
      <c r="AF168" s="40">
        <f t="shared" si="32"/>
        <v>72.599999999999994</v>
      </c>
      <c r="AG168" s="34">
        <f t="shared" si="33"/>
        <v>0</v>
      </c>
    </row>
    <row r="169" spans="1:33" x14ac:dyDescent="0.3">
      <c r="A169" s="4" t="str">
        <f>DATASETS!A61</f>
        <v>ORTIGAS AVE.</v>
      </c>
      <c r="B169" s="4">
        <f>DATASETS!B61</f>
        <v>2021</v>
      </c>
      <c r="C169" s="9">
        <f>DATASETS!C61</f>
        <v>185699</v>
      </c>
      <c r="D169" s="6">
        <f>DATASETS!I61</f>
        <v>1266</v>
      </c>
      <c r="E169" s="9">
        <f>DATASETS!H61</f>
        <v>72.599999999999994</v>
      </c>
      <c r="F169" s="6">
        <f>DATASETS!D61</f>
        <v>1080</v>
      </c>
      <c r="G169" s="11">
        <v>1</v>
      </c>
      <c r="H169" s="32">
        <f t="shared" si="20"/>
        <v>0.25598716690683238</v>
      </c>
      <c r="I169" s="32">
        <f t="shared" si="21"/>
        <v>0.38563966175427117</v>
      </c>
      <c r="J169" s="32">
        <f t="shared" si="22"/>
        <v>-0.30589213914572033</v>
      </c>
      <c r="K169" s="11">
        <f t="shared" ref="K169:V178" si="35">IF($A169=K$113,1,0)</f>
        <v>0</v>
      </c>
      <c r="L169" s="11">
        <f t="shared" si="35"/>
        <v>0</v>
      </c>
      <c r="M169" s="11">
        <f t="shared" si="35"/>
        <v>0</v>
      </c>
      <c r="N169" s="11">
        <f t="shared" si="35"/>
        <v>0</v>
      </c>
      <c r="O169" s="11">
        <f t="shared" si="35"/>
        <v>1</v>
      </c>
      <c r="P169" s="11">
        <f t="shared" si="35"/>
        <v>0</v>
      </c>
      <c r="Q169" s="11">
        <f t="shared" si="35"/>
        <v>0</v>
      </c>
      <c r="R169" s="11">
        <f t="shared" si="35"/>
        <v>0</v>
      </c>
      <c r="S169" s="11">
        <f t="shared" si="35"/>
        <v>0</v>
      </c>
      <c r="T169" s="11">
        <f t="shared" si="35"/>
        <v>0</v>
      </c>
      <c r="U169" s="11">
        <f t="shared" si="35"/>
        <v>0</v>
      </c>
      <c r="V169" s="11">
        <f t="shared" si="35"/>
        <v>0</v>
      </c>
      <c r="W169" s="35">
        <f t="shared" si="23"/>
        <v>1775.5281551988187</v>
      </c>
      <c r="X169" s="35">
        <f t="shared" si="24"/>
        <v>-695.52815519881869</v>
      </c>
      <c r="Y169" s="35">
        <f t="shared" si="25"/>
        <v>695.52815519881869</v>
      </c>
      <c r="Z169" s="35">
        <f t="shared" si="26"/>
        <v>483759.414674272</v>
      </c>
      <c r="AA169" s="35">
        <f t="shared" si="27"/>
        <v>640629.21440572722</v>
      </c>
      <c r="AB169" s="35">
        <f t="shared" si="28"/>
        <v>1031.7466367432194</v>
      </c>
      <c r="AC169" s="35">
        <f t="shared" si="29"/>
        <v>-101657.57028399788</v>
      </c>
      <c r="AD169" s="35">
        <f t="shared" si="30"/>
        <v>401.7580665765833</v>
      </c>
      <c r="AE169" s="35">
        <f t="shared" si="31"/>
        <v>506.62357687391858</v>
      </c>
      <c r="AF169" s="40">
        <f t="shared" si="32"/>
        <v>72.599999999999994</v>
      </c>
      <c r="AG169" s="34">
        <f t="shared" si="33"/>
        <v>0</v>
      </c>
    </row>
    <row r="170" spans="1:33" x14ac:dyDescent="0.3">
      <c r="A170" s="4" t="str">
        <f>DATASETS!A62</f>
        <v>ORTIGAS AVE.</v>
      </c>
      <c r="B170" s="4">
        <f>DATASETS!B62</f>
        <v>2022</v>
      </c>
      <c r="C170" s="9">
        <f>DATASETS!C62</f>
        <v>179661</v>
      </c>
      <c r="D170" s="6">
        <f>DATASETS!I62</f>
        <v>1080</v>
      </c>
      <c r="E170" s="9">
        <f>DATASETS!H62</f>
        <v>72.599999999999994</v>
      </c>
      <c r="F170" s="6">
        <f>DATASETS!D62</f>
        <v>1349</v>
      </c>
      <c r="G170" s="11">
        <v>1</v>
      </c>
      <c r="H170" s="32">
        <f t="shared" si="20"/>
        <v>0.17375879810610276</v>
      </c>
      <c r="I170" s="32">
        <f t="shared" si="21"/>
        <v>0.77127932350854234</v>
      </c>
      <c r="J170" s="32">
        <f t="shared" si="22"/>
        <v>-0.41028835544132397</v>
      </c>
      <c r="K170" s="11">
        <f t="shared" si="35"/>
        <v>0</v>
      </c>
      <c r="L170" s="11">
        <f t="shared" si="35"/>
        <v>0</v>
      </c>
      <c r="M170" s="11">
        <f t="shared" si="35"/>
        <v>0</v>
      </c>
      <c r="N170" s="11">
        <f t="shared" si="35"/>
        <v>0</v>
      </c>
      <c r="O170" s="11">
        <f t="shared" si="35"/>
        <v>1</v>
      </c>
      <c r="P170" s="11">
        <f t="shared" si="35"/>
        <v>0</v>
      </c>
      <c r="Q170" s="11">
        <f t="shared" si="35"/>
        <v>0</v>
      </c>
      <c r="R170" s="11">
        <f t="shared" si="35"/>
        <v>0</v>
      </c>
      <c r="S170" s="11">
        <f t="shared" si="35"/>
        <v>0</v>
      </c>
      <c r="T170" s="11">
        <f t="shared" si="35"/>
        <v>0</v>
      </c>
      <c r="U170" s="11">
        <f t="shared" si="35"/>
        <v>0</v>
      </c>
      <c r="V170" s="11">
        <f t="shared" si="35"/>
        <v>0</v>
      </c>
      <c r="W170" s="35">
        <f t="shared" si="23"/>
        <v>1632.6542346940862</v>
      </c>
      <c r="X170" s="35">
        <f t="shared" si="24"/>
        <v>-283.6542346940862</v>
      </c>
      <c r="Y170" s="35">
        <f t="shared" si="25"/>
        <v>283.6542346940862</v>
      </c>
      <c r="Z170" s="35">
        <f t="shared" si="26"/>
        <v>80459.724859887734</v>
      </c>
      <c r="AA170" s="35">
        <f t="shared" si="27"/>
        <v>282378.69303820579</v>
      </c>
      <c r="AB170" s="35">
        <f t="shared" si="28"/>
        <v>998.19941143422159</v>
      </c>
      <c r="AC170" s="35">
        <f t="shared" si="29"/>
        <v>-101707.87091254018</v>
      </c>
      <c r="AD170" s="35">
        <f t="shared" si="30"/>
        <v>342.73199992315165</v>
      </c>
      <c r="AE170" s="35">
        <f t="shared" si="31"/>
        <v>506.62357687391858</v>
      </c>
      <c r="AF170" s="40">
        <f t="shared" si="32"/>
        <v>72.599999999999994</v>
      </c>
      <c r="AG170" s="34">
        <f t="shared" si="33"/>
        <v>0</v>
      </c>
    </row>
    <row r="171" spans="1:33" x14ac:dyDescent="0.3">
      <c r="A171" s="4" t="str">
        <f>DATASETS!A63</f>
        <v>ORTIGAS AVE.</v>
      </c>
      <c r="B171" s="4">
        <f>DATASETS!B63</f>
        <v>2023</v>
      </c>
      <c r="C171" s="9">
        <f>DATASETS!C63</f>
        <v>146597</v>
      </c>
      <c r="D171" s="6">
        <f>DATASETS!I63</f>
        <v>1349</v>
      </c>
      <c r="E171" s="9">
        <f>DATASETS!H63</f>
        <v>72.599999999999994</v>
      </c>
      <c r="F171" s="6">
        <f>DATASETS!D63</f>
        <v>2167</v>
      </c>
      <c r="G171" s="11">
        <v>1</v>
      </c>
      <c r="H171" s="32">
        <f t="shared" si="20"/>
        <v>-0.27652255102064838</v>
      </c>
      <c r="I171" s="32">
        <f t="shared" si="21"/>
        <v>1.1569189852628134</v>
      </c>
      <c r="J171" s="32">
        <f t="shared" si="22"/>
        <v>-0.25930673079875743</v>
      </c>
      <c r="K171" s="11">
        <f t="shared" si="35"/>
        <v>0</v>
      </c>
      <c r="L171" s="11">
        <f t="shared" si="35"/>
        <v>0</v>
      </c>
      <c r="M171" s="11">
        <f t="shared" si="35"/>
        <v>0</v>
      </c>
      <c r="N171" s="11">
        <f t="shared" si="35"/>
        <v>0</v>
      </c>
      <c r="O171" s="11">
        <f t="shared" si="35"/>
        <v>1</v>
      </c>
      <c r="P171" s="11">
        <f t="shared" si="35"/>
        <v>0</v>
      </c>
      <c r="Q171" s="11">
        <f t="shared" si="35"/>
        <v>0</v>
      </c>
      <c r="R171" s="11">
        <f t="shared" si="35"/>
        <v>0</v>
      </c>
      <c r="S171" s="11">
        <f t="shared" si="35"/>
        <v>0</v>
      </c>
      <c r="T171" s="11">
        <f t="shared" si="35"/>
        <v>0</v>
      </c>
      <c r="U171" s="11">
        <f t="shared" si="35"/>
        <v>0</v>
      </c>
      <c r="V171" s="11">
        <f t="shared" si="35"/>
        <v>0</v>
      </c>
      <c r="W171" s="35">
        <f t="shared" si="23"/>
        <v>1484.0151448255372</v>
      </c>
      <c r="X171" s="35">
        <f t="shared" si="24"/>
        <v>682.98485517446284</v>
      </c>
      <c r="Y171" s="35">
        <f t="shared" si="25"/>
        <v>682.98485517446284</v>
      </c>
      <c r="Z171" s="35">
        <f t="shared" si="26"/>
        <v>466468.31239768199</v>
      </c>
      <c r="AA171" s="35">
        <f t="shared" si="27"/>
        <v>82143.479362992206</v>
      </c>
      <c r="AB171" s="35">
        <f t="shared" si="28"/>
        <v>814.49529457156859</v>
      </c>
      <c r="AC171" s="35">
        <f t="shared" si="29"/>
        <v>-101758.17154108248</v>
      </c>
      <c r="AD171" s="35">
        <f t="shared" si="30"/>
        <v>428.09765545956628</v>
      </c>
      <c r="AE171" s="35">
        <f t="shared" si="31"/>
        <v>506.62357687391858</v>
      </c>
      <c r="AF171" s="40">
        <f t="shared" si="32"/>
        <v>72.599999999999994</v>
      </c>
      <c r="AG171" s="34">
        <f t="shared" si="33"/>
        <v>0</v>
      </c>
    </row>
    <row r="172" spans="1:33" x14ac:dyDescent="0.3">
      <c r="A172" s="4" t="str">
        <f>DATASETS!A64</f>
        <v>ORTIGAS AVE.</v>
      </c>
      <c r="B172" s="4">
        <f>DATASETS!B64</f>
        <v>2024</v>
      </c>
      <c r="C172" s="9">
        <f>DATASETS!C64</f>
        <v>188765</v>
      </c>
      <c r="D172" s="6">
        <f>DATASETS!I64</f>
        <v>2167</v>
      </c>
      <c r="E172" s="9">
        <f>DATASETS!H64</f>
        <v>72.599999999999994</v>
      </c>
      <c r="F172" s="6">
        <f>DATASETS!D64</f>
        <v>1930</v>
      </c>
      <c r="G172" s="11">
        <v>1</v>
      </c>
      <c r="H172" s="32">
        <f t="shared" si="20"/>
        <v>0.29774141976258539</v>
      </c>
      <c r="I172" s="32">
        <f t="shared" si="21"/>
        <v>1.5425586470170847</v>
      </c>
      <c r="J172" s="32">
        <f t="shared" si="22"/>
        <v>0.19981211290986503</v>
      </c>
      <c r="K172" s="11">
        <f t="shared" si="35"/>
        <v>0</v>
      </c>
      <c r="L172" s="11">
        <f t="shared" si="35"/>
        <v>0</v>
      </c>
      <c r="M172" s="11">
        <f t="shared" si="35"/>
        <v>0</v>
      </c>
      <c r="N172" s="11">
        <f t="shared" si="35"/>
        <v>0</v>
      </c>
      <c r="O172" s="11">
        <f t="shared" si="35"/>
        <v>1</v>
      </c>
      <c r="P172" s="11">
        <f t="shared" si="35"/>
        <v>0</v>
      </c>
      <c r="Q172" s="11">
        <f t="shared" si="35"/>
        <v>0</v>
      </c>
      <c r="R172" s="11">
        <f t="shared" si="35"/>
        <v>0</v>
      </c>
      <c r="S172" s="11">
        <f t="shared" si="35"/>
        <v>0</v>
      </c>
      <c r="T172" s="11">
        <f t="shared" si="35"/>
        <v>0</v>
      </c>
      <c r="U172" s="11">
        <f t="shared" si="35"/>
        <v>0</v>
      </c>
      <c r="V172" s="11">
        <f t="shared" si="35"/>
        <v>0</v>
      </c>
      <c r="W172" s="35">
        <f t="shared" si="23"/>
        <v>1927.5883593641886</v>
      </c>
      <c r="X172" s="35">
        <f t="shared" si="24"/>
        <v>2.4116406358114091</v>
      </c>
      <c r="Y172" s="35">
        <f t="shared" si="25"/>
        <v>2.4116406358114091</v>
      </c>
      <c r="Z172" s="35">
        <f t="shared" si="26"/>
        <v>5.8160105562968578</v>
      </c>
      <c r="AA172" s="35">
        <f t="shared" si="27"/>
        <v>2460.8383373511615</v>
      </c>
      <c r="AB172" s="35">
        <f t="shared" si="28"/>
        <v>1048.7813821551747</v>
      </c>
      <c r="AC172" s="35">
        <f t="shared" si="29"/>
        <v>-101808.47216962479</v>
      </c>
      <c r="AD172" s="35">
        <f t="shared" si="30"/>
        <v>687.68541095691637</v>
      </c>
      <c r="AE172" s="35">
        <f t="shared" si="31"/>
        <v>506.62357687391858</v>
      </c>
      <c r="AF172" s="40">
        <f t="shared" si="32"/>
        <v>72.599999999999994</v>
      </c>
      <c r="AG172" s="34">
        <f t="shared" si="33"/>
        <v>0</v>
      </c>
    </row>
    <row r="173" spans="1:33" x14ac:dyDescent="0.3">
      <c r="A173" s="4" t="str">
        <f>DATASETS!A66</f>
        <v>R-6 MAGSAYSAY / AURORA BLVD.</v>
      </c>
      <c r="B173" s="4">
        <f>DATASETS!B66</f>
        <v>2016</v>
      </c>
      <c r="C173" s="9">
        <f>DATASETS!C66</f>
        <v>95187</v>
      </c>
      <c r="D173" s="6">
        <f>DATASETS!I66</f>
        <v>1505</v>
      </c>
      <c r="E173" s="9">
        <f>DATASETS!H66</f>
        <v>85</v>
      </c>
      <c r="F173" s="6">
        <f>DATASETS!D66</f>
        <v>1707</v>
      </c>
      <c r="G173" s="11">
        <v>1</v>
      </c>
      <c r="H173" s="32">
        <f t="shared" si="20"/>
        <v>-0.97664849339320692</v>
      </c>
      <c r="I173" s="32">
        <f t="shared" si="21"/>
        <v>-1.5425586470170847</v>
      </c>
      <c r="J173" s="32">
        <f t="shared" si="22"/>
        <v>-0.17174861390567051</v>
      </c>
      <c r="K173" s="11">
        <f t="shared" si="35"/>
        <v>0</v>
      </c>
      <c r="L173" s="11">
        <f t="shared" si="35"/>
        <v>0</v>
      </c>
      <c r="M173" s="11">
        <f t="shared" si="35"/>
        <v>0</v>
      </c>
      <c r="N173" s="11">
        <f t="shared" si="35"/>
        <v>0</v>
      </c>
      <c r="O173" s="11">
        <f t="shared" si="35"/>
        <v>0</v>
      </c>
      <c r="P173" s="11">
        <f t="shared" si="35"/>
        <v>1</v>
      </c>
      <c r="Q173" s="11">
        <f t="shared" si="35"/>
        <v>0</v>
      </c>
      <c r="R173" s="11">
        <f t="shared" si="35"/>
        <v>0</v>
      </c>
      <c r="S173" s="11">
        <f t="shared" si="35"/>
        <v>0</v>
      </c>
      <c r="T173" s="11">
        <f t="shared" si="35"/>
        <v>0</v>
      </c>
      <c r="U173" s="11">
        <f t="shared" si="35"/>
        <v>0</v>
      </c>
      <c r="V173" s="11">
        <f t="shared" si="35"/>
        <v>0</v>
      </c>
      <c r="W173" s="35">
        <f t="shared" si="23"/>
        <v>1749.8387818119986</v>
      </c>
      <c r="X173" s="35">
        <f t="shared" si="24"/>
        <v>-42.838781811998615</v>
      </c>
      <c r="Y173" s="35">
        <f t="shared" si="25"/>
        <v>42.838781811998615</v>
      </c>
      <c r="Z173" s="35">
        <f t="shared" si="26"/>
        <v>1835.1612271360234</v>
      </c>
      <c r="AA173" s="35">
        <f t="shared" si="27"/>
        <v>30065.188764701572</v>
      </c>
      <c r="AB173" s="35">
        <f t="shared" si="28"/>
        <v>528.86050604298794</v>
      </c>
      <c r="AC173" s="35">
        <f t="shared" si="29"/>
        <v>-101406.06714128634</v>
      </c>
      <c r="AD173" s="35">
        <f t="shared" si="30"/>
        <v>477.60338878179931</v>
      </c>
      <c r="AE173" s="35">
        <f t="shared" si="31"/>
        <v>656.47186927058772</v>
      </c>
      <c r="AF173" s="40">
        <f t="shared" si="32"/>
        <v>85</v>
      </c>
      <c r="AG173" s="34">
        <f t="shared" si="33"/>
        <v>0</v>
      </c>
    </row>
    <row r="174" spans="1:33" x14ac:dyDescent="0.3">
      <c r="A174" s="4" t="str">
        <f>DATASETS!A67</f>
        <v>R-6 MAGSAYSAY / AURORA BLVD.</v>
      </c>
      <c r="B174" s="4">
        <f>DATASETS!B67</f>
        <v>2017</v>
      </c>
      <c r="C174" s="9">
        <f>DATASETS!C67</f>
        <v>100608.5</v>
      </c>
      <c r="D174" s="6">
        <f>DATASETS!I67</f>
        <v>1707</v>
      </c>
      <c r="E174" s="9">
        <f>DATASETS!H67</f>
        <v>85</v>
      </c>
      <c r="F174" s="6">
        <f>DATASETS!D67</f>
        <v>1769</v>
      </c>
      <c r="G174" s="11">
        <v>1</v>
      </c>
      <c r="H174" s="32">
        <f t="shared" si="20"/>
        <v>-0.90281591614028289</v>
      </c>
      <c r="I174" s="32">
        <f t="shared" si="21"/>
        <v>-1.1569189852628134</v>
      </c>
      <c r="J174" s="32">
        <f t="shared" si="22"/>
        <v>-5.8372077928724612E-2</v>
      </c>
      <c r="K174" s="11">
        <f t="shared" si="35"/>
        <v>0</v>
      </c>
      <c r="L174" s="11">
        <f t="shared" si="35"/>
        <v>0</v>
      </c>
      <c r="M174" s="11">
        <f t="shared" si="35"/>
        <v>0</v>
      </c>
      <c r="N174" s="11">
        <f t="shared" si="35"/>
        <v>0</v>
      </c>
      <c r="O174" s="11">
        <f t="shared" si="35"/>
        <v>0</v>
      </c>
      <c r="P174" s="11">
        <f t="shared" si="35"/>
        <v>1</v>
      </c>
      <c r="Q174" s="11">
        <f t="shared" si="35"/>
        <v>0</v>
      </c>
      <c r="R174" s="11">
        <f t="shared" si="35"/>
        <v>0</v>
      </c>
      <c r="S174" s="11">
        <f t="shared" si="35"/>
        <v>0</v>
      </c>
      <c r="T174" s="11">
        <f t="shared" si="35"/>
        <v>0</v>
      </c>
      <c r="U174" s="11">
        <f t="shared" si="35"/>
        <v>0</v>
      </c>
      <c r="V174" s="11">
        <f t="shared" si="35"/>
        <v>0</v>
      </c>
      <c r="W174" s="35">
        <f t="shared" si="23"/>
        <v>1793.763672406521</v>
      </c>
      <c r="X174" s="35">
        <f t="shared" si="24"/>
        <v>-24.763672406520982</v>
      </c>
      <c r="Y174" s="35">
        <f t="shared" si="25"/>
        <v>24.763672406520982</v>
      </c>
      <c r="Z174" s="35">
        <f t="shared" si="26"/>
        <v>613.23947105748869</v>
      </c>
      <c r="AA174" s="35">
        <f t="shared" si="27"/>
        <v>12408.436627949441</v>
      </c>
      <c r="AB174" s="35">
        <f t="shared" si="28"/>
        <v>558.98244741641145</v>
      </c>
      <c r="AC174" s="35">
        <f t="shared" si="29"/>
        <v>-101456.36776982865</v>
      </c>
      <c r="AD174" s="35">
        <f t="shared" si="30"/>
        <v>541.70696654520361</v>
      </c>
      <c r="AE174" s="35">
        <f t="shared" si="31"/>
        <v>656.47186927058772</v>
      </c>
      <c r="AF174" s="40">
        <f t="shared" si="32"/>
        <v>85</v>
      </c>
      <c r="AG174" s="34">
        <f t="shared" si="33"/>
        <v>0</v>
      </c>
    </row>
    <row r="175" spans="1:33" x14ac:dyDescent="0.3">
      <c r="A175" s="4" t="str">
        <f>DATASETS!A68</f>
        <v>R-6 MAGSAYSAY / AURORA BLVD.</v>
      </c>
      <c r="B175" s="4">
        <f>DATASETS!B68</f>
        <v>2018</v>
      </c>
      <c r="C175" s="9">
        <f>DATASETS!C68</f>
        <v>108595</v>
      </c>
      <c r="D175" s="6">
        <f>DATASETS!I68</f>
        <v>1769</v>
      </c>
      <c r="E175" s="9">
        <f>DATASETS!H68</f>
        <v>85</v>
      </c>
      <c r="F175" s="6">
        <f>DATASETS!D68</f>
        <v>2068</v>
      </c>
      <c r="G175" s="11">
        <v>1</v>
      </c>
      <c r="H175" s="32">
        <f t="shared" si="20"/>
        <v>-0.7940519433964891</v>
      </c>
      <c r="I175" s="32">
        <f t="shared" si="21"/>
        <v>-0.77127932350854234</v>
      </c>
      <c r="J175" s="32">
        <f t="shared" si="22"/>
        <v>-2.3573339163523402E-2</v>
      </c>
      <c r="K175" s="11">
        <f t="shared" si="35"/>
        <v>0</v>
      </c>
      <c r="L175" s="11">
        <f t="shared" si="35"/>
        <v>0</v>
      </c>
      <c r="M175" s="11">
        <f t="shared" si="35"/>
        <v>0</v>
      </c>
      <c r="N175" s="11">
        <f t="shared" si="35"/>
        <v>0</v>
      </c>
      <c r="O175" s="11">
        <f t="shared" si="35"/>
        <v>0</v>
      </c>
      <c r="P175" s="11">
        <f t="shared" si="35"/>
        <v>1</v>
      </c>
      <c r="Q175" s="11">
        <f t="shared" si="35"/>
        <v>0</v>
      </c>
      <c r="R175" s="11">
        <f t="shared" si="35"/>
        <v>0</v>
      </c>
      <c r="S175" s="11">
        <f t="shared" si="35"/>
        <v>0</v>
      </c>
      <c r="T175" s="11">
        <f t="shared" si="35"/>
        <v>0</v>
      </c>
      <c r="U175" s="11">
        <f t="shared" si="35"/>
        <v>0</v>
      </c>
      <c r="V175" s="11">
        <f t="shared" si="35"/>
        <v>0</v>
      </c>
      <c r="W175" s="35">
        <f t="shared" si="23"/>
        <v>1807.511522126576</v>
      </c>
      <c r="X175" s="35">
        <f t="shared" si="24"/>
        <v>260.48847787342402</v>
      </c>
      <c r="Y175" s="35">
        <f t="shared" si="25"/>
        <v>260.48847787342402</v>
      </c>
      <c r="Z175" s="35">
        <f t="shared" si="26"/>
        <v>67854.247104813316</v>
      </c>
      <c r="AA175" s="35">
        <f t="shared" si="27"/>
        <v>35196.325516838355</v>
      </c>
      <c r="AB175" s="35">
        <f t="shared" si="28"/>
        <v>603.35557012762536</v>
      </c>
      <c r="AC175" s="35">
        <f t="shared" si="29"/>
        <v>-101506.66839837095</v>
      </c>
      <c r="AD175" s="35">
        <f t="shared" si="30"/>
        <v>561.38232209634748</v>
      </c>
      <c r="AE175" s="35">
        <f t="shared" si="31"/>
        <v>656.47186927058772</v>
      </c>
      <c r="AF175" s="40">
        <f t="shared" si="32"/>
        <v>85</v>
      </c>
      <c r="AG175" s="34">
        <f t="shared" si="33"/>
        <v>0</v>
      </c>
    </row>
    <row r="176" spans="1:33" x14ac:dyDescent="0.3">
      <c r="A176" s="4" t="str">
        <f>DATASETS!A69</f>
        <v>R-6 MAGSAYSAY / AURORA BLVD.</v>
      </c>
      <c r="B176" s="4">
        <f>DATASETS!B69</f>
        <v>2019</v>
      </c>
      <c r="C176" s="9">
        <f>DATASETS!C69</f>
        <v>120102.5</v>
      </c>
      <c r="D176" s="6">
        <f>DATASETS!I69</f>
        <v>2068</v>
      </c>
      <c r="E176" s="9">
        <f>DATASETS!H69</f>
        <v>85</v>
      </c>
      <c r="F176" s="6">
        <f>DATASETS!D69</f>
        <v>2404</v>
      </c>
      <c r="G176" s="11">
        <v>1</v>
      </c>
      <c r="H176" s="32">
        <f t="shared" si="20"/>
        <v>-0.6373373104096729</v>
      </c>
      <c r="I176" s="32">
        <f t="shared" si="21"/>
        <v>-0.38563966175427117</v>
      </c>
      <c r="J176" s="32">
        <f t="shared" si="22"/>
        <v>0.14424638488155986</v>
      </c>
      <c r="K176" s="11">
        <f t="shared" si="35"/>
        <v>0</v>
      </c>
      <c r="L176" s="11">
        <f t="shared" si="35"/>
        <v>0</v>
      </c>
      <c r="M176" s="11">
        <f t="shared" si="35"/>
        <v>0</v>
      </c>
      <c r="N176" s="11">
        <f t="shared" si="35"/>
        <v>0</v>
      </c>
      <c r="O176" s="11">
        <f t="shared" si="35"/>
        <v>0</v>
      </c>
      <c r="P176" s="11">
        <f t="shared" si="35"/>
        <v>1</v>
      </c>
      <c r="Q176" s="11">
        <f t="shared" si="35"/>
        <v>0</v>
      </c>
      <c r="R176" s="11">
        <f t="shared" si="35"/>
        <v>0</v>
      </c>
      <c r="S176" s="11">
        <f t="shared" si="35"/>
        <v>0</v>
      </c>
      <c r="T176" s="11">
        <f t="shared" si="35"/>
        <v>0</v>
      </c>
      <c r="U176" s="11">
        <f t="shared" si="35"/>
        <v>0</v>
      </c>
      <c r="V176" s="11">
        <f t="shared" si="35"/>
        <v>0</v>
      </c>
      <c r="W176" s="35">
        <f t="shared" si="23"/>
        <v>1916.0327379078881</v>
      </c>
      <c r="X176" s="35">
        <f t="shared" si="24"/>
        <v>487.96726209211192</v>
      </c>
      <c r="Y176" s="35">
        <f t="shared" si="25"/>
        <v>487.96726209211192</v>
      </c>
      <c r="Z176" s="35">
        <f t="shared" si="26"/>
        <v>238112.04887367185</v>
      </c>
      <c r="AA176" s="35">
        <f t="shared" si="27"/>
        <v>274164.12038863322</v>
      </c>
      <c r="AB176" s="35">
        <f t="shared" si="28"/>
        <v>667.29142558361923</v>
      </c>
      <c r="AC176" s="35">
        <f t="shared" si="29"/>
        <v>-101556.96902691326</v>
      </c>
      <c r="AD176" s="35">
        <f t="shared" si="30"/>
        <v>656.26831096396074</v>
      </c>
      <c r="AE176" s="35">
        <f t="shared" si="31"/>
        <v>656.47186927058772</v>
      </c>
      <c r="AF176" s="40">
        <f t="shared" si="32"/>
        <v>85</v>
      </c>
      <c r="AG176" s="34">
        <f t="shared" si="33"/>
        <v>0</v>
      </c>
    </row>
    <row r="177" spans="1:33" x14ac:dyDescent="0.3">
      <c r="A177" s="4" t="str">
        <f>DATASETS!A70</f>
        <v>R-6 MAGSAYSAY / AURORA BLVD.</v>
      </c>
      <c r="B177" s="4">
        <f>DATASETS!B70</f>
        <v>2020</v>
      </c>
      <c r="C177" s="9">
        <f>DATASETS!C70</f>
        <v>112368</v>
      </c>
      <c r="D177" s="6">
        <f>DATASETS!I70</f>
        <v>2404</v>
      </c>
      <c r="E177" s="9">
        <f>DATASETS!H70</f>
        <v>85</v>
      </c>
      <c r="F177" s="6">
        <f>DATASETS!D70</f>
        <v>154</v>
      </c>
      <c r="G177" s="11">
        <v>1</v>
      </c>
      <c r="H177" s="32">
        <f t="shared" si="20"/>
        <v>-0.74266942675436376</v>
      </c>
      <c r="I177" s="32">
        <f t="shared" si="21"/>
        <v>0</v>
      </c>
      <c r="J177" s="32">
        <f t="shared" si="22"/>
        <v>0.3328330981897471</v>
      </c>
      <c r="K177" s="11">
        <f t="shared" si="35"/>
        <v>0</v>
      </c>
      <c r="L177" s="11">
        <f t="shared" si="35"/>
        <v>0</v>
      </c>
      <c r="M177" s="11">
        <f t="shared" si="35"/>
        <v>0</v>
      </c>
      <c r="N177" s="11">
        <f t="shared" si="35"/>
        <v>0</v>
      </c>
      <c r="O177" s="11">
        <f t="shared" si="35"/>
        <v>0</v>
      </c>
      <c r="P177" s="11">
        <f t="shared" si="35"/>
        <v>1</v>
      </c>
      <c r="Q177" s="11">
        <f t="shared" si="35"/>
        <v>0</v>
      </c>
      <c r="R177" s="11">
        <f t="shared" si="35"/>
        <v>0</v>
      </c>
      <c r="S177" s="11">
        <f t="shared" si="35"/>
        <v>0</v>
      </c>
      <c r="T177" s="11">
        <f t="shared" si="35"/>
        <v>0</v>
      </c>
      <c r="U177" s="11">
        <f t="shared" si="35"/>
        <v>0</v>
      </c>
      <c r="V177" s="11">
        <f t="shared" si="35"/>
        <v>0</v>
      </c>
      <c r="W177" s="35">
        <f t="shared" si="23"/>
        <v>1929.3868360250335</v>
      </c>
      <c r="X177" s="35">
        <f t="shared" si="24"/>
        <v>-1775.3868360250335</v>
      </c>
      <c r="Y177" s="35">
        <f t="shared" si="25"/>
        <v>1775.3868360250335</v>
      </c>
      <c r="Z177" s="35">
        <f t="shared" si="26"/>
        <v>3151998.417530979</v>
      </c>
      <c r="AA177" s="35">
        <f t="shared" si="27"/>
        <v>2980433.3511578636</v>
      </c>
      <c r="AB177" s="35">
        <f t="shared" si="28"/>
        <v>624.31841893366186</v>
      </c>
      <c r="AC177" s="35">
        <f t="shared" si="29"/>
        <v>-101607.26965545557</v>
      </c>
      <c r="AD177" s="35">
        <f t="shared" si="30"/>
        <v>762.89604427338577</v>
      </c>
      <c r="AE177" s="35">
        <f t="shared" si="31"/>
        <v>656.47186927058772</v>
      </c>
      <c r="AF177" s="40">
        <f t="shared" si="32"/>
        <v>85</v>
      </c>
      <c r="AG177" s="34">
        <f t="shared" si="33"/>
        <v>0</v>
      </c>
    </row>
    <row r="178" spans="1:33" x14ac:dyDescent="0.3">
      <c r="A178" s="4" t="str">
        <f>DATASETS!A71</f>
        <v>R-6 MAGSAYSAY / AURORA BLVD.</v>
      </c>
      <c r="B178" s="4">
        <f>DATASETS!B71</f>
        <v>2021</v>
      </c>
      <c r="C178" s="9">
        <f>DATASETS!C71</f>
        <v>120372.5</v>
      </c>
      <c r="D178" s="6">
        <f>DATASETS!I71</f>
        <v>154</v>
      </c>
      <c r="E178" s="9">
        <f>DATASETS!H71</f>
        <v>85</v>
      </c>
      <c r="F178" s="6">
        <f>DATASETS!D71</f>
        <v>1362</v>
      </c>
      <c r="G178" s="11">
        <v>1</v>
      </c>
      <c r="H178" s="32">
        <f t="shared" si="20"/>
        <v>-0.633660321410634</v>
      </c>
      <c r="I178" s="32">
        <f t="shared" si="21"/>
        <v>0.38563966175427117</v>
      </c>
      <c r="J178" s="32">
        <f t="shared" si="22"/>
        <v>-0.93002435699900665</v>
      </c>
      <c r="K178" s="11">
        <f t="shared" si="35"/>
        <v>0</v>
      </c>
      <c r="L178" s="11">
        <f t="shared" si="35"/>
        <v>0</v>
      </c>
      <c r="M178" s="11">
        <f t="shared" si="35"/>
        <v>0</v>
      </c>
      <c r="N178" s="11">
        <f t="shared" si="35"/>
        <v>0</v>
      </c>
      <c r="O178" s="11">
        <f t="shared" si="35"/>
        <v>0</v>
      </c>
      <c r="P178" s="11">
        <f t="shared" si="35"/>
        <v>1</v>
      </c>
      <c r="Q178" s="11">
        <f t="shared" si="35"/>
        <v>0</v>
      </c>
      <c r="R178" s="11">
        <f t="shared" si="35"/>
        <v>0</v>
      </c>
      <c r="S178" s="11">
        <f t="shared" si="35"/>
        <v>0</v>
      </c>
      <c r="T178" s="11">
        <f t="shared" si="35"/>
        <v>0</v>
      </c>
      <c r="U178" s="11">
        <f t="shared" si="35"/>
        <v>0</v>
      </c>
      <c r="V178" s="11">
        <f t="shared" si="35"/>
        <v>0</v>
      </c>
      <c r="W178" s="35">
        <f t="shared" si="23"/>
        <v>1209.534338644132</v>
      </c>
      <c r="X178" s="35">
        <f t="shared" si="24"/>
        <v>152.46566135586795</v>
      </c>
      <c r="Y178" s="35">
        <f t="shared" si="25"/>
        <v>152.46566135586795</v>
      </c>
      <c r="Z178" s="35">
        <f t="shared" si="26"/>
        <v>23245.777892682207</v>
      </c>
      <c r="AA178" s="35">
        <f t="shared" si="27"/>
        <v>268731.4708159836</v>
      </c>
      <c r="AB178" s="35">
        <f t="shared" si="28"/>
        <v>668.79154993496559</v>
      </c>
      <c r="AC178" s="35">
        <f t="shared" si="29"/>
        <v>-101657.57028399788</v>
      </c>
      <c r="AD178" s="35">
        <f t="shared" si="30"/>
        <v>48.871044433486439</v>
      </c>
      <c r="AE178" s="35">
        <f t="shared" si="31"/>
        <v>656.47186927058772</v>
      </c>
      <c r="AF178" s="40">
        <f t="shared" si="32"/>
        <v>85</v>
      </c>
      <c r="AG178" s="34">
        <f t="shared" si="33"/>
        <v>0</v>
      </c>
    </row>
    <row r="179" spans="1:33" x14ac:dyDescent="0.3">
      <c r="A179" s="4" t="str">
        <f>DATASETS!A72</f>
        <v>R-6 MAGSAYSAY / AURORA BLVD.</v>
      </c>
      <c r="B179" s="4">
        <f>DATASETS!B72</f>
        <v>2022</v>
      </c>
      <c r="C179" s="9">
        <f>DATASETS!C72</f>
        <v>124064.5</v>
      </c>
      <c r="D179" s="6">
        <f>DATASETS!I72</f>
        <v>1362</v>
      </c>
      <c r="E179" s="9">
        <f>DATASETS!H72</f>
        <v>85</v>
      </c>
      <c r="F179" s="6">
        <f>DATASETS!D72</f>
        <v>1070</v>
      </c>
      <c r="G179" s="11">
        <v>1</v>
      </c>
      <c r="H179" s="32">
        <f t="shared" si="20"/>
        <v>-0.5833809014682203</v>
      </c>
      <c r="I179" s="32">
        <f t="shared" si="21"/>
        <v>0.77127932350854234</v>
      </c>
      <c r="J179" s="32">
        <f t="shared" si="22"/>
        <v>-0.25201022105766685</v>
      </c>
      <c r="K179" s="11">
        <f t="shared" ref="K179:V188" si="36">IF($A179=K$113,1,0)</f>
        <v>0</v>
      </c>
      <c r="L179" s="11">
        <f t="shared" si="36"/>
        <v>0</v>
      </c>
      <c r="M179" s="11">
        <f t="shared" si="36"/>
        <v>0</v>
      </c>
      <c r="N179" s="11">
        <f t="shared" si="36"/>
        <v>0</v>
      </c>
      <c r="O179" s="11">
        <f t="shared" si="36"/>
        <v>0</v>
      </c>
      <c r="P179" s="11">
        <f t="shared" si="36"/>
        <v>1</v>
      </c>
      <c r="Q179" s="11">
        <f t="shared" si="36"/>
        <v>0</v>
      </c>
      <c r="R179" s="11">
        <f t="shared" si="36"/>
        <v>0</v>
      </c>
      <c r="S179" s="11">
        <f t="shared" si="36"/>
        <v>0</v>
      </c>
      <c r="T179" s="11">
        <f t="shared" si="36"/>
        <v>0</v>
      </c>
      <c r="U179" s="11">
        <f t="shared" si="36"/>
        <v>0</v>
      </c>
      <c r="V179" s="11">
        <f t="shared" si="36"/>
        <v>0</v>
      </c>
      <c r="W179" s="35">
        <f t="shared" si="23"/>
        <v>1563.0986104053986</v>
      </c>
      <c r="X179" s="35">
        <f t="shared" si="24"/>
        <v>-493.09861040539863</v>
      </c>
      <c r="Y179" s="35">
        <f t="shared" si="25"/>
        <v>493.09861040539863</v>
      </c>
      <c r="Z179" s="35">
        <f t="shared" si="26"/>
        <v>243146.23958373509</v>
      </c>
      <c r="AA179" s="35">
        <f t="shared" si="27"/>
        <v>656737.07765359036</v>
      </c>
      <c r="AB179" s="35">
        <f t="shared" si="28"/>
        <v>689.30436143559814</v>
      </c>
      <c r="AC179" s="35">
        <f t="shared" si="29"/>
        <v>-101707.87091254018</v>
      </c>
      <c r="AD179" s="35">
        <f t="shared" si="30"/>
        <v>432.22313323641902</v>
      </c>
      <c r="AE179" s="35">
        <f t="shared" si="31"/>
        <v>656.47186927058772</v>
      </c>
      <c r="AF179" s="40">
        <f t="shared" si="32"/>
        <v>85</v>
      </c>
      <c r="AG179" s="34">
        <f t="shared" si="33"/>
        <v>0</v>
      </c>
    </row>
    <row r="180" spans="1:33" x14ac:dyDescent="0.3">
      <c r="A180" s="4" t="str">
        <f>DATASETS!A73</f>
        <v>R-6 MAGSAYSAY / AURORA BLVD.</v>
      </c>
      <c r="B180" s="4">
        <f>DATASETS!B73</f>
        <v>2023</v>
      </c>
      <c r="C180" s="9">
        <f>DATASETS!C73</f>
        <v>129922</v>
      </c>
      <c r="D180" s="6">
        <f>DATASETS!I73</f>
        <v>1070</v>
      </c>
      <c r="E180" s="9">
        <f>DATASETS!H73</f>
        <v>85</v>
      </c>
      <c r="F180" s="6">
        <f>DATASETS!D73</f>
        <v>2245</v>
      </c>
      <c r="G180" s="11">
        <v>1</v>
      </c>
      <c r="H180" s="32">
        <f t="shared" si="20"/>
        <v>-0.50361066790573716</v>
      </c>
      <c r="I180" s="32">
        <f t="shared" si="21"/>
        <v>1.1569189852628134</v>
      </c>
      <c r="J180" s="32">
        <f t="shared" si="22"/>
        <v>-0.41590105524216286</v>
      </c>
      <c r="K180" s="11">
        <f t="shared" si="36"/>
        <v>0</v>
      </c>
      <c r="L180" s="11">
        <f t="shared" si="36"/>
        <v>0</v>
      </c>
      <c r="M180" s="11">
        <f t="shared" si="36"/>
        <v>0</v>
      </c>
      <c r="N180" s="11">
        <f t="shared" si="36"/>
        <v>0</v>
      </c>
      <c r="O180" s="11">
        <f t="shared" si="36"/>
        <v>0</v>
      </c>
      <c r="P180" s="11">
        <f t="shared" si="36"/>
        <v>1</v>
      </c>
      <c r="Q180" s="11">
        <f t="shared" si="36"/>
        <v>0</v>
      </c>
      <c r="R180" s="11">
        <f t="shared" si="36"/>
        <v>0</v>
      </c>
      <c r="S180" s="11">
        <f t="shared" si="36"/>
        <v>0</v>
      </c>
      <c r="T180" s="11">
        <f t="shared" si="36"/>
        <v>0</v>
      </c>
      <c r="U180" s="11">
        <f t="shared" si="36"/>
        <v>0</v>
      </c>
      <c r="V180" s="11">
        <f t="shared" si="36"/>
        <v>0</v>
      </c>
      <c r="W180" s="35">
        <f t="shared" si="23"/>
        <v>1452.6777685061429</v>
      </c>
      <c r="X180" s="35">
        <f t="shared" si="24"/>
        <v>792.32223149385709</v>
      </c>
      <c r="Y180" s="35">
        <f t="shared" si="25"/>
        <v>792.32223149385709</v>
      </c>
      <c r="Z180" s="35">
        <f t="shared" si="26"/>
        <v>627774.51851940528</v>
      </c>
      <c r="AA180" s="35">
        <f t="shared" si="27"/>
        <v>132938.14602965888</v>
      </c>
      <c r="AB180" s="35">
        <f t="shared" si="28"/>
        <v>721.84872583564015</v>
      </c>
      <c r="AC180" s="35">
        <f t="shared" si="29"/>
        <v>-101758.17154108248</v>
      </c>
      <c r="AD180" s="35">
        <f t="shared" si="30"/>
        <v>339.55855547941877</v>
      </c>
      <c r="AE180" s="35">
        <f t="shared" si="31"/>
        <v>656.47186927058772</v>
      </c>
      <c r="AF180" s="40">
        <f t="shared" si="32"/>
        <v>85</v>
      </c>
      <c r="AG180" s="34">
        <f t="shared" si="33"/>
        <v>0</v>
      </c>
    </row>
    <row r="181" spans="1:33" x14ac:dyDescent="0.3">
      <c r="A181" s="4" t="str">
        <f>DATASETS!A74</f>
        <v>R-6 MAGSAYSAY / AURORA BLVD.</v>
      </c>
      <c r="B181" s="4">
        <f>DATASETS!B74</f>
        <v>2024</v>
      </c>
      <c r="C181" s="9">
        <f>DATASETS!C74</f>
        <v>145562.5</v>
      </c>
      <c r="D181" s="6">
        <f>DATASETS!I74</f>
        <v>2245</v>
      </c>
      <c r="E181" s="9">
        <f>DATASETS!H74</f>
        <v>85</v>
      </c>
      <c r="F181" s="6">
        <f>DATASETS!D74</f>
        <v>2505</v>
      </c>
      <c r="G181" s="11">
        <v>1</v>
      </c>
      <c r="H181" s="32">
        <f t="shared" si="20"/>
        <v>-0.29061086627807714</v>
      </c>
      <c r="I181" s="32">
        <f t="shared" si="21"/>
        <v>1.5425586470170847</v>
      </c>
      <c r="J181" s="32">
        <f t="shared" si="22"/>
        <v>0.24359117135640848</v>
      </c>
      <c r="K181" s="11">
        <f t="shared" si="36"/>
        <v>0</v>
      </c>
      <c r="L181" s="11">
        <f t="shared" si="36"/>
        <v>0</v>
      </c>
      <c r="M181" s="11">
        <f t="shared" si="36"/>
        <v>0</v>
      </c>
      <c r="N181" s="11">
        <f t="shared" si="36"/>
        <v>0</v>
      </c>
      <c r="O181" s="11">
        <f t="shared" si="36"/>
        <v>0</v>
      </c>
      <c r="P181" s="11">
        <f t="shared" si="36"/>
        <v>1</v>
      </c>
      <c r="Q181" s="11">
        <f t="shared" si="36"/>
        <v>0</v>
      </c>
      <c r="R181" s="11">
        <f t="shared" si="36"/>
        <v>0</v>
      </c>
      <c r="S181" s="11">
        <f t="shared" si="36"/>
        <v>0</v>
      </c>
      <c r="T181" s="11">
        <f t="shared" si="36"/>
        <v>0</v>
      </c>
      <c r="U181" s="11">
        <f t="shared" si="36"/>
        <v>0</v>
      </c>
      <c r="V181" s="11">
        <f t="shared" si="36"/>
        <v>0</v>
      </c>
      <c r="W181" s="35">
        <f t="shared" si="23"/>
        <v>1862.1557321662681</v>
      </c>
      <c r="X181" s="35">
        <f t="shared" si="24"/>
        <v>642.84426783373192</v>
      </c>
      <c r="Y181" s="35">
        <f t="shared" si="25"/>
        <v>642.84426783373192</v>
      </c>
      <c r="Z181" s="35">
        <f t="shared" si="26"/>
        <v>413248.75268668687</v>
      </c>
      <c r="AA181" s="35">
        <f t="shared" si="27"/>
        <v>390133.70158521447</v>
      </c>
      <c r="AB181" s="35">
        <f t="shared" si="28"/>
        <v>808.74759589946564</v>
      </c>
      <c r="AC181" s="35">
        <f t="shared" si="29"/>
        <v>-101808.47216962479</v>
      </c>
      <c r="AD181" s="35">
        <f t="shared" si="30"/>
        <v>712.43827761803288</v>
      </c>
      <c r="AE181" s="35">
        <f t="shared" si="31"/>
        <v>656.47186927058772</v>
      </c>
      <c r="AF181" s="40">
        <f t="shared" si="32"/>
        <v>85</v>
      </c>
      <c r="AG181" s="34">
        <f t="shared" si="33"/>
        <v>0</v>
      </c>
    </row>
    <row r="182" spans="1:33" x14ac:dyDescent="0.3">
      <c r="A182" s="4" t="str">
        <f>DATASETS!A76</f>
        <v>QUEZON AVE.</v>
      </c>
      <c r="B182" s="4">
        <f>DATASETS!B76</f>
        <v>2016</v>
      </c>
      <c r="C182" s="9">
        <f>DATASETS!C76</f>
        <v>187111</v>
      </c>
      <c r="D182" s="6">
        <f>DATASETS!I76</f>
        <v>1498</v>
      </c>
      <c r="E182" s="9">
        <f>DATASETS!H76</f>
        <v>61</v>
      </c>
      <c r="F182" s="6">
        <f>DATASETS!D76</f>
        <v>1996</v>
      </c>
      <c r="G182" s="11">
        <v>1</v>
      </c>
      <c r="H182" s="32">
        <f t="shared" si="20"/>
        <v>0.27521645752402846</v>
      </c>
      <c r="I182" s="32">
        <f t="shared" si="21"/>
        <v>-1.5425586470170847</v>
      </c>
      <c r="J182" s="32">
        <f t="shared" si="22"/>
        <v>-0.17567750376625774</v>
      </c>
      <c r="K182" s="11">
        <f t="shared" si="36"/>
        <v>0</v>
      </c>
      <c r="L182" s="11">
        <f t="shared" si="36"/>
        <v>0</v>
      </c>
      <c r="M182" s="11">
        <f t="shared" si="36"/>
        <v>0</v>
      </c>
      <c r="N182" s="11">
        <f t="shared" si="36"/>
        <v>0</v>
      </c>
      <c r="O182" s="11">
        <f t="shared" si="36"/>
        <v>0</v>
      </c>
      <c r="P182" s="11">
        <f t="shared" si="36"/>
        <v>0</v>
      </c>
      <c r="Q182" s="11">
        <f t="shared" si="36"/>
        <v>1</v>
      </c>
      <c r="R182" s="11">
        <f t="shared" si="36"/>
        <v>0</v>
      </c>
      <c r="S182" s="11">
        <f t="shared" si="36"/>
        <v>0</v>
      </c>
      <c r="T182" s="11">
        <f t="shared" si="36"/>
        <v>0</v>
      </c>
      <c r="U182" s="11">
        <f t="shared" si="36"/>
        <v>0</v>
      </c>
      <c r="V182" s="11">
        <f t="shared" si="36"/>
        <v>0</v>
      </c>
      <c r="W182" s="35">
        <f t="shared" si="23"/>
        <v>1868.0847826384042</v>
      </c>
      <c r="X182" s="35">
        <f t="shared" si="24"/>
        <v>127.91521736159575</v>
      </c>
      <c r="Y182" s="35">
        <f t="shared" si="25"/>
        <v>127.91521736159575</v>
      </c>
      <c r="Z182" s="35">
        <f t="shared" si="26"/>
        <v>16362.302832664287</v>
      </c>
      <c r="AA182" s="35">
        <f t="shared" si="27"/>
        <v>13364.94090145373</v>
      </c>
      <c r="AB182" s="35">
        <f t="shared" si="28"/>
        <v>1039.5917314991491</v>
      </c>
      <c r="AC182" s="35">
        <f t="shared" si="29"/>
        <v>-101406.06714128634</v>
      </c>
      <c r="AD182" s="35">
        <f t="shared" si="30"/>
        <v>475.38197767118629</v>
      </c>
      <c r="AE182" s="35">
        <f t="shared" si="31"/>
        <v>266.20805575143731</v>
      </c>
      <c r="AF182" s="40">
        <f t="shared" si="32"/>
        <v>61</v>
      </c>
      <c r="AG182" s="34">
        <f t="shared" si="33"/>
        <v>0</v>
      </c>
    </row>
    <row r="183" spans="1:33" x14ac:dyDescent="0.3">
      <c r="A183" s="4" t="str">
        <f>DATASETS!A77</f>
        <v>QUEZON AVE.</v>
      </c>
      <c r="B183" s="4">
        <f>DATASETS!B77</f>
        <v>2017</v>
      </c>
      <c r="C183" s="9">
        <f>DATASETS!C77</f>
        <v>195335</v>
      </c>
      <c r="D183" s="6">
        <f>DATASETS!I77</f>
        <v>1996</v>
      </c>
      <c r="E183" s="9">
        <f>DATASETS!H77</f>
        <v>61</v>
      </c>
      <c r="F183" s="6">
        <f>DATASETS!D77</f>
        <v>2029</v>
      </c>
      <c r="G183" s="11">
        <v>1</v>
      </c>
      <c r="H183" s="32">
        <f t="shared" ref="H183:H214" si="37">(C183-$B$6)/$C$6</f>
        <v>0.38721481873919911</v>
      </c>
      <c r="I183" s="32">
        <f t="shared" ref="I183:I214" si="38">(B183-$B$7)/$C$7</f>
        <v>-1.1569189852628134</v>
      </c>
      <c r="J183" s="32">
        <f t="shared" ref="J183:J214" si="39">(D183-$B$8)/$C$8</f>
        <v>0.10383494631551975</v>
      </c>
      <c r="K183" s="11">
        <f t="shared" si="36"/>
        <v>0</v>
      </c>
      <c r="L183" s="11">
        <f t="shared" si="36"/>
        <v>0</v>
      </c>
      <c r="M183" s="11">
        <f t="shared" si="36"/>
        <v>0</v>
      </c>
      <c r="N183" s="11">
        <f t="shared" si="36"/>
        <v>0</v>
      </c>
      <c r="O183" s="11">
        <f t="shared" si="36"/>
        <v>0</v>
      </c>
      <c r="P183" s="11">
        <f t="shared" si="36"/>
        <v>0</v>
      </c>
      <c r="Q183" s="11">
        <f t="shared" si="36"/>
        <v>1</v>
      </c>
      <c r="R183" s="11">
        <f t="shared" si="36"/>
        <v>0</v>
      </c>
      <c r="S183" s="11">
        <f t="shared" si="36"/>
        <v>0</v>
      </c>
      <c r="T183" s="11">
        <f t="shared" si="36"/>
        <v>0</v>
      </c>
      <c r="U183" s="11">
        <f t="shared" si="36"/>
        <v>0</v>
      </c>
      <c r="V183" s="11">
        <f t="shared" si="36"/>
        <v>0</v>
      </c>
      <c r="W183" s="35">
        <f t="shared" ref="W183:W214" si="40">$C$70+$C$71*C183+$C$72*B183+$C$73*D183+AE183</f>
        <v>2021.5143639327894</v>
      </c>
      <c r="X183" s="35">
        <f t="shared" ref="X183:X214" si="41">F183-W183</f>
        <v>7.4856360672106348</v>
      </c>
      <c r="Y183" s="35">
        <f t="shared" ref="Y183:Y214" si="42">ABS(X183)</f>
        <v>7.4856360672106348</v>
      </c>
      <c r="Z183" s="35">
        <f t="shared" ref="Z183:Z214" si="43">X183^2</f>
        <v>56.034747330724699</v>
      </c>
      <c r="AA183" s="35">
        <f t="shared" ref="AA183:AA214" si="44">(F183-$B$11)^2</f>
        <v>22083.992183505015</v>
      </c>
      <c r="AB183" s="35">
        <f t="shared" ref="AB183:AB214" si="45">$C$71*C183</f>
        <v>1085.2844080379364</v>
      </c>
      <c r="AC183" s="35">
        <f t="shared" ref="AC183:AC214" si="46">$C$72*B183</f>
        <v>-101456.36776982865</v>
      </c>
      <c r="AD183" s="35">
        <f t="shared" ref="AD183:AD214" si="47">$C$73*D183</f>
        <v>633.41951096908394</v>
      </c>
      <c r="AE183" s="35">
        <f t="shared" ref="AE183:AE214" si="48">SUMPRODUCT(K183:V183,$K$116:$V$116)</f>
        <v>266.20805575143731</v>
      </c>
      <c r="AF183" s="40">
        <f t="shared" ref="AF183:AF214" si="49">$B$114*(1-SUM(K183:V183))+SUMPRODUCT(K183:V183,$K$112:$V$112)</f>
        <v>61</v>
      </c>
      <c r="AG183" s="34">
        <f t="shared" ref="AG183:AG214" si="50">ABS(E183-AF183)</f>
        <v>0</v>
      </c>
    </row>
    <row r="184" spans="1:33" x14ac:dyDescent="0.3">
      <c r="A184" s="4" t="str">
        <f>DATASETS!A78</f>
        <v>QUEZON AVE.</v>
      </c>
      <c r="B184" s="4">
        <f>DATASETS!B78</f>
        <v>2018</v>
      </c>
      <c r="C184" s="9">
        <f>DATASETS!C78</f>
        <v>204604</v>
      </c>
      <c r="D184" s="6">
        <f>DATASETS!I78</f>
        <v>2029</v>
      </c>
      <c r="E184" s="9">
        <f>DATASETS!H78</f>
        <v>61</v>
      </c>
      <c r="F184" s="6">
        <f>DATASETS!D78</f>
        <v>2378</v>
      </c>
      <c r="G184" s="11">
        <v>1</v>
      </c>
      <c r="H184" s="32">
        <f t="shared" si="37"/>
        <v>0.51344448922842778</v>
      </c>
      <c r="I184" s="32">
        <f t="shared" si="38"/>
        <v>-0.77127932350854234</v>
      </c>
      <c r="J184" s="32">
        <f t="shared" si="39"/>
        <v>0.12235685565828813</v>
      </c>
      <c r="K184" s="11">
        <f t="shared" si="36"/>
        <v>0</v>
      </c>
      <c r="L184" s="11">
        <f t="shared" si="36"/>
        <v>0</v>
      </c>
      <c r="M184" s="11">
        <f t="shared" si="36"/>
        <v>0</v>
      </c>
      <c r="N184" s="11">
        <f t="shared" si="36"/>
        <v>0</v>
      </c>
      <c r="O184" s="11">
        <f t="shared" si="36"/>
        <v>0</v>
      </c>
      <c r="P184" s="11">
        <f t="shared" si="36"/>
        <v>0</v>
      </c>
      <c r="Q184" s="11">
        <f t="shared" si="36"/>
        <v>1</v>
      </c>
      <c r="R184" s="11">
        <f t="shared" si="36"/>
        <v>0</v>
      </c>
      <c r="S184" s="11">
        <f t="shared" si="36"/>
        <v>0</v>
      </c>
      <c r="T184" s="11">
        <f t="shared" si="36"/>
        <v>0</v>
      </c>
      <c r="U184" s="11">
        <f t="shared" si="36"/>
        <v>0</v>
      </c>
      <c r="V184" s="11">
        <f t="shared" si="36"/>
        <v>0</v>
      </c>
      <c r="W184" s="35">
        <f t="shared" si="40"/>
        <v>2033.1848154349086</v>
      </c>
      <c r="X184" s="35">
        <f t="shared" si="41"/>
        <v>344.81518456509139</v>
      </c>
      <c r="Y184" s="35">
        <f t="shared" si="42"/>
        <v>344.81518456509139</v>
      </c>
      <c r="Z184" s="35">
        <f t="shared" si="43"/>
        <v>118897.51150665803</v>
      </c>
      <c r="AA184" s="35">
        <f t="shared" si="44"/>
        <v>247612.56483307769</v>
      </c>
      <c r="AB184" s="35">
        <f t="shared" si="45"/>
        <v>1136.7831214180455</v>
      </c>
      <c r="AC184" s="35">
        <f t="shared" si="46"/>
        <v>-101506.66839837095</v>
      </c>
      <c r="AD184" s="35">
        <f t="shared" si="47"/>
        <v>643.89187763340249</v>
      </c>
      <c r="AE184" s="35">
        <f t="shared" si="48"/>
        <v>266.20805575143731</v>
      </c>
      <c r="AF184" s="40">
        <f t="shared" si="49"/>
        <v>61</v>
      </c>
      <c r="AG184" s="34">
        <f t="shared" si="50"/>
        <v>0</v>
      </c>
    </row>
    <row r="185" spans="1:33" x14ac:dyDescent="0.3">
      <c r="A185" s="4" t="str">
        <f>DATASETS!A79</f>
        <v>QUEZON AVE.</v>
      </c>
      <c r="B185" s="4">
        <f>DATASETS!B79</f>
        <v>2019</v>
      </c>
      <c r="C185" s="9">
        <f>DATASETS!C79</f>
        <v>230099</v>
      </c>
      <c r="D185" s="6">
        <f>DATASETS!I79</f>
        <v>2378</v>
      </c>
      <c r="E185" s="9">
        <f>DATASETS!H79</f>
        <v>61</v>
      </c>
      <c r="F185" s="6">
        <f>DATASETS!D79</f>
        <v>2635</v>
      </c>
      <c r="G185" s="11">
        <v>1</v>
      </c>
      <c r="H185" s="32">
        <f t="shared" si="37"/>
        <v>0.86064758008212117</v>
      </c>
      <c r="I185" s="32">
        <f t="shared" si="38"/>
        <v>-0.38563966175427117</v>
      </c>
      <c r="J185" s="32">
        <f t="shared" si="39"/>
        <v>0.31824007870756593</v>
      </c>
      <c r="K185" s="11">
        <f t="shared" si="36"/>
        <v>0</v>
      </c>
      <c r="L185" s="11">
        <f t="shared" si="36"/>
        <v>0</v>
      </c>
      <c r="M185" s="11">
        <f t="shared" si="36"/>
        <v>0</v>
      </c>
      <c r="N185" s="11">
        <f t="shared" si="36"/>
        <v>0</v>
      </c>
      <c r="O185" s="11">
        <f t="shared" si="36"/>
        <v>0</v>
      </c>
      <c r="P185" s="11">
        <f t="shared" si="36"/>
        <v>0</v>
      </c>
      <c r="Q185" s="11">
        <f t="shared" si="36"/>
        <v>1</v>
      </c>
      <c r="R185" s="11">
        <f t="shared" si="36"/>
        <v>0</v>
      </c>
      <c r="S185" s="11">
        <f t="shared" si="36"/>
        <v>0</v>
      </c>
      <c r="T185" s="11">
        <f t="shared" si="36"/>
        <v>0</v>
      </c>
      <c r="U185" s="11">
        <f t="shared" si="36"/>
        <v>0</v>
      </c>
      <c r="V185" s="11">
        <f t="shared" si="36"/>
        <v>0</v>
      </c>
      <c r="W185" s="35">
        <f t="shared" si="40"/>
        <v>2235.2880288587971</v>
      </c>
      <c r="X185" s="35">
        <f t="shared" si="41"/>
        <v>399.71197114120287</v>
      </c>
      <c r="Y185" s="35">
        <f t="shared" si="42"/>
        <v>399.71197114120287</v>
      </c>
      <c r="Z185" s="35">
        <f t="shared" si="43"/>
        <v>159769.6598735858</v>
      </c>
      <c r="AA185" s="35">
        <f t="shared" si="44"/>
        <v>569431.47936299222</v>
      </c>
      <c r="AB185" s="35">
        <f t="shared" si="45"/>
        <v>1278.4337522979554</v>
      </c>
      <c r="AC185" s="35">
        <f t="shared" si="46"/>
        <v>-101556.96902691326</v>
      </c>
      <c r="AD185" s="35">
        <f t="shared" si="47"/>
        <v>754.64508871968019</v>
      </c>
      <c r="AE185" s="35">
        <f t="shared" si="48"/>
        <v>266.20805575143731</v>
      </c>
      <c r="AF185" s="40">
        <f t="shared" si="49"/>
        <v>61</v>
      </c>
      <c r="AG185" s="34">
        <f t="shared" si="50"/>
        <v>0</v>
      </c>
    </row>
    <row r="186" spans="1:33" x14ac:dyDescent="0.3">
      <c r="A186" s="4" t="str">
        <f>DATASETS!A80</f>
        <v>QUEZON AVE.</v>
      </c>
      <c r="B186" s="4">
        <f>DATASETS!B80</f>
        <v>2020</v>
      </c>
      <c r="C186" s="9">
        <f>DATASETS!C80</f>
        <v>237759</v>
      </c>
      <c r="D186" s="6">
        <f>DATASETS!I80</f>
        <v>2635</v>
      </c>
      <c r="E186" s="9">
        <f>DATASETS!H80</f>
        <v>61</v>
      </c>
      <c r="F186" s="6">
        <f>DATASETS!D80</f>
        <v>1178</v>
      </c>
      <c r="G186" s="11">
        <v>1</v>
      </c>
      <c r="H186" s="32">
        <f t="shared" si="37"/>
        <v>0.96496511983263278</v>
      </c>
      <c r="I186" s="32">
        <f t="shared" si="38"/>
        <v>0</v>
      </c>
      <c r="J186" s="32">
        <f t="shared" si="39"/>
        <v>0.46248646358912582</v>
      </c>
      <c r="K186" s="11">
        <f t="shared" si="36"/>
        <v>0</v>
      </c>
      <c r="L186" s="11">
        <f t="shared" si="36"/>
        <v>0</v>
      </c>
      <c r="M186" s="11">
        <f t="shared" si="36"/>
        <v>0</v>
      </c>
      <c r="N186" s="11">
        <f t="shared" si="36"/>
        <v>0</v>
      </c>
      <c r="O186" s="11">
        <f t="shared" si="36"/>
        <v>0</v>
      </c>
      <c r="P186" s="11">
        <f t="shared" si="36"/>
        <v>0</v>
      </c>
      <c r="Q186" s="11">
        <f t="shared" si="36"/>
        <v>1</v>
      </c>
      <c r="R186" s="11">
        <f t="shared" si="36"/>
        <v>0</v>
      </c>
      <c r="S186" s="11">
        <f t="shared" si="36"/>
        <v>0</v>
      </c>
      <c r="T186" s="11">
        <f t="shared" si="36"/>
        <v>0</v>
      </c>
      <c r="U186" s="11">
        <f t="shared" si="36"/>
        <v>0</v>
      </c>
      <c r="V186" s="11">
        <f t="shared" si="36"/>
        <v>0</v>
      </c>
      <c r="W186" s="35">
        <f t="shared" si="40"/>
        <v>2309.1040059697193</v>
      </c>
      <c r="X186" s="35">
        <f t="shared" si="41"/>
        <v>-1131.1040059697193</v>
      </c>
      <c r="Y186" s="35">
        <f t="shared" si="42"/>
        <v>1131.1040059697193</v>
      </c>
      <c r="Z186" s="35">
        <f t="shared" si="43"/>
        <v>1279396.2723207469</v>
      </c>
      <c r="AA186" s="35">
        <f t="shared" si="44"/>
        <v>493356.15457666735</v>
      </c>
      <c r="AB186" s="35">
        <f t="shared" si="45"/>
        <v>1320.9928357472634</v>
      </c>
      <c r="AC186" s="35">
        <f t="shared" si="46"/>
        <v>-101607.26965545557</v>
      </c>
      <c r="AD186" s="35">
        <f t="shared" si="47"/>
        <v>836.20261092361534</v>
      </c>
      <c r="AE186" s="35">
        <f t="shared" si="48"/>
        <v>266.20805575143731</v>
      </c>
      <c r="AF186" s="40">
        <f t="shared" si="49"/>
        <v>61</v>
      </c>
      <c r="AG186" s="34">
        <f t="shared" si="50"/>
        <v>0</v>
      </c>
    </row>
    <row r="187" spans="1:33" x14ac:dyDescent="0.3">
      <c r="A187" s="4" t="str">
        <f>DATASETS!A81</f>
        <v>QUEZON AVE.</v>
      </c>
      <c r="B187" s="4">
        <f>DATASETS!B81</f>
        <v>2021</v>
      </c>
      <c r="C187" s="9">
        <f>DATASETS!C81</f>
        <v>262128</v>
      </c>
      <c r="D187" s="6">
        <f>DATASETS!I81</f>
        <v>1178</v>
      </c>
      <c r="E187" s="9">
        <f>DATASETS!H81</f>
        <v>61</v>
      </c>
      <c r="F187" s="6">
        <f>DATASETS!D81</f>
        <v>1753</v>
      </c>
      <c r="G187" s="11">
        <v>1</v>
      </c>
      <c r="H187" s="32">
        <f t="shared" si="37"/>
        <v>1.2968338047125565</v>
      </c>
      <c r="I187" s="32">
        <f t="shared" si="38"/>
        <v>0.38563966175427117</v>
      </c>
      <c r="J187" s="32">
        <f t="shared" si="39"/>
        <v>-0.35528389739310273</v>
      </c>
      <c r="K187" s="11">
        <f t="shared" si="36"/>
        <v>0</v>
      </c>
      <c r="L187" s="11">
        <f t="shared" si="36"/>
        <v>0</v>
      </c>
      <c r="M187" s="11">
        <f t="shared" si="36"/>
        <v>0</v>
      </c>
      <c r="N187" s="11">
        <f t="shared" si="36"/>
        <v>0</v>
      </c>
      <c r="O187" s="11">
        <f t="shared" si="36"/>
        <v>0</v>
      </c>
      <c r="P187" s="11">
        <f t="shared" si="36"/>
        <v>0</v>
      </c>
      <c r="Q187" s="11">
        <f t="shared" si="36"/>
        <v>1</v>
      </c>
      <c r="R187" s="11">
        <f t="shared" si="36"/>
        <v>0</v>
      </c>
      <c r="S187" s="11">
        <f t="shared" si="36"/>
        <v>0</v>
      </c>
      <c r="T187" s="11">
        <f t="shared" si="36"/>
        <v>0</v>
      </c>
      <c r="U187" s="11">
        <f t="shared" si="36"/>
        <v>0</v>
      </c>
      <c r="V187" s="11">
        <f t="shared" si="36"/>
        <v>0</v>
      </c>
      <c r="W187" s="35">
        <f t="shared" si="40"/>
        <v>1931.8270787087174</v>
      </c>
      <c r="X187" s="35">
        <f t="shared" si="41"/>
        <v>-178.82707870871741</v>
      </c>
      <c r="Y187" s="35">
        <f t="shared" si="42"/>
        <v>178.82707870871741</v>
      </c>
      <c r="Z187" s="35">
        <f t="shared" si="43"/>
        <v>31979.124079493809</v>
      </c>
      <c r="AA187" s="35">
        <f t="shared" si="44"/>
        <v>16229.017824530636</v>
      </c>
      <c r="AB187" s="35">
        <f t="shared" si="45"/>
        <v>1456.3873924804473</v>
      </c>
      <c r="AC187" s="35">
        <f t="shared" si="46"/>
        <v>-101657.57028399788</v>
      </c>
      <c r="AD187" s="35">
        <f t="shared" si="47"/>
        <v>373.83175547173391</v>
      </c>
      <c r="AE187" s="35">
        <f t="shared" si="48"/>
        <v>266.20805575143731</v>
      </c>
      <c r="AF187" s="40">
        <f t="shared" si="49"/>
        <v>61</v>
      </c>
      <c r="AG187" s="34">
        <f t="shared" si="50"/>
        <v>0</v>
      </c>
    </row>
    <row r="188" spans="1:33" x14ac:dyDescent="0.3">
      <c r="A188" s="4" t="str">
        <f>DATASETS!A82</f>
        <v>QUEZON AVE.</v>
      </c>
      <c r="B188" s="4">
        <f>DATASETS!B82</f>
        <v>2022</v>
      </c>
      <c r="C188" s="9">
        <f>DATASETS!C82</f>
        <v>280606</v>
      </c>
      <c r="D188" s="6">
        <f>DATASETS!I82</f>
        <v>1753</v>
      </c>
      <c r="E188" s="9">
        <f>DATASETS!H82</f>
        <v>61</v>
      </c>
      <c r="F188" s="6">
        <f>DATASETS!D82</f>
        <v>1955</v>
      </c>
      <c r="G188" s="11">
        <v>1</v>
      </c>
      <c r="H188" s="32">
        <f t="shared" si="37"/>
        <v>1.5484760370245607</v>
      </c>
      <c r="I188" s="32">
        <f t="shared" si="38"/>
        <v>0.77127932350854234</v>
      </c>
      <c r="J188" s="32">
        <f t="shared" si="39"/>
        <v>-3.2553658844865649E-2</v>
      </c>
      <c r="K188" s="11">
        <f t="shared" si="36"/>
        <v>0</v>
      </c>
      <c r="L188" s="11">
        <f t="shared" si="36"/>
        <v>0</v>
      </c>
      <c r="M188" s="11">
        <f t="shared" si="36"/>
        <v>0</v>
      </c>
      <c r="N188" s="11">
        <f t="shared" si="36"/>
        <v>0</v>
      </c>
      <c r="O188" s="11">
        <f t="shared" si="36"/>
        <v>0</v>
      </c>
      <c r="P188" s="11">
        <f t="shared" si="36"/>
        <v>0</v>
      </c>
      <c r="Q188" s="11">
        <f t="shared" si="36"/>
        <v>1</v>
      </c>
      <c r="R188" s="11">
        <f t="shared" si="36"/>
        <v>0</v>
      </c>
      <c r="S188" s="11">
        <f t="shared" si="36"/>
        <v>0</v>
      </c>
      <c r="T188" s="11">
        <f t="shared" si="36"/>
        <v>0</v>
      </c>
      <c r="U188" s="11">
        <f t="shared" si="36"/>
        <v>0</v>
      </c>
      <c r="V188" s="11">
        <f t="shared" si="36"/>
        <v>0</v>
      </c>
      <c r="W188" s="35">
        <f t="shared" si="40"/>
        <v>2166.6635714742988</v>
      </c>
      <c r="X188" s="35">
        <f t="shared" si="41"/>
        <v>-211.66357147429881</v>
      </c>
      <c r="Y188" s="35">
        <f t="shared" si="42"/>
        <v>211.66357147429881</v>
      </c>
      <c r="Z188" s="35">
        <f t="shared" si="43"/>
        <v>44801.4674892556</v>
      </c>
      <c r="AA188" s="35">
        <f t="shared" si="44"/>
        <v>5566.1802176930441</v>
      </c>
      <c r="AB188" s="35">
        <f t="shared" si="45"/>
        <v>1559.0514582736998</v>
      </c>
      <c r="AC188" s="35">
        <f t="shared" si="46"/>
        <v>-101707.87091254018</v>
      </c>
      <c r="AD188" s="35">
        <f t="shared" si="47"/>
        <v>556.30481098637483</v>
      </c>
      <c r="AE188" s="35">
        <f t="shared" si="48"/>
        <v>266.20805575143731</v>
      </c>
      <c r="AF188" s="40">
        <f t="shared" si="49"/>
        <v>61</v>
      </c>
      <c r="AG188" s="34">
        <f t="shared" si="50"/>
        <v>0</v>
      </c>
    </row>
    <row r="189" spans="1:33" x14ac:dyDescent="0.3">
      <c r="A189" s="4" t="str">
        <f>DATASETS!A83</f>
        <v>QUEZON AVE.</v>
      </c>
      <c r="B189" s="4">
        <f>DATASETS!B83</f>
        <v>2023</v>
      </c>
      <c r="C189" s="9">
        <f>DATASETS!C83</f>
        <v>312486</v>
      </c>
      <c r="D189" s="6">
        <f>DATASETS!I83</f>
        <v>1955</v>
      </c>
      <c r="E189" s="9">
        <f>DATASETS!H83</f>
        <v>61</v>
      </c>
      <c r="F189" s="6">
        <f>DATASETS!D83</f>
        <v>2529</v>
      </c>
      <c r="G189" s="11">
        <v>1</v>
      </c>
      <c r="H189" s="32">
        <f t="shared" si="37"/>
        <v>1.9826331084666375</v>
      </c>
      <c r="I189" s="32">
        <f t="shared" si="38"/>
        <v>1.1569189852628134</v>
      </c>
      <c r="J189" s="32">
        <f t="shared" si="39"/>
        <v>8.0822877132080237E-2</v>
      </c>
      <c r="K189" s="11">
        <f t="shared" ref="K189:V198" si="51">IF($A189=K$113,1,0)</f>
        <v>0</v>
      </c>
      <c r="L189" s="11">
        <f t="shared" si="51"/>
        <v>0</v>
      </c>
      <c r="M189" s="11">
        <f t="shared" si="51"/>
        <v>0</v>
      </c>
      <c r="N189" s="11">
        <f t="shared" si="51"/>
        <v>0</v>
      </c>
      <c r="O189" s="11">
        <f t="shared" si="51"/>
        <v>0</v>
      </c>
      <c r="P189" s="11">
        <f t="shared" si="51"/>
        <v>0</v>
      </c>
      <c r="Q189" s="11">
        <f t="shared" si="51"/>
        <v>1</v>
      </c>
      <c r="R189" s="11">
        <f t="shared" si="51"/>
        <v>0</v>
      </c>
      <c r="S189" s="11">
        <f t="shared" si="51"/>
        <v>0</v>
      </c>
      <c r="T189" s="11">
        <f t="shared" si="51"/>
        <v>0</v>
      </c>
      <c r="U189" s="11">
        <f t="shared" si="51"/>
        <v>0</v>
      </c>
      <c r="V189" s="11">
        <f t="shared" si="51"/>
        <v>0</v>
      </c>
      <c r="W189" s="35">
        <f t="shared" si="40"/>
        <v>2357.5923144766039</v>
      </c>
      <c r="X189" s="35">
        <f t="shared" si="41"/>
        <v>171.40768552339614</v>
      </c>
      <c r="Y189" s="35">
        <f t="shared" si="42"/>
        <v>171.40768552339614</v>
      </c>
      <c r="Z189" s="35">
        <f t="shared" si="43"/>
        <v>29380.594656487465</v>
      </c>
      <c r="AA189" s="35">
        <f t="shared" si="44"/>
        <v>420690.82979034266</v>
      </c>
      <c r="AB189" s="35">
        <f t="shared" si="45"/>
        <v>1736.1772520548932</v>
      </c>
      <c r="AC189" s="35">
        <f t="shared" si="46"/>
        <v>-101758.17154108248</v>
      </c>
      <c r="AD189" s="35">
        <f t="shared" si="47"/>
        <v>620.40838874977919</v>
      </c>
      <c r="AE189" s="35">
        <f t="shared" si="48"/>
        <v>266.20805575143731</v>
      </c>
      <c r="AF189" s="40">
        <f t="shared" si="49"/>
        <v>61</v>
      </c>
      <c r="AG189" s="34">
        <f t="shared" si="50"/>
        <v>0</v>
      </c>
    </row>
    <row r="190" spans="1:33" x14ac:dyDescent="0.3">
      <c r="A190" s="4" t="str">
        <f>DATASETS!A84</f>
        <v>QUEZON AVE.</v>
      </c>
      <c r="B190" s="4">
        <f>DATASETS!B84</f>
        <v>2024</v>
      </c>
      <c r="C190" s="9">
        <f>DATASETS!C84</f>
        <v>298680</v>
      </c>
      <c r="D190" s="6">
        <f>DATASETS!I84</f>
        <v>2529</v>
      </c>
      <c r="E190" s="9">
        <f>DATASETS!H84</f>
        <v>61</v>
      </c>
      <c r="F190" s="6">
        <f>DATASETS!D84</f>
        <v>2883</v>
      </c>
      <c r="G190" s="11">
        <v>1</v>
      </c>
      <c r="H190" s="32">
        <f t="shared" si="37"/>
        <v>1.7946164043157808</v>
      </c>
      <c r="I190" s="32">
        <f t="shared" si="38"/>
        <v>1.5425586470170847</v>
      </c>
      <c r="J190" s="32">
        <f t="shared" si="39"/>
        <v>0.40299184570023339</v>
      </c>
      <c r="K190" s="11">
        <f t="shared" si="51"/>
        <v>0</v>
      </c>
      <c r="L190" s="11">
        <f t="shared" si="51"/>
        <v>0</v>
      </c>
      <c r="M190" s="11">
        <f t="shared" si="51"/>
        <v>0</v>
      </c>
      <c r="N190" s="11">
        <f t="shared" si="51"/>
        <v>0</v>
      </c>
      <c r="O190" s="11">
        <f t="shared" si="51"/>
        <v>0</v>
      </c>
      <c r="P190" s="11">
        <f t="shared" si="51"/>
        <v>0</v>
      </c>
      <c r="Q190" s="11">
        <f t="shared" si="51"/>
        <v>1</v>
      </c>
      <c r="R190" s="11">
        <f t="shared" si="51"/>
        <v>0</v>
      </c>
      <c r="S190" s="11">
        <f t="shared" si="51"/>
        <v>0</v>
      </c>
      <c r="T190" s="11">
        <f t="shared" si="51"/>
        <v>0</v>
      </c>
      <c r="U190" s="11">
        <f t="shared" si="51"/>
        <v>0</v>
      </c>
      <c r="V190" s="11">
        <f t="shared" si="51"/>
        <v>0</v>
      </c>
      <c r="W190" s="35">
        <f t="shared" si="40"/>
        <v>2412.7410385057183</v>
      </c>
      <c r="X190" s="35">
        <f t="shared" si="41"/>
        <v>470.25896149428172</v>
      </c>
      <c r="Y190" s="35">
        <f t="shared" si="42"/>
        <v>470.25896149428172</v>
      </c>
      <c r="Z190" s="35">
        <f t="shared" si="43"/>
        <v>221143.49086568033</v>
      </c>
      <c r="AA190" s="35">
        <f t="shared" si="44"/>
        <v>1005220.4708159837</v>
      </c>
      <c r="AB190" s="35">
        <f t="shared" si="45"/>
        <v>1659.4708935560491</v>
      </c>
      <c r="AC190" s="35">
        <f t="shared" si="46"/>
        <v>-101808.47216962479</v>
      </c>
      <c r="AD190" s="35">
        <f t="shared" si="47"/>
        <v>802.56409982004675</v>
      </c>
      <c r="AE190" s="35">
        <f t="shared" si="48"/>
        <v>266.20805575143731</v>
      </c>
      <c r="AF190" s="40">
        <f t="shared" si="49"/>
        <v>61</v>
      </c>
      <c r="AG190" s="34">
        <f t="shared" si="50"/>
        <v>0</v>
      </c>
    </row>
    <row r="191" spans="1:33" x14ac:dyDescent="0.3">
      <c r="A191" s="4" t="str">
        <f>DATASETS!A86</f>
        <v>COMMONWEALTH AVE.</v>
      </c>
      <c r="B191" s="4">
        <f>DATASETS!B86</f>
        <v>2016</v>
      </c>
      <c r="C191" s="9">
        <f>DATASETS!C86</f>
        <v>272255</v>
      </c>
      <c r="D191" s="6">
        <f>DATASETS!I86</f>
        <v>3158</v>
      </c>
      <c r="E191" s="9">
        <f>DATASETS!H86</f>
        <v>223.20000000000002</v>
      </c>
      <c r="F191" s="6">
        <f>DATASETS!D86</f>
        <v>4032</v>
      </c>
      <c r="G191" s="11">
        <v>1</v>
      </c>
      <c r="H191" s="32">
        <f t="shared" si="37"/>
        <v>1.4347481291320643</v>
      </c>
      <c r="I191" s="32">
        <f t="shared" si="38"/>
        <v>-1.5425586470170847</v>
      </c>
      <c r="J191" s="32">
        <f t="shared" si="39"/>
        <v>0.75603066317300049</v>
      </c>
      <c r="K191" s="11">
        <f t="shared" si="51"/>
        <v>0</v>
      </c>
      <c r="L191" s="11">
        <f t="shared" si="51"/>
        <v>0</v>
      </c>
      <c r="M191" s="11">
        <f t="shared" si="51"/>
        <v>0</v>
      </c>
      <c r="N191" s="11">
        <f t="shared" si="51"/>
        <v>0</v>
      </c>
      <c r="O191" s="11">
        <f t="shared" si="51"/>
        <v>0</v>
      </c>
      <c r="P191" s="11">
        <f t="shared" si="51"/>
        <v>0</v>
      </c>
      <c r="Q191" s="11">
        <f t="shared" si="51"/>
        <v>0</v>
      </c>
      <c r="R191" s="11">
        <f t="shared" si="51"/>
        <v>1</v>
      </c>
      <c r="S191" s="11">
        <f t="shared" si="51"/>
        <v>0</v>
      </c>
      <c r="T191" s="11">
        <f t="shared" si="51"/>
        <v>0</v>
      </c>
      <c r="U191" s="11">
        <f t="shared" si="51"/>
        <v>0</v>
      </c>
      <c r="V191" s="11">
        <f t="shared" si="51"/>
        <v>0</v>
      </c>
      <c r="W191" s="35">
        <f t="shared" si="40"/>
        <v>3973.9343947715511</v>
      </c>
      <c r="X191" s="35">
        <f t="shared" si="41"/>
        <v>58.065605228448931</v>
      </c>
      <c r="Y191" s="35">
        <f t="shared" si="42"/>
        <v>58.065605228448931</v>
      </c>
      <c r="Z191" s="35">
        <f t="shared" si="43"/>
        <v>3371.614510546076</v>
      </c>
      <c r="AA191" s="35">
        <f t="shared" si="44"/>
        <v>4629411.9836364975</v>
      </c>
      <c r="AB191" s="35">
        <f t="shared" si="45"/>
        <v>1512.6531676881684</v>
      </c>
      <c r="AC191" s="35">
        <f t="shared" si="46"/>
        <v>-101406.06714128634</v>
      </c>
      <c r="AD191" s="35">
        <f t="shared" si="47"/>
        <v>1002.1737553308453</v>
      </c>
      <c r="AE191" s="35">
        <f t="shared" si="48"/>
        <v>1372.2044540359066</v>
      </c>
      <c r="AF191" s="40">
        <f t="shared" si="49"/>
        <v>223.20000000000002</v>
      </c>
      <c r="AG191" s="34">
        <f t="shared" si="50"/>
        <v>0</v>
      </c>
    </row>
    <row r="192" spans="1:33" x14ac:dyDescent="0.3">
      <c r="A192" s="4" t="str">
        <f>DATASETS!A87</f>
        <v>COMMONWEALTH AVE.</v>
      </c>
      <c r="B192" s="4">
        <f>DATASETS!B87</f>
        <v>2017</v>
      </c>
      <c r="C192" s="9">
        <f>DATASETS!C87</f>
        <v>272720</v>
      </c>
      <c r="D192" s="6">
        <f>DATASETS!I87</f>
        <v>4032</v>
      </c>
      <c r="E192" s="9">
        <f>DATASETS!H87</f>
        <v>223.20000000000002</v>
      </c>
      <c r="F192" s="6">
        <f>DATASETS!D87</f>
        <v>4649</v>
      </c>
      <c r="G192" s="11">
        <v>1</v>
      </c>
      <c r="H192" s="32">
        <f t="shared" si="37"/>
        <v>1.4410807212970758</v>
      </c>
      <c r="I192" s="32">
        <f t="shared" si="38"/>
        <v>-1.1569189852628134</v>
      </c>
      <c r="J192" s="32">
        <f t="shared" si="39"/>
        <v>1.2465806257663208</v>
      </c>
      <c r="K192" s="11">
        <f t="shared" si="51"/>
        <v>0</v>
      </c>
      <c r="L192" s="11">
        <f t="shared" si="51"/>
        <v>0</v>
      </c>
      <c r="M192" s="11">
        <f t="shared" si="51"/>
        <v>0</v>
      </c>
      <c r="N192" s="11">
        <f t="shared" si="51"/>
        <v>0</v>
      </c>
      <c r="O192" s="11">
        <f t="shared" si="51"/>
        <v>0</v>
      </c>
      <c r="P192" s="11">
        <f t="shared" si="51"/>
        <v>0</v>
      </c>
      <c r="Q192" s="11">
        <f t="shared" si="51"/>
        <v>0</v>
      </c>
      <c r="R192" s="11">
        <f t="shared" si="51"/>
        <v>1</v>
      </c>
      <c r="S192" s="11">
        <f t="shared" si="51"/>
        <v>0</v>
      </c>
      <c r="T192" s="11">
        <f t="shared" si="51"/>
        <v>0</v>
      </c>
      <c r="U192" s="11">
        <f t="shared" si="51"/>
        <v>0</v>
      </c>
      <c r="V192" s="11">
        <f t="shared" si="51"/>
        <v>0</v>
      </c>
      <c r="W192" s="35">
        <f t="shared" si="40"/>
        <v>4203.5763581054835</v>
      </c>
      <c r="X192" s="35">
        <f t="shared" si="41"/>
        <v>445.42364189451655</v>
      </c>
      <c r="Y192" s="35">
        <f t="shared" si="42"/>
        <v>445.42364189451655</v>
      </c>
      <c r="Z192" s="35">
        <f t="shared" si="43"/>
        <v>198402.22075857452</v>
      </c>
      <c r="AA192" s="35">
        <f t="shared" si="44"/>
        <v>7665183.8212433355</v>
      </c>
      <c r="AB192" s="35">
        <f t="shared" si="45"/>
        <v>1515.2367151821538</v>
      </c>
      <c r="AC192" s="35">
        <f t="shared" si="46"/>
        <v>-101456.36776982865</v>
      </c>
      <c r="AD192" s="35">
        <f t="shared" si="47"/>
        <v>1279.5327997130996</v>
      </c>
      <c r="AE192" s="35">
        <f t="shared" si="48"/>
        <v>1372.2044540359066</v>
      </c>
      <c r="AF192" s="40">
        <f t="shared" si="49"/>
        <v>223.20000000000002</v>
      </c>
      <c r="AG192" s="34">
        <f t="shared" si="50"/>
        <v>0</v>
      </c>
    </row>
    <row r="193" spans="1:33" x14ac:dyDescent="0.3">
      <c r="A193" s="4" t="str">
        <f>DATASETS!A88</f>
        <v>COMMONWEALTH AVE.</v>
      </c>
      <c r="B193" s="4">
        <f>DATASETS!B88</f>
        <v>2018</v>
      </c>
      <c r="C193" s="9">
        <f>DATASETS!C88</f>
        <v>244916</v>
      </c>
      <c r="D193" s="6">
        <f>DATASETS!I88</f>
        <v>4649</v>
      </c>
      <c r="E193" s="9">
        <f>DATASETS!H88</f>
        <v>223.20000000000002</v>
      </c>
      <c r="F193" s="6">
        <f>DATASETS!D88</f>
        <v>5148</v>
      </c>
      <c r="G193" s="11">
        <v>1</v>
      </c>
      <c r="H193" s="32">
        <f t="shared" si="37"/>
        <v>1.0624325652627125</v>
      </c>
      <c r="I193" s="32">
        <f t="shared" si="38"/>
        <v>-0.77127932350854234</v>
      </c>
      <c r="J193" s="32">
        <f t="shared" si="39"/>
        <v>1.5928842034780812</v>
      </c>
      <c r="K193" s="11">
        <f t="shared" si="51"/>
        <v>0</v>
      </c>
      <c r="L193" s="11">
        <f t="shared" si="51"/>
        <v>0</v>
      </c>
      <c r="M193" s="11">
        <f t="shared" si="51"/>
        <v>0</v>
      </c>
      <c r="N193" s="11">
        <f t="shared" si="51"/>
        <v>0</v>
      </c>
      <c r="O193" s="11">
        <f t="shared" si="51"/>
        <v>0</v>
      </c>
      <c r="P193" s="11">
        <f t="shared" si="51"/>
        <v>0</v>
      </c>
      <c r="Q193" s="11">
        <f t="shared" si="51"/>
        <v>0</v>
      </c>
      <c r="R193" s="11">
        <f t="shared" si="51"/>
        <v>1</v>
      </c>
      <c r="S193" s="11">
        <f t="shared" si="51"/>
        <v>0</v>
      </c>
      <c r="T193" s="11">
        <f t="shared" si="51"/>
        <v>0</v>
      </c>
      <c r="U193" s="11">
        <f t="shared" si="51"/>
        <v>0</v>
      </c>
      <c r="V193" s="11">
        <f t="shared" si="51"/>
        <v>0</v>
      </c>
      <c r="W193" s="35">
        <f t="shared" si="40"/>
        <v>4194.5977796495245</v>
      </c>
      <c r="X193" s="35">
        <f t="shared" si="41"/>
        <v>953.40222035047555</v>
      </c>
      <c r="Y193" s="35">
        <f t="shared" si="42"/>
        <v>953.40222035047555</v>
      </c>
      <c r="Z193" s="35">
        <f t="shared" si="43"/>
        <v>908975.79376921675</v>
      </c>
      <c r="AA193" s="35">
        <f t="shared" si="44"/>
        <v>10677254.44517496</v>
      </c>
      <c r="AB193" s="35">
        <f t="shared" si="45"/>
        <v>1360.7572430901744</v>
      </c>
      <c r="AC193" s="35">
        <f t="shared" si="46"/>
        <v>-101506.66839837095</v>
      </c>
      <c r="AD193" s="35">
        <f t="shared" si="47"/>
        <v>1475.3343218914185</v>
      </c>
      <c r="AE193" s="35">
        <f t="shared" si="48"/>
        <v>1372.2044540359066</v>
      </c>
      <c r="AF193" s="40">
        <f t="shared" si="49"/>
        <v>223.20000000000002</v>
      </c>
      <c r="AG193" s="34">
        <f t="shared" si="50"/>
        <v>0</v>
      </c>
    </row>
    <row r="194" spans="1:33" x14ac:dyDescent="0.3">
      <c r="A194" s="4" t="str">
        <f>DATASETS!A89</f>
        <v>COMMONWEALTH AVE.</v>
      </c>
      <c r="B194" s="4">
        <f>DATASETS!B89</f>
        <v>2019</v>
      </c>
      <c r="C194" s="9">
        <f>DATASETS!C89</f>
        <v>317471</v>
      </c>
      <c r="D194" s="6">
        <f>DATASETS!I89</f>
        <v>5148</v>
      </c>
      <c r="E194" s="9">
        <f>DATASETS!H89</f>
        <v>223.20000000000002</v>
      </c>
      <c r="F194" s="6">
        <f>DATASETS!D89</f>
        <v>4998</v>
      </c>
      <c r="G194" s="11">
        <v>1</v>
      </c>
      <c r="H194" s="32">
        <f t="shared" si="37"/>
        <v>2.0505212201711154</v>
      </c>
      <c r="I194" s="32">
        <f t="shared" si="38"/>
        <v>-0.38563966175427117</v>
      </c>
      <c r="J194" s="32">
        <f t="shared" si="39"/>
        <v>1.8729579235399427</v>
      </c>
      <c r="K194" s="11">
        <f t="shared" si="51"/>
        <v>0</v>
      </c>
      <c r="L194" s="11">
        <f t="shared" si="51"/>
        <v>0</v>
      </c>
      <c r="M194" s="11">
        <f t="shared" si="51"/>
        <v>0</v>
      </c>
      <c r="N194" s="11">
        <f t="shared" si="51"/>
        <v>0</v>
      </c>
      <c r="O194" s="11">
        <f t="shared" si="51"/>
        <v>0</v>
      </c>
      <c r="P194" s="11">
        <f t="shared" si="51"/>
        <v>0</v>
      </c>
      <c r="Q194" s="11">
        <f t="shared" si="51"/>
        <v>0</v>
      </c>
      <c r="R194" s="11">
        <f t="shared" si="51"/>
        <v>1</v>
      </c>
      <c r="S194" s="11">
        <f t="shared" si="51"/>
        <v>0</v>
      </c>
      <c r="T194" s="11">
        <f t="shared" si="51"/>
        <v>0</v>
      </c>
      <c r="U194" s="11">
        <f t="shared" si="51"/>
        <v>0</v>
      </c>
      <c r="V194" s="11">
        <f t="shared" si="51"/>
        <v>0</v>
      </c>
      <c r="W194" s="35">
        <f t="shared" si="40"/>
        <v>4705.7687781529512</v>
      </c>
      <c r="X194" s="35">
        <f t="shared" si="41"/>
        <v>292.2312218470488</v>
      </c>
      <c r="Y194" s="35">
        <f t="shared" si="42"/>
        <v>292.2312218470488</v>
      </c>
      <c r="Z194" s="35">
        <f t="shared" si="43"/>
        <v>85399.087022219057</v>
      </c>
      <c r="AA194" s="35">
        <f t="shared" si="44"/>
        <v>9719472.3938929085</v>
      </c>
      <c r="AB194" s="35">
        <f t="shared" si="45"/>
        <v>1763.87399239364</v>
      </c>
      <c r="AC194" s="35">
        <f t="shared" si="46"/>
        <v>-101556.96902691326</v>
      </c>
      <c r="AD194" s="35">
        <f t="shared" si="47"/>
        <v>1633.6891996336897</v>
      </c>
      <c r="AE194" s="35">
        <f t="shared" si="48"/>
        <v>1372.2044540359066</v>
      </c>
      <c r="AF194" s="40">
        <f t="shared" si="49"/>
        <v>223.20000000000002</v>
      </c>
      <c r="AG194" s="34">
        <f t="shared" si="50"/>
        <v>0</v>
      </c>
    </row>
    <row r="195" spans="1:33" x14ac:dyDescent="0.3">
      <c r="A195" s="4" t="str">
        <f>DATASETS!A90</f>
        <v>COMMONWEALTH AVE.</v>
      </c>
      <c r="B195" s="4">
        <f>DATASETS!B90</f>
        <v>2020</v>
      </c>
      <c r="C195" s="9">
        <f>DATASETS!C90</f>
        <v>282137</v>
      </c>
      <c r="D195" s="6">
        <f>DATASETS!I90</f>
        <v>4998</v>
      </c>
      <c r="E195" s="9">
        <f>DATASETS!H90</f>
        <v>223.20000000000002</v>
      </c>
      <c r="F195" s="6">
        <f>DATASETS!D90</f>
        <v>3262</v>
      </c>
      <c r="G195" s="11">
        <v>1</v>
      </c>
      <c r="H195" s="32">
        <f t="shared" si="37"/>
        <v>1.5693259264968888</v>
      </c>
      <c r="I195" s="32">
        <f t="shared" si="38"/>
        <v>0</v>
      </c>
      <c r="J195" s="32">
        <f t="shared" si="39"/>
        <v>1.7887674265273592</v>
      </c>
      <c r="K195" s="11">
        <f t="shared" si="51"/>
        <v>0</v>
      </c>
      <c r="L195" s="11">
        <f t="shared" si="51"/>
        <v>0</v>
      </c>
      <c r="M195" s="11">
        <f t="shared" si="51"/>
        <v>0</v>
      </c>
      <c r="N195" s="11">
        <f t="shared" si="51"/>
        <v>0</v>
      </c>
      <c r="O195" s="11">
        <f t="shared" si="51"/>
        <v>0</v>
      </c>
      <c r="P195" s="11">
        <f t="shared" si="51"/>
        <v>0</v>
      </c>
      <c r="Q195" s="11">
        <f t="shared" si="51"/>
        <v>0</v>
      </c>
      <c r="R195" s="11">
        <f t="shared" si="51"/>
        <v>1</v>
      </c>
      <c r="S195" s="11">
        <f t="shared" si="51"/>
        <v>0</v>
      </c>
      <c r="T195" s="11">
        <f t="shared" si="51"/>
        <v>0</v>
      </c>
      <c r="U195" s="11">
        <f t="shared" si="51"/>
        <v>0</v>
      </c>
      <c r="V195" s="11">
        <f t="shared" si="51"/>
        <v>0</v>
      </c>
      <c r="W195" s="35">
        <f t="shared" si="40"/>
        <v>4411.5502095084448</v>
      </c>
      <c r="X195" s="35">
        <f t="shared" si="41"/>
        <v>-1149.5502095084448</v>
      </c>
      <c r="Y195" s="35">
        <f t="shared" si="42"/>
        <v>1149.5502095084448</v>
      </c>
      <c r="Z195" s="35">
        <f t="shared" si="43"/>
        <v>1321465.6841809093</v>
      </c>
      <c r="AA195" s="35">
        <f t="shared" si="44"/>
        <v>1908837.4537219666</v>
      </c>
      <c r="AB195" s="35">
        <f t="shared" si="45"/>
        <v>1567.5577189474454</v>
      </c>
      <c r="AC195" s="35">
        <f t="shared" si="46"/>
        <v>-101607.26965545557</v>
      </c>
      <c r="AD195" s="35">
        <f t="shared" si="47"/>
        <v>1586.0875329776964</v>
      </c>
      <c r="AE195" s="35">
        <f t="shared" si="48"/>
        <v>1372.2044540359066</v>
      </c>
      <c r="AF195" s="40">
        <f t="shared" si="49"/>
        <v>223.20000000000002</v>
      </c>
      <c r="AG195" s="34">
        <f t="shared" si="50"/>
        <v>0</v>
      </c>
    </row>
    <row r="196" spans="1:33" x14ac:dyDescent="0.3">
      <c r="A196" s="4" t="str">
        <f>DATASETS!A91</f>
        <v>COMMONWEALTH AVE.</v>
      </c>
      <c r="B196" s="4">
        <f>DATASETS!B91</f>
        <v>2021</v>
      </c>
      <c r="C196" s="9">
        <f>DATASETS!C91</f>
        <v>302316</v>
      </c>
      <c r="D196" s="6">
        <f>DATASETS!I91</f>
        <v>3262</v>
      </c>
      <c r="E196" s="9">
        <f>DATASETS!H91</f>
        <v>223.20000000000002</v>
      </c>
      <c r="F196" s="6">
        <f>DATASETS!D91</f>
        <v>3057</v>
      </c>
      <c r="G196" s="11">
        <v>1</v>
      </c>
      <c r="H196" s="32">
        <f t="shared" si="37"/>
        <v>1.8441331895028381</v>
      </c>
      <c r="I196" s="32">
        <f t="shared" si="38"/>
        <v>0.38563966175427117</v>
      </c>
      <c r="J196" s="32">
        <f t="shared" si="39"/>
        <v>0.81440274110172517</v>
      </c>
      <c r="K196" s="11">
        <f t="shared" si="51"/>
        <v>0</v>
      </c>
      <c r="L196" s="11">
        <f t="shared" si="51"/>
        <v>0</v>
      </c>
      <c r="M196" s="11">
        <f t="shared" si="51"/>
        <v>0</v>
      </c>
      <c r="N196" s="11">
        <f t="shared" si="51"/>
        <v>0</v>
      </c>
      <c r="O196" s="11">
        <f t="shared" si="51"/>
        <v>0</v>
      </c>
      <c r="P196" s="11">
        <f t="shared" si="51"/>
        <v>0</v>
      </c>
      <c r="Q196" s="11">
        <f t="shared" si="51"/>
        <v>0</v>
      </c>
      <c r="R196" s="11">
        <f t="shared" si="51"/>
        <v>1</v>
      </c>
      <c r="S196" s="11">
        <f t="shared" si="51"/>
        <v>0</v>
      </c>
      <c r="T196" s="11">
        <f t="shared" si="51"/>
        <v>0</v>
      </c>
      <c r="U196" s="11">
        <f t="shared" si="51"/>
        <v>0</v>
      </c>
      <c r="V196" s="11">
        <f t="shared" si="51"/>
        <v>0</v>
      </c>
      <c r="W196" s="35">
        <f t="shared" si="40"/>
        <v>3922.4544747408563</v>
      </c>
      <c r="X196" s="35">
        <f t="shared" si="41"/>
        <v>-865.45447474085631</v>
      </c>
      <c r="Y196" s="35">
        <f t="shared" si="42"/>
        <v>865.45447474085631</v>
      </c>
      <c r="Z196" s="35">
        <f t="shared" si="43"/>
        <v>749011.44784897147</v>
      </c>
      <c r="AA196" s="35">
        <f t="shared" si="44"/>
        <v>1384403.6503031631</v>
      </c>
      <c r="AB196" s="35">
        <f t="shared" si="45"/>
        <v>1679.67256815418</v>
      </c>
      <c r="AC196" s="35">
        <f t="shared" si="46"/>
        <v>-101657.57028399788</v>
      </c>
      <c r="AD196" s="35">
        <f t="shared" si="47"/>
        <v>1035.1775775456674</v>
      </c>
      <c r="AE196" s="35">
        <f t="shared" si="48"/>
        <v>1372.2044540359066</v>
      </c>
      <c r="AF196" s="40">
        <f t="shared" si="49"/>
        <v>223.20000000000002</v>
      </c>
      <c r="AG196" s="34">
        <f t="shared" si="50"/>
        <v>0</v>
      </c>
    </row>
    <row r="197" spans="1:33" x14ac:dyDescent="0.3">
      <c r="A197" s="4" t="str">
        <f>DATASETS!A92</f>
        <v>COMMONWEALTH AVE.</v>
      </c>
      <c r="B197" s="4">
        <f>DATASETS!B92</f>
        <v>2022</v>
      </c>
      <c r="C197" s="9">
        <f>DATASETS!C92</f>
        <v>346184</v>
      </c>
      <c r="D197" s="6">
        <f>DATASETS!I92</f>
        <v>3057</v>
      </c>
      <c r="E197" s="9">
        <f>DATASETS!H92</f>
        <v>223.20000000000002</v>
      </c>
      <c r="F197" s="6">
        <f>DATASETS!D92</f>
        <v>3846</v>
      </c>
      <c r="G197" s="11">
        <v>1</v>
      </c>
      <c r="H197" s="32">
        <f t="shared" si="37"/>
        <v>2.441548572502243</v>
      </c>
      <c r="I197" s="32">
        <f t="shared" si="38"/>
        <v>0.77127932350854234</v>
      </c>
      <c r="J197" s="32">
        <f t="shared" si="39"/>
        <v>0.69934239518452757</v>
      </c>
      <c r="K197" s="11">
        <f t="shared" si="51"/>
        <v>0</v>
      </c>
      <c r="L197" s="11">
        <f t="shared" si="51"/>
        <v>0</v>
      </c>
      <c r="M197" s="11">
        <f t="shared" si="51"/>
        <v>0</v>
      </c>
      <c r="N197" s="11">
        <f t="shared" si="51"/>
        <v>0</v>
      </c>
      <c r="O197" s="11">
        <f t="shared" si="51"/>
        <v>0</v>
      </c>
      <c r="P197" s="11">
        <f t="shared" si="51"/>
        <v>0</v>
      </c>
      <c r="Q197" s="11">
        <f t="shared" si="51"/>
        <v>0</v>
      </c>
      <c r="R197" s="11">
        <f t="shared" si="51"/>
        <v>1</v>
      </c>
      <c r="S197" s="11">
        <f t="shared" si="51"/>
        <v>0</v>
      </c>
      <c r="T197" s="11">
        <f t="shared" si="51"/>
        <v>0</v>
      </c>
      <c r="U197" s="11">
        <f t="shared" si="51"/>
        <v>0</v>
      </c>
      <c r="V197" s="11">
        <f t="shared" si="51"/>
        <v>0</v>
      </c>
      <c r="W197" s="35">
        <f t="shared" si="40"/>
        <v>4050.8295500829922</v>
      </c>
      <c r="X197" s="35">
        <f t="shared" si="41"/>
        <v>-204.82955008299223</v>
      </c>
      <c r="Y197" s="35">
        <f t="shared" si="42"/>
        <v>204.82955008299223</v>
      </c>
      <c r="Z197" s="35">
        <f t="shared" si="43"/>
        <v>41955.144587201023</v>
      </c>
      <c r="AA197" s="35">
        <f t="shared" si="44"/>
        <v>3863610.2400467531</v>
      </c>
      <c r="AB197" s="35">
        <f t="shared" si="45"/>
        <v>1923.4038831351522</v>
      </c>
      <c r="AC197" s="35">
        <f t="shared" si="46"/>
        <v>-101707.87091254018</v>
      </c>
      <c r="AD197" s="35">
        <f t="shared" si="47"/>
        <v>970.1219664491432</v>
      </c>
      <c r="AE197" s="35">
        <f t="shared" si="48"/>
        <v>1372.2044540359066</v>
      </c>
      <c r="AF197" s="40">
        <f t="shared" si="49"/>
        <v>223.20000000000002</v>
      </c>
      <c r="AG197" s="34">
        <f t="shared" si="50"/>
        <v>0</v>
      </c>
    </row>
    <row r="198" spans="1:33" x14ac:dyDescent="0.3">
      <c r="A198" s="4" t="str">
        <f>DATASETS!A93</f>
        <v>COMMONWEALTH AVE.</v>
      </c>
      <c r="B198" s="4">
        <f>DATASETS!B93</f>
        <v>2023</v>
      </c>
      <c r="C198" s="9">
        <f>DATASETS!C93</f>
        <v>407988</v>
      </c>
      <c r="D198" s="6">
        <f>DATASETS!I93</f>
        <v>3846</v>
      </c>
      <c r="E198" s="9">
        <f>DATASETS!H93</f>
        <v>223.20000000000002</v>
      </c>
      <c r="F198" s="6">
        <f>DATASETS!D93</f>
        <v>4874</v>
      </c>
      <c r="G198" s="11">
        <v>1</v>
      </c>
      <c r="H198" s="32">
        <f t="shared" si="37"/>
        <v>3.2832249728600256</v>
      </c>
      <c r="I198" s="32">
        <f t="shared" si="38"/>
        <v>1.1569189852628134</v>
      </c>
      <c r="J198" s="32">
        <f t="shared" si="39"/>
        <v>1.1421844094707172</v>
      </c>
      <c r="K198" s="11">
        <f t="shared" si="51"/>
        <v>0</v>
      </c>
      <c r="L198" s="11">
        <f t="shared" si="51"/>
        <v>0</v>
      </c>
      <c r="M198" s="11">
        <f t="shared" si="51"/>
        <v>0</v>
      </c>
      <c r="N198" s="11">
        <f t="shared" si="51"/>
        <v>0</v>
      </c>
      <c r="O198" s="11">
        <f t="shared" si="51"/>
        <v>0</v>
      </c>
      <c r="P198" s="11">
        <f t="shared" si="51"/>
        <v>0</v>
      </c>
      <c r="Q198" s="11">
        <f t="shared" si="51"/>
        <v>0</v>
      </c>
      <c r="R198" s="11">
        <f t="shared" si="51"/>
        <v>1</v>
      </c>
      <c r="S198" s="11">
        <f t="shared" si="51"/>
        <v>0</v>
      </c>
      <c r="T198" s="11">
        <f t="shared" si="51"/>
        <v>0</v>
      </c>
      <c r="U198" s="11">
        <f t="shared" si="51"/>
        <v>0</v>
      </c>
      <c r="V198" s="11">
        <f t="shared" si="51"/>
        <v>0</v>
      </c>
      <c r="W198" s="35">
        <f t="shared" si="40"/>
        <v>4594.2977081905156</v>
      </c>
      <c r="X198" s="35">
        <f t="shared" si="41"/>
        <v>279.70229180948445</v>
      </c>
      <c r="Y198" s="35">
        <f t="shared" si="42"/>
        <v>279.70229180948445</v>
      </c>
      <c r="Z198" s="35">
        <f t="shared" si="43"/>
        <v>78233.372043477997</v>
      </c>
      <c r="AA198" s="35">
        <f t="shared" si="44"/>
        <v>8961681.8981664125</v>
      </c>
      <c r="AB198" s="35">
        <f t="shared" si="45"/>
        <v>2266.7879031744519</v>
      </c>
      <c r="AC198" s="35">
        <f t="shared" si="46"/>
        <v>-101758.17154108248</v>
      </c>
      <c r="AD198" s="35">
        <f t="shared" si="47"/>
        <v>1220.5067330596678</v>
      </c>
      <c r="AE198" s="35">
        <f t="shared" si="48"/>
        <v>1372.2044540359066</v>
      </c>
      <c r="AF198" s="40">
        <f t="shared" si="49"/>
        <v>223.20000000000002</v>
      </c>
      <c r="AG198" s="34">
        <f t="shared" si="50"/>
        <v>0</v>
      </c>
    </row>
    <row r="199" spans="1:33" x14ac:dyDescent="0.3">
      <c r="A199" s="4" t="str">
        <f>DATASETS!A94</f>
        <v>COMMONWEALTH AVE.</v>
      </c>
      <c r="B199" s="4">
        <f>DATASETS!B94</f>
        <v>2024</v>
      </c>
      <c r="C199" s="9">
        <f>DATASETS!C94</f>
        <v>413345</v>
      </c>
      <c r="D199" s="6">
        <f>DATASETS!I94</f>
        <v>4874</v>
      </c>
      <c r="E199" s="9">
        <f>DATASETS!H94</f>
        <v>223.20000000000002</v>
      </c>
      <c r="F199" s="6">
        <f>DATASETS!D94</f>
        <v>5091</v>
      </c>
      <c r="G199" s="11">
        <v>1</v>
      </c>
      <c r="H199" s="32">
        <f t="shared" si="37"/>
        <v>3.3561791582965128</v>
      </c>
      <c r="I199" s="32">
        <f t="shared" si="38"/>
        <v>1.5425586470170847</v>
      </c>
      <c r="J199" s="32">
        <f t="shared" si="39"/>
        <v>1.7191699489969567</v>
      </c>
      <c r="K199" s="11">
        <f t="shared" ref="K199:V208" si="52">IF($A199=K$113,1,0)</f>
        <v>0</v>
      </c>
      <c r="L199" s="11">
        <f t="shared" si="52"/>
        <v>0</v>
      </c>
      <c r="M199" s="11">
        <f t="shared" si="52"/>
        <v>0</v>
      </c>
      <c r="N199" s="11">
        <f t="shared" si="52"/>
        <v>0</v>
      </c>
      <c r="O199" s="11">
        <f t="shared" si="52"/>
        <v>0</v>
      </c>
      <c r="P199" s="11">
        <f t="shared" si="52"/>
        <v>0</v>
      </c>
      <c r="Q199" s="11">
        <f t="shared" si="52"/>
        <v>0</v>
      </c>
      <c r="R199" s="11">
        <f t="shared" si="52"/>
        <v>1</v>
      </c>
      <c r="S199" s="11">
        <f t="shared" si="52"/>
        <v>0</v>
      </c>
      <c r="T199" s="11">
        <f t="shared" si="52"/>
        <v>0</v>
      </c>
      <c r="U199" s="11">
        <f t="shared" si="52"/>
        <v>0</v>
      </c>
      <c r="V199" s="11">
        <f t="shared" si="52"/>
        <v>0</v>
      </c>
      <c r="W199" s="35">
        <f t="shared" si="40"/>
        <v>4899.9907467978883</v>
      </c>
      <c r="X199" s="35">
        <f t="shared" si="41"/>
        <v>191.00925320211172</v>
      </c>
      <c r="Y199" s="35">
        <f t="shared" si="42"/>
        <v>191.00925320211172</v>
      </c>
      <c r="Z199" s="35">
        <f t="shared" si="43"/>
        <v>36484.53480882843</v>
      </c>
      <c r="AA199" s="35">
        <f t="shared" si="44"/>
        <v>10307996.26568778</v>
      </c>
      <c r="AB199" s="35">
        <f t="shared" si="45"/>
        <v>2296.551481508387</v>
      </c>
      <c r="AC199" s="35">
        <f t="shared" si="46"/>
        <v>-101808.47216962479</v>
      </c>
      <c r="AD199" s="35">
        <f t="shared" si="47"/>
        <v>1546.7368218754084</v>
      </c>
      <c r="AE199" s="35">
        <f t="shared" si="48"/>
        <v>1372.2044540359066</v>
      </c>
      <c r="AF199" s="40">
        <f t="shared" si="49"/>
        <v>223.20000000000002</v>
      </c>
      <c r="AG199" s="34">
        <f t="shared" si="50"/>
        <v>0</v>
      </c>
    </row>
    <row r="200" spans="1:33" x14ac:dyDescent="0.3">
      <c r="A200" s="4" t="str">
        <f>DATASETS!A96</f>
        <v>RIZAL AVE.</v>
      </c>
      <c r="B200" s="4">
        <f>DATASETS!B96</f>
        <v>2016</v>
      </c>
      <c r="C200" s="9">
        <f>DATASETS!C96</f>
        <v>76295</v>
      </c>
      <c r="D200" s="6">
        <f>DATASETS!I96</f>
        <v>426</v>
      </c>
      <c r="E200" s="9">
        <f>DATASETS!H96</f>
        <v>32.865000000000002</v>
      </c>
      <c r="F200" s="6">
        <f>DATASETS!D96</f>
        <v>309</v>
      </c>
      <c r="G200" s="11">
        <v>1</v>
      </c>
      <c r="H200" s="32">
        <f t="shared" si="37"/>
        <v>-1.2339287755037376</v>
      </c>
      <c r="I200" s="32">
        <f t="shared" si="38"/>
        <v>-1.5425586470170847</v>
      </c>
      <c r="J200" s="32">
        <f t="shared" si="39"/>
        <v>-0.77735892241618842</v>
      </c>
      <c r="K200" s="11">
        <f t="shared" si="52"/>
        <v>0</v>
      </c>
      <c r="L200" s="11">
        <f t="shared" si="52"/>
        <v>0</v>
      </c>
      <c r="M200" s="11">
        <f t="shared" si="52"/>
        <v>0</v>
      </c>
      <c r="N200" s="11">
        <f t="shared" si="52"/>
        <v>0</v>
      </c>
      <c r="O200" s="11">
        <f t="shared" si="52"/>
        <v>0</v>
      </c>
      <c r="P200" s="11">
        <f t="shared" si="52"/>
        <v>0</v>
      </c>
      <c r="Q200" s="11">
        <f t="shared" si="52"/>
        <v>0</v>
      </c>
      <c r="R200" s="11">
        <f t="shared" si="52"/>
        <v>0</v>
      </c>
      <c r="S200" s="11">
        <f t="shared" si="52"/>
        <v>1</v>
      </c>
      <c r="T200" s="11">
        <f t="shared" si="52"/>
        <v>0</v>
      </c>
      <c r="U200" s="11">
        <f t="shared" si="52"/>
        <v>0</v>
      </c>
      <c r="V200" s="11">
        <f t="shared" si="52"/>
        <v>0</v>
      </c>
      <c r="W200" s="35">
        <f t="shared" si="40"/>
        <v>496.1938297461337</v>
      </c>
      <c r="X200" s="35">
        <f t="shared" si="41"/>
        <v>-187.1938297461337</v>
      </c>
      <c r="Y200" s="35">
        <f t="shared" si="42"/>
        <v>187.1938297461337</v>
      </c>
      <c r="Z200" s="35">
        <f t="shared" si="43"/>
        <v>35041.529895024491</v>
      </c>
      <c r="AA200" s="35">
        <f t="shared" si="44"/>
        <v>2469276.4708159836</v>
      </c>
      <c r="AB200" s="35">
        <f t="shared" si="45"/>
        <v>423.89624957767097</v>
      </c>
      <c r="AC200" s="35">
        <f t="shared" si="46"/>
        <v>-101406.06714128634</v>
      </c>
      <c r="AD200" s="35">
        <f t="shared" si="47"/>
        <v>135.18873330302094</v>
      </c>
      <c r="AE200" s="35">
        <f t="shared" si="48"/>
        <v>-149.79417085118007</v>
      </c>
      <c r="AF200" s="40">
        <f t="shared" si="49"/>
        <v>32.865000000000002</v>
      </c>
      <c r="AG200" s="34">
        <f t="shared" si="50"/>
        <v>0</v>
      </c>
    </row>
    <row r="201" spans="1:33" x14ac:dyDescent="0.3">
      <c r="A201" s="4" t="str">
        <f>DATASETS!A97</f>
        <v>RIZAL AVE.</v>
      </c>
      <c r="B201" s="4">
        <f>DATASETS!B97</f>
        <v>2017</v>
      </c>
      <c r="C201" s="9">
        <f>DATASETS!C97</f>
        <v>81740</v>
      </c>
      <c r="D201" s="6">
        <f>DATASETS!I97</f>
        <v>309</v>
      </c>
      <c r="E201" s="9">
        <f>DATASETS!H97</f>
        <v>32.865000000000002</v>
      </c>
      <c r="F201" s="6">
        <f>DATASETS!D97</f>
        <v>323</v>
      </c>
      <c r="G201" s="11">
        <v>1</v>
      </c>
      <c r="H201" s="32">
        <f t="shared" si="37"/>
        <v>-1.1597761640231192</v>
      </c>
      <c r="I201" s="32">
        <f t="shared" si="38"/>
        <v>-1.1569189852628134</v>
      </c>
      <c r="J201" s="32">
        <f t="shared" si="39"/>
        <v>-0.84302751008600363</v>
      </c>
      <c r="K201" s="11">
        <f t="shared" si="52"/>
        <v>0</v>
      </c>
      <c r="L201" s="11">
        <f t="shared" si="52"/>
        <v>0</v>
      </c>
      <c r="M201" s="11">
        <f t="shared" si="52"/>
        <v>0</v>
      </c>
      <c r="N201" s="11">
        <f t="shared" si="52"/>
        <v>0</v>
      </c>
      <c r="O201" s="11">
        <f t="shared" si="52"/>
        <v>0</v>
      </c>
      <c r="P201" s="11">
        <f t="shared" si="52"/>
        <v>0</v>
      </c>
      <c r="Q201" s="11">
        <f t="shared" si="52"/>
        <v>0</v>
      </c>
      <c r="R201" s="11">
        <f t="shared" si="52"/>
        <v>0</v>
      </c>
      <c r="S201" s="11">
        <f t="shared" si="52"/>
        <v>1</v>
      </c>
      <c r="T201" s="11">
        <f t="shared" si="52"/>
        <v>0</v>
      </c>
      <c r="U201" s="11">
        <f t="shared" si="52"/>
        <v>0</v>
      </c>
      <c r="V201" s="11">
        <f t="shared" si="52"/>
        <v>0</v>
      </c>
      <c r="W201" s="35">
        <f t="shared" si="40"/>
        <v>439.01640896431229</v>
      </c>
      <c r="X201" s="35">
        <f t="shared" si="41"/>
        <v>-116.01640896431229</v>
      </c>
      <c r="Y201" s="35">
        <f t="shared" si="42"/>
        <v>116.01640896431229</v>
      </c>
      <c r="Z201" s="35">
        <f t="shared" si="43"/>
        <v>13459.807148974562</v>
      </c>
      <c r="AA201" s="35">
        <f t="shared" si="44"/>
        <v>2425473.4622689751</v>
      </c>
      <c r="AB201" s="35">
        <f t="shared" si="45"/>
        <v>454.14875732982273</v>
      </c>
      <c r="AC201" s="35">
        <f t="shared" si="46"/>
        <v>-101456.36776982865</v>
      </c>
      <c r="AD201" s="35">
        <f t="shared" si="47"/>
        <v>98.059433311346169</v>
      </c>
      <c r="AE201" s="35">
        <f t="shared" si="48"/>
        <v>-149.79417085118007</v>
      </c>
      <c r="AF201" s="40">
        <f t="shared" si="49"/>
        <v>32.865000000000002</v>
      </c>
      <c r="AG201" s="34">
        <f t="shared" si="50"/>
        <v>0</v>
      </c>
    </row>
    <row r="202" spans="1:33" x14ac:dyDescent="0.3">
      <c r="A202" s="4" t="str">
        <f>DATASETS!A98</f>
        <v>RIZAL AVE.</v>
      </c>
      <c r="B202" s="4">
        <f>DATASETS!B98</f>
        <v>2018</v>
      </c>
      <c r="C202" s="9">
        <f>DATASETS!C98</f>
        <v>89473</v>
      </c>
      <c r="D202" s="6">
        <f>DATASETS!I98</f>
        <v>323</v>
      </c>
      <c r="E202" s="9">
        <f>DATASETS!H98</f>
        <v>32.865000000000002</v>
      </c>
      <c r="F202" s="6">
        <f>DATASETS!D98</f>
        <v>480</v>
      </c>
      <c r="G202" s="11">
        <v>1</v>
      </c>
      <c r="H202" s="32">
        <f t="shared" si="37"/>
        <v>-1.0544644753950898</v>
      </c>
      <c r="I202" s="32">
        <f t="shared" si="38"/>
        <v>-0.77127932350854234</v>
      </c>
      <c r="J202" s="32">
        <f t="shared" si="39"/>
        <v>-0.83516973036482911</v>
      </c>
      <c r="K202" s="11">
        <f t="shared" si="52"/>
        <v>0</v>
      </c>
      <c r="L202" s="11">
        <f t="shared" si="52"/>
        <v>0</v>
      </c>
      <c r="M202" s="11">
        <f t="shared" si="52"/>
        <v>0</v>
      </c>
      <c r="N202" s="11">
        <f t="shared" si="52"/>
        <v>0</v>
      </c>
      <c r="O202" s="11">
        <f t="shared" si="52"/>
        <v>0</v>
      </c>
      <c r="P202" s="11">
        <f t="shared" si="52"/>
        <v>0</v>
      </c>
      <c r="Q202" s="11">
        <f t="shared" si="52"/>
        <v>0</v>
      </c>
      <c r="R202" s="11">
        <f t="shared" si="52"/>
        <v>0</v>
      </c>
      <c r="S202" s="11">
        <f t="shared" si="52"/>
        <v>1</v>
      </c>
      <c r="T202" s="11">
        <f t="shared" si="52"/>
        <v>0</v>
      </c>
      <c r="U202" s="11">
        <f t="shared" si="52"/>
        <v>0</v>
      </c>
      <c r="V202" s="11">
        <f t="shared" si="52"/>
        <v>0</v>
      </c>
      <c r="W202" s="35">
        <f t="shared" si="40"/>
        <v>436.12327526901277</v>
      </c>
      <c r="X202" s="35">
        <f t="shared" si="41"/>
        <v>43.876724730987235</v>
      </c>
      <c r="Y202" s="35">
        <f t="shared" si="42"/>
        <v>43.876724730987235</v>
      </c>
      <c r="Z202" s="35">
        <f t="shared" si="43"/>
        <v>1925.1669731188267</v>
      </c>
      <c r="AA202" s="35">
        <f t="shared" si="44"/>
        <v>1961101.0092775221</v>
      </c>
      <c r="AB202" s="35">
        <f t="shared" si="45"/>
        <v>497.11342995560591</v>
      </c>
      <c r="AC202" s="35">
        <f t="shared" si="46"/>
        <v>-101506.66839837095</v>
      </c>
      <c r="AD202" s="35">
        <f t="shared" si="47"/>
        <v>102.50225553257221</v>
      </c>
      <c r="AE202" s="35">
        <f t="shared" si="48"/>
        <v>-149.79417085118007</v>
      </c>
      <c r="AF202" s="40">
        <f t="shared" si="49"/>
        <v>32.865000000000002</v>
      </c>
      <c r="AG202" s="34">
        <f t="shared" si="50"/>
        <v>0</v>
      </c>
    </row>
    <row r="203" spans="1:33" x14ac:dyDescent="0.3">
      <c r="A203" s="4" t="str">
        <f>DATASETS!A99</f>
        <v>RIZAL AVE.</v>
      </c>
      <c r="B203" s="4">
        <f>DATASETS!B99</f>
        <v>2019</v>
      </c>
      <c r="C203" s="9">
        <f>DATASETS!C99</f>
        <v>95041</v>
      </c>
      <c r="D203" s="6">
        <f>DATASETS!I99</f>
        <v>480</v>
      </c>
      <c r="E203" s="9">
        <f>DATASETS!H99</f>
        <v>32.865000000000002</v>
      </c>
      <c r="F203" s="6">
        <f>DATASETS!D99</f>
        <v>527</v>
      </c>
      <c r="G203" s="11">
        <v>1</v>
      </c>
      <c r="H203" s="32">
        <f t="shared" si="37"/>
        <v>-0.97863679114824276</v>
      </c>
      <c r="I203" s="32">
        <f t="shared" si="38"/>
        <v>-0.38563966175427117</v>
      </c>
      <c r="J203" s="32">
        <f t="shared" si="39"/>
        <v>-0.74705034349165833</v>
      </c>
      <c r="K203" s="11">
        <f t="shared" si="52"/>
        <v>0</v>
      </c>
      <c r="L203" s="11">
        <f t="shared" si="52"/>
        <v>0</v>
      </c>
      <c r="M203" s="11">
        <f t="shared" si="52"/>
        <v>0</v>
      </c>
      <c r="N203" s="11">
        <f t="shared" si="52"/>
        <v>0</v>
      </c>
      <c r="O203" s="11">
        <f t="shared" si="52"/>
        <v>0</v>
      </c>
      <c r="P203" s="11">
        <f t="shared" si="52"/>
        <v>0</v>
      </c>
      <c r="Q203" s="11">
        <f t="shared" si="52"/>
        <v>0</v>
      </c>
      <c r="R203" s="11">
        <f t="shared" si="52"/>
        <v>0</v>
      </c>
      <c r="S203" s="11">
        <f t="shared" si="52"/>
        <v>1</v>
      </c>
      <c r="T203" s="11">
        <f t="shared" si="52"/>
        <v>0</v>
      </c>
      <c r="U203" s="11">
        <f t="shared" si="52"/>
        <v>0</v>
      </c>
      <c r="V203" s="11">
        <f t="shared" si="52"/>
        <v>0</v>
      </c>
      <c r="W203" s="35">
        <f t="shared" si="40"/>
        <v>466.58162222775377</v>
      </c>
      <c r="X203" s="35">
        <f t="shared" si="41"/>
        <v>60.418377772246231</v>
      </c>
      <c r="Y203" s="35">
        <f t="shared" si="42"/>
        <v>60.418377772246231</v>
      </c>
      <c r="Z203" s="35">
        <f t="shared" si="43"/>
        <v>3650.3803726298574</v>
      </c>
      <c r="AA203" s="35">
        <f t="shared" si="44"/>
        <v>1831673.0520125648</v>
      </c>
      <c r="AB203" s="35">
        <f t="shared" si="45"/>
        <v>528.04932769003767</v>
      </c>
      <c r="AC203" s="35">
        <f t="shared" si="46"/>
        <v>-101556.96902691326</v>
      </c>
      <c r="AD203" s="35">
        <f t="shared" si="47"/>
        <v>152.32533329917851</v>
      </c>
      <c r="AE203" s="35">
        <f t="shared" si="48"/>
        <v>-149.79417085118007</v>
      </c>
      <c r="AF203" s="40">
        <f t="shared" si="49"/>
        <v>32.865000000000002</v>
      </c>
      <c r="AG203" s="34">
        <f t="shared" si="50"/>
        <v>0</v>
      </c>
    </row>
    <row r="204" spans="1:33" x14ac:dyDescent="0.3">
      <c r="A204" s="4" t="str">
        <f>DATASETS!A100</f>
        <v>RIZAL AVE.</v>
      </c>
      <c r="B204" s="4">
        <f>DATASETS!B100</f>
        <v>2020</v>
      </c>
      <c r="C204" s="9">
        <f>DATASETS!C100</f>
        <v>87544</v>
      </c>
      <c r="D204" s="6">
        <f>DATASETS!I100</f>
        <v>527</v>
      </c>
      <c r="E204" s="9">
        <f>DATASETS!H100</f>
        <v>32.865000000000002</v>
      </c>
      <c r="F204" s="6">
        <f>DATASETS!D100</f>
        <v>306</v>
      </c>
      <c r="G204" s="11">
        <v>1</v>
      </c>
      <c r="H204" s="32">
        <f t="shared" si="37"/>
        <v>-1.0807345190215567</v>
      </c>
      <c r="I204" s="32">
        <f t="shared" si="38"/>
        <v>0</v>
      </c>
      <c r="J204" s="32">
        <f t="shared" si="39"/>
        <v>-0.72067065442771538</v>
      </c>
      <c r="K204" s="11">
        <f t="shared" si="52"/>
        <v>0</v>
      </c>
      <c r="L204" s="11">
        <f t="shared" si="52"/>
        <v>0</v>
      </c>
      <c r="M204" s="11">
        <f t="shared" si="52"/>
        <v>0</v>
      </c>
      <c r="N204" s="11">
        <f t="shared" si="52"/>
        <v>0</v>
      </c>
      <c r="O204" s="11">
        <f t="shared" si="52"/>
        <v>0</v>
      </c>
      <c r="P204" s="11">
        <f t="shared" si="52"/>
        <v>0</v>
      </c>
      <c r="Q204" s="11">
        <f t="shared" si="52"/>
        <v>0</v>
      </c>
      <c r="R204" s="11">
        <f t="shared" si="52"/>
        <v>0</v>
      </c>
      <c r="S204" s="11">
        <f t="shared" si="52"/>
        <v>1</v>
      </c>
      <c r="T204" s="11">
        <f t="shared" si="52"/>
        <v>0</v>
      </c>
      <c r="U204" s="11">
        <f t="shared" si="52"/>
        <v>0</v>
      </c>
      <c r="V204" s="11">
        <f t="shared" si="52"/>
        <v>0</v>
      </c>
      <c r="W204" s="35">
        <f t="shared" si="40"/>
        <v>389.54272974859475</v>
      </c>
      <c r="X204" s="35">
        <f t="shared" si="41"/>
        <v>-83.542729748594752</v>
      </c>
      <c r="Y204" s="35">
        <f t="shared" si="42"/>
        <v>83.542729748594752</v>
      </c>
      <c r="Z204" s="35">
        <f t="shared" si="43"/>
        <v>6979.3876938467383</v>
      </c>
      <c r="AA204" s="35">
        <f t="shared" si="44"/>
        <v>2478713.8297903426</v>
      </c>
      <c r="AB204" s="35">
        <f t="shared" si="45"/>
        <v>486.3958748676535</v>
      </c>
      <c r="AC204" s="35">
        <f t="shared" si="46"/>
        <v>-101607.26965545557</v>
      </c>
      <c r="AD204" s="35">
        <f t="shared" si="47"/>
        <v>167.24052218472309</v>
      </c>
      <c r="AE204" s="35">
        <f t="shared" si="48"/>
        <v>-149.79417085118007</v>
      </c>
      <c r="AF204" s="40">
        <f t="shared" si="49"/>
        <v>32.865000000000002</v>
      </c>
      <c r="AG204" s="34">
        <f t="shared" si="50"/>
        <v>0</v>
      </c>
    </row>
    <row r="205" spans="1:33" x14ac:dyDescent="0.3">
      <c r="A205" s="4" t="str">
        <f>DATASETS!A101</f>
        <v>RIZAL AVE.</v>
      </c>
      <c r="B205" s="4">
        <f>DATASETS!B101</f>
        <v>2021</v>
      </c>
      <c r="C205" s="9">
        <f>DATASETS!C101</f>
        <v>106906</v>
      </c>
      <c r="D205" s="6">
        <f>DATASETS!I101</f>
        <v>306</v>
      </c>
      <c r="E205" s="9">
        <f>DATASETS!H101</f>
        <v>32.865000000000002</v>
      </c>
      <c r="F205" s="6">
        <f>DATASETS!D101</f>
        <v>248</v>
      </c>
      <c r="G205" s="11">
        <v>1</v>
      </c>
      <c r="H205" s="32">
        <f t="shared" si="37"/>
        <v>-0.81705355235714361</v>
      </c>
      <c r="I205" s="32">
        <f t="shared" si="38"/>
        <v>0.38563966175427117</v>
      </c>
      <c r="J205" s="32">
        <f t="shared" si="39"/>
        <v>-0.84471132002625526</v>
      </c>
      <c r="K205" s="11">
        <f t="shared" si="52"/>
        <v>0</v>
      </c>
      <c r="L205" s="11">
        <f t="shared" si="52"/>
        <v>0</v>
      </c>
      <c r="M205" s="11">
        <f t="shared" si="52"/>
        <v>0</v>
      </c>
      <c r="N205" s="11">
        <f t="shared" si="52"/>
        <v>0</v>
      </c>
      <c r="O205" s="11">
        <f t="shared" si="52"/>
        <v>0</v>
      </c>
      <c r="P205" s="11">
        <f t="shared" si="52"/>
        <v>0</v>
      </c>
      <c r="Q205" s="11">
        <f t="shared" si="52"/>
        <v>0</v>
      </c>
      <c r="R205" s="11">
        <f t="shared" si="52"/>
        <v>0</v>
      </c>
      <c r="S205" s="11">
        <f t="shared" si="52"/>
        <v>1</v>
      </c>
      <c r="T205" s="11">
        <f t="shared" si="52"/>
        <v>0</v>
      </c>
      <c r="U205" s="11">
        <f t="shared" si="52"/>
        <v>0</v>
      </c>
      <c r="V205" s="11">
        <f t="shared" si="52"/>
        <v>0</v>
      </c>
      <c r="W205" s="35">
        <f t="shared" si="40"/>
        <v>376.68456303967241</v>
      </c>
      <c r="X205" s="35">
        <f t="shared" si="41"/>
        <v>-128.68456303967241</v>
      </c>
      <c r="Y205" s="35">
        <f t="shared" si="42"/>
        <v>128.68456303967241</v>
      </c>
      <c r="Z205" s="35">
        <f t="shared" si="43"/>
        <v>16559.716764711422</v>
      </c>
      <c r="AA205" s="35">
        <f t="shared" si="44"/>
        <v>2664707.4366279491</v>
      </c>
      <c r="AB205" s="35">
        <f t="shared" si="45"/>
        <v>593.97145890753643</v>
      </c>
      <c r="AC205" s="35">
        <f t="shared" si="46"/>
        <v>-101657.57028399788</v>
      </c>
      <c r="AD205" s="35">
        <f t="shared" si="47"/>
        <v>97.107399978226297</v>
      </c>
      <c r="AE205" s="35">
        <f t="shared" si="48"/>
        <v>-149.79417085118007</v>
      </c>
      <c r="AF205" s="40">
        <f t="shared" si="49"/>
        <v>32.865000000000002</v>
      </c>
      <c r="AG205" s="34">
        <f t="shared" si="50"/>
        <v>0</v>
      </c>
    </row>
    <row r="206" spans="1:33" x14ac:dyDescent="0.3">
      <c r="A206" s="4" t="str">
        <f>DATASETS!A102</f>
        <v>RIZAL AVE.</v>
      </c>
      <c r="B206" s="4">
        <f>DATASETS!B102</f>
        <v>2022</v>
      </c>
      <c r="C206" s="9">
        <f>DATASETS!C102</f>
        <v>99108</v>
      </c>
      <c r="D206" s="6">
        <f>DATASETS!I102</f>
        <v>248</v>
      </c>
      <c r="E206" s="9">
        <f>DATASETS!H102</f>
        <v>32.865000000000002</v>
      </c>
      <c r="F206" s="6">
        <f>DATASETS!D102</f>
        <v>357</v>
      </c>
      <c r="G206" s="11">
        <v>1</v>
      </c>
      <c r="H206" s="32">
        <f t="shared" si="37"/>
        <v>-0.92325044204049733</v>
      </c>
      <c r="I206" s="32">
        <f t="shared" si="38"/>
        <v>0.77127932350854234</v>
      </c>
      <c r="J206" s="32">
        <f t="shared" si="39"/>
        <v>-0.87726497887112087</v>
      </c>
      <c r="K206" s="11">
        <f t="shared" si="52"/>
        <v>0</v>
      </c>
      <c r="L206" s="11">
        <f t="shared" si="52"/>
        <v>0</v>
      </c>
      <c r="M206" s="11">
        <f t="shared" si="52"/>
        <v>0</v>
      </c>
      <c r="N206" s="11">
        <f t="shared" si="52"/>
        <v>0</v>
      </c>
      <c r="O206" s="11">
        <f t="shared" si="52"/>
        <v>0</v>
      </c>
      <c r="P206" s="11">
        <f t="shared" si="52"/>
        <v>0</v>
      </c>
      <c r="Q206" s="11">
        <f t="shared" si="52"/>
        <v>0</v>
      </c>
      <c r="R206" s="11">
        <f t="shared" si="52"/>
        <v>0</v>
      </c>
      <c r="S206" s="11">
        <f t="shared" si="52"/>
        <v>1</v>
      </c>
      <c r="T206" s="11">
        <f t="shared" si="52"/>
        <v>0</v>
      </c>
      <c r="U206" s="11">
        <f t="shared" si="52"/>
        <v>0</v>
      </c>
      <c r="V206" s="11">
        <f t="shared" si="52"/>
        <v>0</v>
      </c>
      <c r="W206" s="35">
        <f t="shared" si="40"/>
        <v>264.65214305039797</v>
      </c>
      <c r="X206" s="35">
        <f t="shared" si="41"/>
        <v>92.347856949602033</v>
      </c>
      <c r="Y206" s="35">
        <f t="shared" si="42"/>
        <v>92.347856949602033</v>
      </c>
      <c r="Z206" s="35">
        <f t="shared" si="43"/>
        <v>8528.1266831841604</v>
      </c>
      <c r="AA206" s="35">
        <f t="shared" si="44"/>
        <v>2320726.7272262401</v>
      </c>
      <c r="AB206" s="35">
        <f t="shared" si="45"/>
        <v>550.64564523420688</v>
      </c>
      <c r="AC206" s="35">
        <f t="shared" si="46"/>
        <v>-101707.87091254018</v>
      </c>
      <c r="AD206" s="35">
        <f t="shared" si="47"/>
        <v>78.701422204575564</v>
      </c>
      <c r="AE206" s="35">
        <f t="shared" si="48"/>
        <v>-149.79417085118007</v>
      </c>
      <c r="AF206" s="40">
        <f t="shared" si="49"/>
        <v>32.865000000000002</v>
      </c>
      <c r="AG206" s="34">
        <f t="shared" si="50"/>
        <v>0</v>
      </c>
    </row>
    <row r="207" spans="1:33" x14ac:dyDescent="0.3">
      <c r="A207" s="4" t="str">
        <f>DATASETS!A103</f>
        <v>RIZAL AVE.</v>
      </c>
      <c r="B207" s="4">
        <f>DATASETS!B103</f>
        <v>2023</v>
      </c>
      <c r="C207" s="9">
        <f>DATASETS!C103</f>
        <v>114674</v>
      </c>
      <c r="D207" s="6">
        <f>DATASETS!I103</f>
        <v>357</v>
      </c>
      <c r="E207" s="9">
        <f>DATASETS!H103</f>
        <v>32.865000000000002</v>
      </c>
      <c r="F207" s="6">
        <f>DATASETS!D103</f>
        <v>427</v>
      </c>
      <c r="G207" s="11">
        <v>1</v>
      </c>
      <c r="H207" s="32">
        <f t="shared" si="37"/>
        <v>-0.7112652170070165</v>
      </c>
      <c r="I207" s="32">
        <f t="shared" si="38"/>
        <v>1.1569189852628134</v>
      </c>
      <c r="J207" s="32">
        <f t="shared" si="39"/>
        <v>-0.8160865510419768</v>
      </c>
      <c r="K207" s="11">
        <f t="shared" si="52"/>
        <v>0</v>
      </c>
      <c r="L207" s="11">
        <f t="shared" si="52"/>
        <v>0</v>
      </c>
      <c r="M207" s="11">
        <f t="shared" si="52"/>
        <v>0</v>
      </c>
      <c r="N207" s="11">
        <f t="shared" si="52"/>
        <v>0</v>
      </c>
      <c r="O207" s="11">
        <f t="shared" si="52"/>
        <v>0</v>
      </c>
      <c r="P207" s="11">
        <f t="shared" si="52"/>
        <v>0</v>
      </c>
      <c r="Q207" s="11">
        <f t="shared" si="52"/>
        <v>0</v>
      </c>
      <c r="R207" s="11">
        <f t="shared" si="52"/>
        <v>0</v>
      </c>
      <c r="S207" s="11">
        <f t="shared" si="52"/>
        <v>1</v>
      </c>
      <c r="T207" s="11">
        <f t="shared" si="52"/>
        <v>0</v>
      </c>
      <c r="U207" s="11">
        <f t="shared" si="52"/>
        <v>0</v>
      </c>
      <c r="V207" s="11">
        <f t="shared" si="52"/>
        <v>0</v>
      </c>
      <c r="W207" s="35">
        <f t="shared" si="40"/>
        <v>335.42700580795577</v>
      </c>
      <c r="X207" s="35">
        <f t="shared" si="41"/>
        <v>91.572994192044234</v>
      </c>
      <c r="Y207" s="35">
        <f t="shared" si="42"/>
        <v>91.572994192044234</v>
      </c>
      <c r="Z207" s="35">
        <f t="shared" si="43"/>
        <v>8385.6132652961678</v>
      </c>
      <c r="AA207" s="35">
        <f t="shared" si="44"/>
        <v>2112351.6844911971</v>
      </c>
      <c r="AB207" s="35">
        <f t="shared" si="45"/>
        <v>637.13059209738299</v>
      </c>
      <c r="AC207" s="35">
        <f t="shared" si="46"/>
        <v>-101758.17154108248</v>
      </c>
      <c r="AD207" s="35">
        <f t="shared" si="47"/>
        <v>113.29196664126403</v>
      </c>
      <c r="AE207" s="35">
        <f t="shared" si="48"/>
        <v>-149.79417085118007</v>
      </c>
      <c r="AF207" s="40">
        <f t="shared" si="49"/>
        <v>32.865000000000002</v>
      </c>
      <c r="AG207" s="34">
        <f t="shared" si="50"/>
        <v>0</v>
      </c>
    </row>
    <row r="208" spans="1:33" x14ac:dyDescent="0.3">
      <c r="A208" s="4" t="str">
        <f>DATASETS!A104</f>
        <v>RIZAL AVE.</v>
      </c>
      <c r="B208" s="4">
        <f>DATASETS!B104</f>
        <v>2024</v>
      </c>
      <c r="C208" s="9">
        <f>DATASETS!C104</f>
        <v>88475</v>
      </c>
      <c r="D208" s="6">
        <f>DATASETS!I104</f>
        <v>427</v>
      </c>
      <c r="E208" s="9">
        <f>DATASETS!H104</f>
        <v>32.865000000000002</v>
      </c>
      <c r="F208" s="6">
        <f>DATASETS!D104</f>
        <v>389</v>
      </c>
      <c r="G208" s="11">
        <v>1</v>
      </c>
      <c r="H208" s="32">
        <f t="shared" si="37"/>
        <v>-1.0680557162137596</v>
      </c>
      <c r="I208" s="32">
        <f t="shared" si="38"/>
        <v>1.5425586470170847</v>
      </c>
      <c r="J208" s="32">
        <f t="shared" si="39"/>
        <v>-0.77679765243610455</v>
      </c>
      <c r="K208" s="11">
        <f t="shared" si="52"/>
        <v>0</v>
      </c>
      <c r="L208" s="11">
        <f t="shared" si="52"/>
        <v>0</v>
      </c>
      <c r="M208" s="11">
        <f t="shared" si="52"/>
        <v>0</v>
      </c>
      <c r="N208" s="11">
        <f t="shared" si="52"/>
        <v>0</v>
      </c>
      <c r="O208" s="11">
        <f t="shared" si="52"/>
        <v>0</v>
      </c>
      <c r="P208" s="11">
        <f t="shared" si="52"/>
        <v>0</v>
      </c>
      <c r="Q208" s="11">
        <f t="shared" si="52"/>
        <v>0</v>
      </c>
      <c r="R208" s="11">
        <f t="shared" si="52"/>
        <v>0</v>
      </c>
      <c r="S208" s="11">
        <f t="shared" si="52"/>
        <v>1</v>
      </c>
      <c r="T208" s="11">
        <f t="shared" si="52"/>
        <v>0</v>
      </c>
      <c r="U208" s="11">
        <f t="shared" si="52"/>
        <v>0</v>
      </c>
      <c r="V208" s="11">
        <f t="shared" si="52"/>
        <v>0</v>
      </c>
      <c r="W208" s="35">
        <f t="shared" si="40"/>
        <v>161.77842214614191</v>
      </c>
      <c r="X208" s="35">
        <f t="shared" si="41"/>
        <v>227.22157785385809</v>
      </c>
      <c r="Y208" s="35">
        <f t="shared" si="42"/>
        <v>227.22157785385809</v>
      </c>
      <c r="Z208" s="35">
        <f t="shared" si="43"/>
        <v>51629.645442396897</v>
      </c>
      <c r="AA208" s="35">
        <f t="shared" si="44"/>
        <v>2224253.5648330776</v>
      </c>
      <c r="AB208" s="35">
        <f t="shared" si="45"/>
        <v>491.56852587174046</v>
      </c>
      <c r="AC208" s="35">
        <f t="shared" si="46"/>
        <v>-101808.47216962479</v>
      </c>
      <c r="AD208" s="35">
        <f t="shared" si="47"/>
        <v>135.50607774739422</v>
      </c>
      <c r="AE208" s="35">
        <f t="shared" si="48"/>
        <v>-149.79417085118007</v>
      </c>
      <c r="AF208" s="40">
        <f t="shared" si="49"/>
        <v>32.865000000000002</v>
      </c>
      <c r="AG208" s="34">
        <f t="shared" si="50"/>
        <v>0</v>
      </c>
    </row>
    <row r="209" spans="1:33" x14ac:dyDescent="0.3">
      <c r="A209" s="4" t="str">
        <f>DATASETS!A106</f>
        <v>DEL PAN</v>
      </c>
      <c r="B209" s="4">
        <f>DATASETS!B106</f>
        <v>2016</v>
      </c>
      <c r="C209" s="9">
        <f>DATASETS!C106</f>
        <v>70012</v>
      </c>
      <c r="D209" s="6">
        <f>DATASETS!I106</f>
        <v>1065</v>
      </c>
      <c r="E209" s="9">
        <f>DATASETS!H106</f>
        <v>97</v>
      </c>
      <c r="F209" s="6">
        <f>DATASETS!D106</f>
        <v>1066</v>
      </c>
      <c r="G209" s="11">
        <v>1</v>
      </c>
      <c r="H209" s="32">
        <f t="shared" si="37"/>
        <v>-1.3194936713591505</v>
      </c>
      <c r="I209" s="32">
        <f t="shared" si="38"/>
        <v>-1.5425586470170847</v>
      </c>
      <c r="J209" s="32">
        <f t="shared" si="39"/>
        <v>-0.41870740514258231</v>
      </c>
      <c r="K209" s="11">
        <f t="shared" ref="K209:V218" si="53">IF($A209=K$113,1,0)</f>
        <v>0</v>
      </c>
      <c r="L209" s="11">
        <f t="shared" si="53"/>
        <v>0</v>
      </c>
      <c r="M209" s="11">
        <f t="shared" si="53"/>
        <v>0</v>
      </c>
      <c r="N209" s="11">
        <f t="shared" si="53"/>
        <v>0</v>
      </c>
      <c r="O209" s="11">
        <f t="shared" si="53"/>
        <v>0</v>
      </c>
      <c r="P209" s="11">
        <f t="shared" si="53"/>
        <v>0</v>
      </c>
      <c r="Q209" s="11">
        <f t="shared" si="53"/>
        <v>0</v>
      </c>
      <c r="R209" s="11">
        <f t="shared" si="53"/>
        <v>0</v>
      </c>
      <c r="S209" s="11">
        <f t="shared" si="53"/>
        <v>0</v>
      </c>
      <c r="T209" s="11">
        <f t="shared" si="53"/>
        <v>1</v>
      </c>
      <c r="U209" s="11">
        <f t="shared" si="53"/>
        <v>0</v>
      </c>
      <c r="V209" s="11">
        <f t="shared" si="53"/>
        <v>0</v>
      </c>
      <c r="W209" s="35">
        <f t="shared" si="40"/>
        <v>989.52169233785628</v>
      </c>
      <c r="X209" s="35">
        <f t="shared" si="41"/>
        <v>76.47830766214372</v>
      </c>
      <c r="Y209" s="35">
        <f t="shared" si="42"/>
        <v>76.47830766214372</v>
      </c>
      <c r="Z209" s="35">
        <f t="shared" si="43"/>
        <v>5848.9315428655109</v>
      </c>
      <c r="AA209" s="35">
        <f t="shared" si="44"/>
        <v>663236.22295273573</v>
      </c>
      <c r="AB209" s="35">
        <f t="shared" si="45"/>
        <v>388.98780032022933</v>
      </c>
      <c r="AC209" s="35">
        <f t="shared" si="46"/>
        <v>-101406.06714128634</v>
      </c>
      <c r="AD209" s="35">
        <f t="shared" si="47"/>
        <v>337.9718332575523</v>
      </c>
      <c r="AE209" s="35">
        <f t="shared" si="48"/>
        <v>175.65904104344406</v>
      </c>
      <c r="AF209" s="40">
        <f t="shared" si="49"/>
        <v>97</v>
      </c>
      <c r="AG209" s="34">
        <f t="shared" si="50"/>
        <v>0</v>
      </c>
    </row>
    <row r="210" spans="1:33" x14ac:dyDescent="0.3">
      <c r="A210" s="4" t="str">
        <f>DATASETS!A107</f>
        <v>DEL PAN</v>
      </c>
      <c r="B210" s="4">
        <f>DATASETS!B107</f>
        <v>2017</v>
      </c>
      <c r="C210" s="9">
        <f>DATASETS!C107</f>
        <v>80285</v>
      </c>
      <c r="D210" s="6">
        <f>DATASETS!I107</f>
        <v>1066</v>
      </c>
      <c r="E210" s="9">
        <f>DATASETS!H107</f>
        <v>97</v>
      </c>
      <c r="F210" s="6">
        <f>DATASETS!D107</f>
        <v>924</v>
      </c>
      <c r="G210" s="11">
        <v>1</v>
      </c>
      <c r="H210" s="32">
        <f t="shared" si="37"/>
        <v>-1.1795910491846069</v>
      </c>
      <c r="I210" s="32">
        <f t="shared" si="38"/>
        <v>-1.1569189852628134</v>
      </c>
      <c r="J210" s="32">
        <f t="shared" si="39"/>
        <v>-0.41814613516249843</v>
      </c>
      <c r="K210" s="11">
        <f t="shared" si="53"/>
        <v>0</v>
      </c>
      <c r="L210" s="11">
        <f t="shared" si="53"/>
        <v>0</v>
      </c>
      <c r="M210" s="11">
        <f t="shared" si="53"/>
        <v>0</v>
      </c>
      <c r="N210" s="11">
        <f t="shared" si="53"/>
        <v>0</v>
      </c>
      <c r="O210" s="11">
        <f t="shared" si="53"/>
        <v>0</v>
      </c>
      <c r="P210" s="11">
        <f t="shared" si="53"/>
        <v>0</v>
      </c>
      <c r="Q210" s="11">
        <f t="shared" si="53"/>
        <v>0</v>
      </c>
      <c r="R210" s="11">
        <f t="shared" si="53"/>
        <v>0</v>
      </c>
      <c r="S210" s="11">
        <f t="shared" si="53"/>
        <v>0</v>
      </c>
      <c r="T210" s="11">
        <f t="shared" si="53"/>
        <v>1</v>
      </c>
      <c r="U210" s="11">
        <f t="shared" si="53"/>
        <v>0</v>
      </c>
      <c r="V210" s="11">
        <f t="shared" si="53"/>
        <v>0</v>
      </c>
      <c r="W210" s="35">
        <f t="shared" si="40"/>
        <v>996.61536180059295</v>
      </c>
      <c r="X210" s="35">
        <f t="shared" si="41"/>
        <v>-72.61536180059295</v>
      </c>
      <c r="Y210" s="35">
        <f t="shared" si="42"/>
        <v>72.61536180059295</v>
      </c>
      <c r="Z210" s="35">
        <f t="shared" si="43"/>
        <v>5272.9907694310141</v>
      </c>
      <c r="AA210" s="35">
        <f t="shared" si="44"/>
        <v>914687.88107239385</v>
      </c>
      <c r="AB210" s="35">
        <f t="shared" si="45"/>
        <v>446.06475388090058</v>
      </c>
      <c r="AC210" s="35">
        <f t="shared" si="46"/>
        <v>-101456.36776982865</v>
      </c>
      <c r="AD210" s="35">
        <f t="shared" si="47"/>
        <v>338.28917770192561</v>
      </c>
      <c r="AE210" s="35">
        <f t="shared" si="48"/>
        <v>175.65904104344406</v>
      </c>
      <c r="AF210" s="40">
        <f t="shared" si="49"/>
        <v>97</v>
      </c>
      <c r="AG210" s="34">
        <f t="shared" si="50"/>
        <v>0</v>
      </c>
    </row>
    <row r="211" spans="1:33" x14ac:dyDescent="0.3">
      <c r="A211" s="4" t="str">
        <f>DATASETS!A108</f>
        <v>DEL PAN</v>
      </c>
      <c r="B211" s="4">
        <f>DATASETS!B108</f>
        <v>2018</v>
      </c>
      <c r="C211" s="9">
        <f>DATASETS!C108</f>
        <v>82257</v>
      </c>
      <c r="D211" s="6">
        <f>DATASETS!I108</f>
        <v>924</v>
      </c>
      <c r="E211" s="9">
        <f>DATASETS!H108</f>
        <v>97</v>
      </c>
      <c r="F211" s="6">
        <f>DATASETS!D108</f>
        <v>1094</v>
      </c>
      <c r="G211" s="11">
        <v>1</v>
      </c>
      <c r="H211" s="32">
        <f t="shared" si="37"/>
        <v>-1.1527354110138486</v>
      </c>
      <c r="I211" s="32">
        <f t="shared" si="38"/>
        <v>-0.77127932350854234</v>
      </c>
      <c r="J211" s="32">
        <f t="shared" si="39"/>
        <v>-0.49784647233441087</v>
      </c>
      <c r="K211" s="11">
        <f t="shared" si="53"/>
        <v>0</v>
      </c>
      <c r="L211" s="11">
        <f t="shared" si="53"/>
        <v>0</v>
      </c>
      <c r="M211" s="11">
        <f t="shared" si="53"/>
        <v>0</v>
      </c>
      <c r="N211" s="11">
        <f t="shared" si="53"/>
        <v>0</v>
      </c>
      <c r="O211" s="11">
        <f t="shared" si="53"/>
        <v>0</v>
      </c>
      <c r="P211" s="11">
        <f t="shared" si="53"/>
        <v>0</v>
      </c>
      <c r="Q211" s="11">
        <f t="shared" si="53"/>
        <v>0</v>
      </c>
      <c r="R211" s="11">
        <f t="shared" si="53"/>
        <v>0</v>
      </c>
      <c r="S211" s="11">
        <f t="shared" si="53"/>
        <v>0</v>
      </c>
      <c r="T211" s="11">
        <f t="shared" si="53"/>
        <v>1</v>
      </c>
      <c r="U211" s="11">
        <f t="shared" si="53"/>
        <v>0</v>
      </c>
      <c r="V211" s="11">
        <f t="shared" si="53"/>
        <v>0</v>
      </c>
      <c r="W211" s="35">
        <f t="shared" si="40"/>
        <v>912.20828593823512</v>
      </c>
      <c r="X211" s="35">
        <f t="shared" si="41"/>
        <v>181.79171406176488</v>
      </c>
      <c r="Y211" s="35">
        <f t="shared" si="42"/>
        <v>181.79171406176488</v>
      </c>
      <c r="Z211" s="35">
        <f t="shared" si="43"/>
        <v>33048.227301514482</v>
      </c>
      <c r="AA211" s="35">
        <f t="shared" si="44"/>
        <v>618414.2058587186</v>
      </c>
      <c r="AB211" s="35">
        <f t="shared" si="45"/>
        <v>457.02121766184518</v>
      </c>
      <c r="AC211" s="35">
        <f t="shared" si="46"/>
        <v>-101506.66839837095</v>
      </c>
      <c r="AD211" s="35">
        <f t="shared" si="47"/>
        <v>293.22626660091862</v>
      </c>
      <c r="AE211" s="35">
        <f t="shared" si="48"/>
        <v>175.65904104344406</v>
      </c>
      <c r="AF211" s="40">
        <f t="shared" si="49"/>
        <v>97</v>
      </c>
      <c r="AG211" s="34">
        <f t="shared" si="50"/>
        <v>0</v>
      </c>
    </row>
    <row r="212" spans="1:33" x14ac:dyDescent="0.3">
      <c r="A212" s="4" t="str">
        <f>DATASETS!A109</f>
        <v>DEL PAN</v>
      </c>
      <c r="B212" s="4">
        <f>DATASETS!B109</f>
        <v>2019</v>
      </c>
      <c r="C212" s="9">
        <f>DATASETS!C109</f>
        <v>84279</v>
      </c>
      <c r="D212" s="6">
        <f>DATASETS!I109</f>
        <v>1094</v>
      </c>
      <c r="E212" s="9">
        <f>DATASETS!H109</f>
        <v>97</v>
      </c>
      <c r="F212" s="6">
        <f>DATASETS!D109</f>
        <v>1389</v>
      </c>
      <c r="G212" s="11">
        <v>1</v>
      </c>
      <c r="H212" s="32">
        <f t="shared" si="37"/>
        <v>-1.1251988489543792</v>
      </c>
      <c r="I212" s="32">
        <f t="shared" si="38"/>
        <v>-0.38563966175427117</v>
      </c>
      <c r="J212" s="32">
        <f t="shared" si="39"/>
        <v>-0.40243057572014951</v>
      </c>
      <c r="K212" s="11">
        <f t="shared" si="53"/>
        <v>0</v>
      </c>
      <c r="L212" s="11">
        <f t="shared" si="53"/>
        <v>0</v>
      </c>
      <c r="M212" s="11">
        <f t="shared" si="53"/>
        <v>0</v>
      </c>
      <c r="N212" s="11">
        <f t="shared" si="53"/>
        <v>0</v>
      </c>
      <c r="O212" s="11">
        <f t="shared" si="53"/>
        <v>0</v>
      </c>
      <c r="P212" s="11">
        <f t="shared" si="53"/>
        <v>0</v>
      </c>
      <c r="Q212" s="11">
        <f t="shared" si="53"/>
        <v>0</v>
      </c>
      <c r="R212" s="11">
        <f t="shared" si="53"/>
        <v>0</v>
      </c>
      <c r="S212" s="11">
        <f t="shared" si="53"/>
        <v>0</v>
      </c>
      <c r="T212" s="11">
        <f t="shared" si="53"/>
        <v>1</v>
      </c>
      <c r="U212" s="11">
        <f t="shared" si="53"/>
        <v>0</v>
      </c>
      <c r="V212" s="11">
        <f t="shared" si="53"/>
        <v>0</v>
      </c>
      <c r="W212" s="35">
        <f t="shared" si="40"/>
        <v>927.09047752613731</v>
      </c>
      <c r="X212" s="35">
        <f t="shared" si="41"/>
        <v>461.90952247386269</v>
      </c>
      <c r="Y212" s="35">
        <f t="shared" si="42"/>
        <v>461.90952247386269</v>
      </c>
      <c r="Z212" s="35">
        <f t="shared" si="43"/>
        <v>213360.40695203186</v>
      </c>
      <c r="AA212" s="35">
        <f t="shared" si="44"/>
        <v>241467.24004675282</v>
      </c>
      <c r="AB212" s="35">
        <f t="shared" si="45"/>
        <v>468.25548224859466</v>
      </c>
      <c r="AC212" s="35">
        <f t="shared" si="46"/>
        <v>-101556.96902691326</v>
      </c>
      <c r="AD212" s="35">
        <f t="shared" si="47"/>
        <v>347.17482214437769</v>
      </c>
      <c r="AE212" s="35">
        <f t="shared" si="48"/>
        <v>175.65904104344406</v>
      </c>
      <c r="AF212" s="40">
        <f t="shared" si="49"/>
        <v>97</v>
      </c>
      <c r="AG212" s="34">
        <f t="shared" si="50"/>
        <v>0</v>
      </c>
    </row>
    <row r="213" spans="1:33" x14ac:dyDescent="0.3">
      <c r="A213" s="4" t="str">
        <f>DATASETS!A110</f>
        <v>DEL PAN</v>
      </c>
      <c r="B213" s="4">
        <f>DATASETS!B110</f>
        <v>2020</v>
      </c>
      <c r="C213" s="9">
        <f>DATASETS!C110</f>
        <v>107595</v>
      </c>
      <c r="D213" s="6">
        <f>DATASETS!I110</f>
        <v>1389</v>
      </c>
      <c r="E213" s="9">
        <f>DATASETS!H110</f>
        <v>97</v>
      </c>
      <c r="F213" s="6">
        <f>DATASETS!D110</f>
        <v>839</v>
      </c>
      <c r="G213" s="11">
        <v>1</v>
      </c>
      <c r="H213" s="32">
        <f t="shared" si="37"/>
        <v>-0.80767042117070731</v>
      </c>
      <c r="I213" s="32">
        <f t="shared" si="38"/>
        <v>0</v>
      </c>
      <c r="J213" s="32">
        <f t="shared" si="39"/>
        <v>-0.2368559315954018</v>
      </c>
      <c r="K213" s="11">
        <f t="shared" si="53"/>
        <v>0</v>
      </c>
      <c r="L213" s="11">
        <f t="shared" si="53"/>
        <v>0</v>
      </c>
      <c r="M213" s="11">
        <f t="shared" si="53"/>
        <v>0</v>
      </c>
      <c r="N213" s="11">
        <f t="shared" si="53"/>
        <v>0</v>
      </c>
      <c r="O213" s="11">
        <f t="shared" si="53"/>
        <v>0</v>
      </c>
      <c r="P213" s="11">
        <f t="shared" si="53"/>
        <v>0</v>
      </c>
      <c r="Q213" s="11">
        <f t="shared" si="53"/>
        <v>0</v>
      </c>
      <c r="R213" s="11">
        <f t="shared" si="53"/>
        <v>0</v>
      </c>
      <c r="S213" s="11">
        <f t="shared" si="53"/>
        <v>0</v>
      </c>
      <c r="T213" s="11">
        <f t="shared" si="53"/>
        <v>1</v>
      </c>
      <c r="U213" s="11">
        <f t="shared" si="53"/>
        <v>0</v>
      </c>
      <c r="V213" s="11">
        <f t="shared" si="53"/>
        <v>0</v>
      </c>
      <c r="W213" s="35">
        <f t="shared" si="40"/>
        <v>1099.9505318368638</v>
      </c>
      <c r="X213" s="35">
        <f t="shared" si="41"/>
        <v>-260.95053183686377</v>
      </c>
      <c r="Y213" s="35">
        <f t="shared" si="42"/>
        <v>260.95053183686377</v>
      </c>
      <c r="Z213" s="35">
        <f t="shared" si="43"/>
        <v>68095.180065942055</v>
      </c>
      <c r="AA213" s="35">
        <f t="shared" si="44"/>
        <v>1084499.7186792314</v>
      </c>
      <c r="AB213" s="35">
        <f t="shared" si="45"/>
        <v>597.79955401152768</v>
      </c>
      <c r="AC213" s="35">
        <f t="shared" si="46"/>
        <v>-101607.26965545557</v>
      </c>
      <c r="AD213" s="35">
        <f t="shared" si="47"/>
        <v>440.79143323449784</v>
      </c>
      <c r="AE213" s="35">
        <f t="shared" si="48"/>
        <v>175.65904104344406</v>
      </c>
      <c r="AF213" s="40">
        <f t="shared" si="49"/>
        <v>97</v>
      </c>
      <c r="AG213" s="34">
        <f t="shared" si="50"/>
        <v>0</v>
      </c>
    </row>
    <row r="214" spans="1:33" x14ac:dyDescent="0.3">
      <c r="A214" s="4" t="str">
        <f>DATASETS!A111</f>
        <v>DEL PAN</v>
      </c>
      <c r="B214" s="4">
        <f>DATASETS!B111</f>
        <v>2021</v>
      </c>
      <c r="C214" s="9">
        <f>DATASETS!C111</f>
        <v>102816</v>
      </c>
      <c r="D214" s="6">
        <f>DATASETS!I111</f>
        <v>839</v>
      </c>
      <c r="E214" s="9">
        <f>DATASETS!H111</f>
        <v>97</v>
      </c>
      <c r="F214" s="6">
        <f>DATASETS!D111</f>
        <v>580</v>
      </c>
      <c r="G214" s="11">
        <v>1</v>
      </c>
      <c r="H214" s="32">
        <f t="shared" si="37"/>
        <v>-0.87275312645369618</v>
      </c>
      <c r="I214" s="32">
        <f t="shared" si="38"/>
        <v>0.38563966175427117</v>
      </c>
      <c r="J214" s="32">
        <f t="shared" si="39"/>
        <v>-0.54555442064154158</v>
      </c>
      <c r="K214" s="11">
        <f t="shared" si="53"/>
        <v>0</v>
      </c>
      <c r="L214" s="11">
        <f t="shared" si="53"/>
        <v>0</v>
      </c>
      <c r="M214" s="11">
        <f t="shared" si="53"/>
        <v>0</v>
      </c>
      <c r="N214" s="11">
        <f t="shared" si="53"/>
        <v>0</v>
      </c>
      <c r="O214" s="11">
        <f t="shared" si="53"/>
        <v>0</v>
      </c>
      <c r="P214" s="11">
        <f t="shared" si="53"/>
        <v>0</v>
      </c>
      <c r="Q214" s="11">
        <f t="shared" si="53"/>
        <v>0</v>
      </c>
      <c r="R214" s="11">
        <f t="shared" si="53"/>
        <v>0</v>
      </c>
      <c r="S214" s="11">
        <f t="shared" si="53"/>
        <v>0</v>
      </c>
      <c r="T214" s="11">
        <f t="shared" si="53"/>
        <v>1</v>
      </c>
      <c r="U214" s="11">
        <f t="shared" si="53"/>
        <v>0</v>
      </c>
      <c r="V214" s="11">
        <f t="shared" si="53"/>
        <v>0</v>
      </c>
      <c r="W214" s="35">
        <f t="shared" si="40"/>
        <v>848.55825787042284</v>
      </c>
      <c r="X214" s="35">
        <f t="shared" si="41"/>
        <v>-268.55825787042284</v>
      </c>
      <c r="Y214" s="35">
        <f t="shared" si="42"/>
        <v>268.55825787042284</v>
      </c>
      <c r="Z214" s="35">
        <f t="shared" si="43"/>
        <v>72123.537870396525</v>
      </c>
      <c r="AA214" s="35">
        <f t="shared" si="44"/>
        <v>1691022.3767988896</v>
      </c>
      <c r="AB214" s="35">
        <f t="shared" si="45"/>
        <v>571.24735299269696</v>
      </c>
      <c r="AC214" s="35">
        <f t="shared" si="46"/>
        <v>-101657.57028399788</v>
      </c>
      <c r="AD214" s="35">
        <f t="shared" si="47"/>
        <v>266.25198882918909</v>
      </c>
      <c r="AE214" s="35">
        <f t="shared" si="48"/>
        <v>175.65904104344406</v>
      </c>
      <c r="AF214" s="40">
        <f t="shared" si="49"/>
        <v>97</v>
      </c>
      <c r="AG214" s="34">
        <f t="shared" si="50"/>
        <v>0</v>
      </c>
    </row>
    <row r="215" spans="1:33" x14ac:dyDescent="0.3">
      <c r="A215" s="4" t="str">
        <f>DATASETS!A112</f>
        <v>DEL PAN</v>
      </c>
      <c r="B215" s="4">
        <f>DATASETS!B112</f>
        <v>2022</v>
      </c>
      <c r="C215" s="9">
        <f>DATASETS!C112</f>
        <v>98102</v>
      </c>
      <c r="D215" s="6">
        <f>DATASETS!I112</f>
        <v>580</v>
      </c>
      <c r="E215" s="9">
        <f>DATASETS!H112</f>
        <v>97</v>
      </c>
      <c r="F215" s="6">
        <f>DATASETS!D112</f>
        <v>699</v>
      </c>
      <c r="G215" s="11">
        <v>1</v>
      </c>
      <c r="H215" s="32">
        <f t="shared" ref="H215:H244" si="54">(C215-$B$6)/$C$6</f>
        <v>-0.93695063068136086</v>
      </c>
      <c r="I215" s="32">
        <f t="shared" ref="I215:I244" si="55">(B215-$B$7)/$C$7</f>
        <v>0.77127932350854234</v>
      </c>
      <c r="J215" s="32">
        <f t="shared" ref="J215:J244" si="56">(D215-$B$8)/$C$8</f>
        <v>-0.69092334548326928</v>
      </c>
      <c r="K215" s="11">
        <f t="shared" si="53"/>
        <v>0</v>
      </c>
      <c r="L215" s="11">
        <f t="shared" si="53"/>
        <v>0</v>
      </c>
      <c r="M215" s="11">
        <f t="shared" si="53"/>
        <v>0</v>
      </c>
      <c r="N215" s="11">
        <f t="shared" si="53"/>
        <v>0</v>
      </c>
      <c r="O215" s="11">
        <f t="shared" si="53"/>
        <v>0</v>
      </c>
      <c r="P215" s="11">
        <f t="shared" si="53"/>
        <v>0</v>
      </c>
      <c r="Q215" s="11">
        <f t="shared" si="53"/>
        <v>0</v>
      </c>
      <c r="R215" s="11">
        <f t="shared" si="53"/>
        <v>0</v>
      </c>
      <c r="S215" s="11">
        <f t="shared" si="53"/>
        <v>0</v>
      </c>
      <c r="T215" s="11">
        <f t="shared" si="53"/>
        <v>1</v>
      </c>
      <c r="U215" s="11">
        <f t="shared" si="53"/>
        <v>0</v>
      </c>
      <c r="V215" s="11">
        <f t="shared" si="53"/>
        <v>0</v>
      </c>
      <c r="W215" s="35">
        <f t="shared" ref="W215:W244" si="57">$C$70+$C$71*C215+$C$72*B215+$C$73*D215+AE215</f>
        <v>689.87435826415128</v>
      </c>
      <c r="X215" s="35">
        <f t="shared" ref="X215:X244" si="58">F215-W215</f>
        <v>9.125641735848717</v>
      </c>
      <c r="Y215" s="35">
        <f t="shared" ref="Y215:Y244" si="59">ABS(X215)</f>
        <v>9.125641735848717</v>
      </c>
      <c r="Z215" s="35">
        <f t="shared" ref="Z215:Z244" si="60">X215^2</f>
        <v>83.277337091063984</v>
      </c>
      <c r="AA215" s="35">
        <f t="shared" ref="AA215:AA244" si="61">(F215-$B$11)^2</f>
        <v>1395689.8041493169</v>
      </c>
      <c r="AB215" s="35">
        <f t="shared" ref="AB215:AB244" si="62">$C$71*C215</f>
        <v>545.05629302141256</v>
      </c>
      <c r="AC215" s="35">
        <f t="shared" ref="AC215:AC244" si="63">$C$72*B215</f>
        <v>-101707.87091254018</v>
      </c>
      <c r="AD215" s="35">
        <f t="shared" ref="AD215:AD244" si="64">$C$73*D215</f>
        <v>184.05977773650736</v>
      </c>
      <c r="AE215" s="35">
        <f t="shared" ref="AE215:AE244" si="65">SUMPRODUCT(K215:V215,$K$116:$V$116)</f>
        <v>175.65904104344406</v>
      </c>
      <c r="AF215" s="40">
        <f t="shared" ref="AF215:AF244" si="66">$B$114*(1-SUM(K215:V215))+SUMPRODUCT(K215:V215,$K$112:$V$112)</f>
        <v>97</v>
      </c>
      <c r="AG215" s="34">
        <f t="shared" ref="AG215:AG244" si="67">ABS(E215-AF215)</f>
        <v>0</v>
      </c>
    </row>
    <row r="216" spans="1:33" x14ac:dyDescent="0.3">
      <c r="A216" s="4" t="str">
        <f>DATASETS!A113</f>
        <v>DEL PAN</v>
      </c>
      <c r="B216" s="4">
        <f>DATASETS!B113</f>
        <v>2023</v>
      </c>
      <c r="C216" s="9">
        <f>DATASETS!C113</f>
        <v>104615</v>
      </c>
      <c r="D216" s="6">
        <f>DATASETS!I113</f>
        <v>699</v>
      </c>
      <c r="E216" s="9">
        <f>DATASETS!H113</f>
        <v>97</v>
      </c>
      <c r="F216" s="6">
        <f>DATASETS!D113</f>
        <v>634</v>
      </c>
      <c r="G216" s="11">
        <v>1</v>
      </c>
      <c r="H216" s="32">
        <f t="shared" si="54"/>
        <v>-0.84825348493787756</v>
      </c>
      <c r="I216" s="32">
        <f t="shared" si="55"/>
        <v>1.1569189852628134</v>
      </c>
      <c r="J216" s="32">
        <f t="shared" si="56"/>
        <v>-0.62413221785328632</v>
      </c>
      <c r="K216" s="11">
        <f t="shared" si="53"/>
        <v>0</v>
      </c>
      <c r="L216" s="11">
        <f t="shared" si="53"/>
        <v>0</v>
      </c>
      <c r="M216" s="11">
        <f t="shared" si="53"/>
        <v>0</v>
      </c>
      <c r="N216" s="11">
        <f t="shared" si="53"/>
        <v>0</v>
      </c>
      <c r="O216" s="11">
        <f t="shared" si="53"/>
        <v>0</v>
      </c>
      <c r="P216" s="11">
        <f t="shared" si="53"/>
        <v>0</v>
      </c>
      <c r="Q216" s="11">
        <f t="shared" si="53"/>
        <v>0</v>
      </c>
      <c r="R216" s="11">
        <f t="shared" si="53"/>
        <v>0</v>
      </c>
      <c r="S216" s="11">
        <f t="shared" si="53"/>
        <v>0</v>
      </c>
      <c r="T216" s="11">
        <f t="shared" si="53"/>
        <v>1</v>
      </c>
      <c r="U216" s="11">
        <f t="shared" si="53"/>
        <v>0</v>
      </c>
      <c r="V216" s="11">
        <f t="shared" si="53"/>
        <v>0</v>
      </c>
      <c r="W216" s="35">
        <f t="shared" si="57"/>
        <v>713.52405156641828</v>
      </c>
      <c r="X216" s="35">
        <f t="shared" si="58"/>
        <v>-79.524051566418279</v>
      </c>
      <c r="Y216" s="35">
        <f t="shared" si="59"/>
        <v>79.524051566418279</v>
      </c>
      <c r="Z216" s="35">
        <f t="shared" si="60"/>
        <v>6324.0747775383534</v>
      </c>
      <c r="AA216" s="35">
        <f t="shared" si="61"/>
        <v>1553495.9152604281</v>
      </c>
      <c r="AB216" s="35">
        <f t="shared" si="62"/>
        <v>581.24262598555663</v>
      </c>
      <c r="AC216" s="35">
        <f t="shared" si="63"/>
        <v>-101758.17154108248</v>
      </c>
      <c r="AD216" s="35">
        <f t="shared" si="64"/>
        <v>221.82376661692871</v>
      </c>
      <c r="AE216" s="35">
        <f t="shared" si="65"/>
        <v>175.65904104344406</v>
      </c>
      <c r="AF216" s="40">
        <f t="shared" si="66"/>
        <v>97</v>
      </c>
      <c r="AG216" s="34">
        <f t="shared" si="67"/>
        <v>0</v>
      </c>
    </row>
    <row r="217" spans="1:33" x14ac:dyDescent="0.3">
      <c r="A217" s="4" t="str">
        <f>DATASETS!A114</f>
        <v>DEL PAN</v>
      </c>
      <c r="B217" s="4">
        <f>DATASETS!B114</f>
        <v>2024</v>
      </c>
      <c r="C217" s="9">
        <f>DATASETS!C114</f>
        <v>116325</v>
      </c>
      <c r="D217" s="6">
        <f>DATASETS!I114</f>
        <v>634</v>
      </c>
      <c r="E217" s="9">
        <f>DATASETS!H114</f>
        <v>97</v>
      </c>
      <c r="F217" s="6">
        <f>DATASETS!D114</f>
        <v>660</v>
      </c>
      <c r="G217" s="11">
        <v>1</v>
      </c>
      <c r="H217" s="32">
        <f t="shared" si="54"/>
        <v>-0.68878111020178223</v>
      </c>
      <c r="I217" s="32">
        <f t="shared" si="55"/>
        <v>1.5425586470170847</v>
      </c>
      <c r="J217" s="32">
        <f t="shared" si="56"/>
        <v>-0.66061476655873919</v>
      </c>
      <c r="K217" s="11">
        <f t="shared" si="53"/>
        <v>0</v>
      </c>
      <c r="L217" s="11">
        <f t="shared" si="53"/>
        <v>0</v>
      </c>
      <c r="M217" s="11">
        <f t="shared" si="53"/>
        <v>0</v>
      </c>
      <c r="N217" s="11">
        <f t="shared" si="53"/>
        <v>0</v>
      </c>
      <c r="O217" s="11">
        <f t="shared" si="53"/>
        <v>0</v>
      </c>
      <c r="P217" s="11">
        <f t="shared" si="53"/>
        <v>0</v>
      </c>
      <c r="Q217" s="11">
        <f t="shared" si="53"/>
        <v>0</v>
      </c>
      <c r="R217" s="11">
        <f t="shared" si="53"/>
        <v>0</v>
      </c>
      <c r="S217" s="11">
        <f t="shared" si="53"/>
        <v>0</v>
      </c>
      <c r="T217" s="11">
        <f t="shared" si="53"/>
        <v>1</v>
      </c>
      <c r="U217" s="11">
        <f t="shared" si="53"/>
        <v>0</v>
      </c>
      <c r="V217" s="11">
        <f t="shared" si="53"/>
        <v>0</v>
      </c>
      <c r="W217" s="35">
        <f t="shared" si="57"/>
        <v>707.65698285935446</v>
      </c>
      <c r="X217" s="35">
        <f t="shared" si="58"/>
        <v>-47.656982859354457</v>
      </c>
      <c r="Y217" s="35">
        <f t="shared" si="59"/>
        <v>47.656982859354457</v>
      </c>
      <c r="Z217" s="35">
        <f t="shared" si="60"/>
        <v>2271.1880152568046</v>
      </c>
      <c r="AA217" s="35">
        <f t="shared" si="61"/>
        <v>1489359.4708159836</v>
      </c>
      <c r="AB217" s="35">
        <f t="shared" si="62"/>
        <v>646.30357470506021</v>
      </c>
      <c r="AC217" s="35">
        <f t="shared" si="63"/>
        <v>-101808.47216962479</v>
      </c>
      <c r="AD217" s="35">
        <f t="shared" si="64"/>
        <v>201.19637773266496</v>
      </c>
      <c r="AE217" s="35">
        <f t="shared" si="65"/>
        <v>175.65904104344406</v>
      </c>
      <c r="AF217" s="40">
        <f t="shared" si="66"/>
        <v>97</v>
      </c>
      <c r="AG217" s="34">
        <f t="shared" si="67"/>
        <v>0</v>
      </c>
    </row>
    <row r="218" spans="1:33" x14ac:dyDescent="0.3">
      <c r="A218" s="4" t="str">
        <f>DATASETS!A116</f>
        <v>MARCOS HIGHWAY</v>
      </c>
      <c r="B218" s="4">
        <f>DATASETS!B116</f>
        <v>2016</v>
      </c>
      <c r="C218" s="9">
        <f>DATASETS!C116</f>
        <v>153626</v>
      </c>
      <c r="D218" s="6">
        <f>DATASETS!I116</f>
        <v>837</v>
      </c>
      <c r="E218" s="9">
        <f>DATASETS!H116</f>
        <v>705</v>
      </c>
      <c r="F218" s="6">
        <f>DATASETS!D116</f>
        <v>1320</v>
      </c>
      <c r="G218" s="11">
        <v>1</v>
      </c>
      <c r="H218" s="32">
        <f t="shared" si="54"/>
        <v>-0.18079827074566854</v>
      </c>
      <c r="I218" s="32">
        <f t="shared" si="55"/>
        <v>-1.5425586470170847</v>
      </c>
      <c r="J218" s="32">
        <f t="shared" si="56"/>
        <v>-0.54667696060170934</v>
      </c>
      <c r="K218" s="11">
        <f t="shared" si="53"/>
        <v>0</v>
      </c>
      <c r="L218" s="11">
        <f t="shared" si="53"/>
        <v>0</v>
      </c>
      <c r="M218" s="11">
        <f t="shared" si="53"/>
        <v>0</v>
      </c>
      <c r="N218" s="11">
        <f t="shared" si="53"/>
        <v>0</v>
      </c>
      <c r="O218" s="11">
        <f t="shared" si="53"/>
        <v>0</v>
      </c>
      <c r="P218" s="11">
        <f t="shared" si="53"/>
        <v>0</v>
      </c>
      <c r="Q218" s="11">
        <f t="shared" si="53"/>
        <v>0</v>
      </c>
      <c r="R218" s="11">
        <f t="shared" si="53"/>
        <v>0</v>
      </c>
      <c r="S218" s="11">
        <f t="shared" si="53"/>
        <v>0</v>
      </c>
      <c r="T218" s="11">
        <f t="shared" si="53"/>
        <v>0</v>
      </c>
      <c r="U218" s="11">
        <f t="shared" si="53"/>
        <v>1</v>
      </c>
      <c r="V218" s="11">
        <f t="shared" si="53"/>
        <v>0</v>
      </c>
      <c r="W218" s="35">
        <f t="shared" si="57"/>
        <v>838.06880017070398</v>
      </c>
      <c r="X218" s="35">
        <f t="shared" si="58"/>
        <v>481.93119982929602</v>
      </c>
      <c r="Y218" s="35">
        <f t="shared" si="59"/>
        <v>481.93119982929602</v>
      </c>
      <c r="Z218" s="35">
        <f t="shared" si="60"/>
        <v>232257.68136890486</v>
      </c>
      <c r="AA218" s="35">
        <f t="shared" si="61"/>
        <v>314040.49645700923</v>
      </c>
      <c r="AB218" s="35">
        <f t="shared" si="62"/>
        <v>853.54853185161903</v>
      </c>
      <c r="AC218" s="35">
        <f t="shared" si="63"/>
        <v>-101406.06714128634</v>
      </c>
      <c r="AD218" s="35">
        <f t="shared" si="64"/>
        <v>265.61729994044254</v>
      </c>
      <c r="AE218" s="35">
        <f t="shared" si="65"/>
        <v>-368.00004933798112</v>
      </c>
      <c r="AF218" s="40">
        <f t="shared" si="66"/>
        <v>705</v>
      </c>
      <c r="AG218" s="34">
        <f t="shared" si="67"/>
        <v>0</v>
      </c>
    </row>
    <row r="219" spans="1:33" x14ac:dyDescent="0.3">
      <c r="A219" s="4" t="str">
        <f>DATASETS!A117</f>
        <v>MARCOS HIGHWAY</v>
      </c>
      <c r="B219" s="4">
        <f>DATASETS!B117</f>
        <v>2017</v>
      </c>
      <c r="C219" s="9">
        <f>DATASETS!C117</f>
        <v>162662</v>
      </c>
      <c r="D219" s="6">
        <f>DATASETS!I117</f>
        <v>1320</v>
      </c>
      <c r="E219" s="9">
        <f>DATASETS!H117</f>
        <v>705</v>
      </c>
      <c r="F219" s="6">
        <f>DATASETS!D117</f>
        <v>688</v>
      </c>
      <c r="G219" s="11">
        <v>1</v>
      </c>
      <c r="H219" s="32">
        <f t="shared" si="54"/>
        <v>-5.7741705577832717E-2</v>
      </c>
      <c r="I219" s="32">
        <f t="shared" si="55"/>
        <v>-1.1569189852628134</v>
      </c>
      <c r="J219" s="32">
        <f t="shared" si="56"/>
        <v>-0.27558356022119024</v>
      </c>
      <c r="K219" s="11">
        <f t="shared" ref="K219:V228" si="68">IF($A219=K$113,1,0)</f>
        <v>0</v>
      </c>
      <c r="L219" s="11">
        <f t="shared" si="68"/>
        <v>0</v>
      </c>
      <c r="M219" s="11">
        <f t="shared" si="68"/>
        <v>0</v>
      </c>
      <c r="N219" s="11">
        <f t="shared" si="68"/>
        <v>0</v>
      </c>
      <c r="O219" s="11">
        <f t="shared" si="68"/>
        <v>0</v>
      </c>
      <c r="P219" s="11">
        <f t="shared" si="68"/>
        <v>0</v>
      </c>
      <c r="Q219" s="11">
        <f t="shared" si="68"/>
        <v>0</v>
      </c>
      <c r="R219" s="11">
        <f t="shared" si="68"/>
        <v>0</v>
      </c>
      <c r="S219" s="11">
        <f t="shared" si="68"/>
        <v>0</v>
      </c>
      <c r="T219" s="11">
        <f t="shared" si="68"/>
        <v>0</v>
      </c>
      <c r="U219" s="11">
        <f t="shared" si="68"/>
        <v>1</v>
      </c>
      <c r="V219" s="11">
        <f t="shared" si="68"/>
        <v>0</v>
      </c>
      <c r="W219" s="35">
        <f t="shared" si="57"/>
        <v>991.24969988576322</v>
      </c>
      <c r="X219" s="35">
        <f t="shared" si="58"/>
        <v>-303.24969988576322</v>
      </c>
      <c r="Y219" s="35">
        <f t="shared" si="59"/>
        <v>303.24969988576322</v>
      </c>
      <c r="Z219" s="35">
        <f t="shared" si="60"/>
        <v>91960.380480805456</v>
      </c>
      <c r="AA219" s="35">
        <f t="shared" si="61"/>
        <v>1421801.4537219664</v>
      </c>
      <c r="AB219" s="35">
        <f t="shared" si="62"/>
        <v>903.75269347667756</v>
      </c>
      <c r="AC219" s="35">
        <f t="shared" si="63"/>
        <v>-101456.36776982865</v>
      </c>
      <c r="AD219" s="35">
        <f t="shared" si="64"/>
        <v>418.8946665727409</v>
      </c>
      <c r="AE219" s="35">
        <f t="shared" si="65"/>
        <v>-368.00004933798112</v>
      </c>
      <c r="AF219" s="40">
        <f t="shared" si="66"/>
        <v>705</v>
      </c>
      <c r="AG219" s="34">
        <f t="shared" si="67"/>
        <v>0</v>
      </c>
    </row>
    <row r="220" spans="1:33" x14ac:dyDescent="0.3">
      <c r="A220" s="4" t="str">
        <f>DATASETS!A118</f>
        <v>MARCOS HIGHWAY</v>
      </c>
      <c r="B220" s="4">
        <f>DATASETS!B118</f>
        <v>2018</v>
      </c>
      <c r="C220" s="9">
        <f>DATASETS!C118</f>
        <v>178214</v>
      </c>
      <c r="D220" s="6">
        <f>DATASETS!I118</f>
        <v>688</v>
      </c>
      <c r="E220" s="9">
        <f>DATASETS!H118</f>
        <v>705</v>
      </c>
      <c r="F220" s="6">
        <f>DATASETS!D118</f>
        <v>1332</v>
      </c>
      <c r="G220" s="11">
        <v>1</v>
      </c>
      <c r="H220" s="32">
        <f t="shared" si="54"/>
        <v>0.15405286076680899</v>
      </c>
      <c r="I220" s="32">
        <f t="shared" si="55"/>
        <v>-0.77127932350854234</v>
      </c>
      <c r="J220" s="32">
        <f t="shared" si="56"/>
        <v>-0.63030618763420909</v>
      </c>
      <c r="K220" s="11">
        <f t="shared" si="68"/>
        <v>0</v>
      </c>
      <c r="L220" s="11">
        <f t="shared" si="68"/>
        <v>0</v>
      </c>
      <c r="M220" s="11">
        <f t="shared" si="68"/>
        <v>0</v>
      </c>
      <c r="N220" s="11">
        <f t="shared" si="68"/>
        <v>0</v>
      </c>
      <c r="O220" s="11">
        <f t="shared" si="68"/>
        <v>0</v>
      </c>
      <c r="P220" s="11">
        <f t="shared" si="68"/>
        <v>0</v>
      </c>
      <c r="Q220" s="11">
        <f t="shared" si="68"/>
        <v>0</v>
      </c>
      <c r="R220" s="11">
        <f t="shared" si="68"/>
        <v>0</v>
      </c>
      <c r="S220" s="11">
        <f t="shared" si="68"/>
        <v>0</v>
      </c>
      <c r="T220" s="11">
        <f t="shared" si="68"/>
        <v>0</v>
      </c>
      <c r="U220" s="11">
        <f t="shared" si="68"/>
        <v>1</v>
      </c>
      <c r="V220" s="11">
        <f t="shared" si="68"/>
        <v>0</v>
      </c>
      <c r="W220" s="35">
        <f t="shared" si="57"/>
        <v>826.79454513709311</v>
      </c>
      <c r="X220" s="35">
        <f t="shared" si="58"/>
        <v>505.20545486290689</v>
      </c>
      <c r="Y220" s="35">
        <f t="shared" si="59"/>
        <v>505.20545486290689</v>
      </c>
      <c r="Z220" s="35">
        <f t="shared" si="60"/>
        <v>255232.55162323665</v>
      </c>
      <c r="AA220" s="35">
        <f t="shared" si="61"/>
        <v>300735.06055957335</v>
      </c>
      <c r="AB220" s="35">
        <f t="shared" si="62"/>
        <v>990.15985611422832</v>
      </c>
      <c r="AC220" s="35">
        <f t="shared" si="63"/>
        <v>-101506.66839837095</v>
      </c>
      <c r="AD220" s="35">
        <f t="shared" si="64"/>
        <v>218.33297772882253</v>
      </c>
      <c r="AE220" s="35">
        <f t="shared" si="65"/>
        <v>-368.00004933798112</v>
      </c>
      <c r="AF220" s="40">
        <f t="shared" si="66"/>
        <v>705</v>
      </c>
      <c r="AG220" s="34">
        <f t="shared" si="67"/>
        <v>0</v>
      </c>
    </row>
    <row r="221" spans="1:33" x14ac:dyDescent="0.3">
      <c r="A221" s="4" t="str">
        <f>DATASETS!A119</f>
        <v>MARCOS HIGHWAY</v>
      </c>
      <c r="B221" s="4">
        <f>DATASETS!B119</f>
        <v>2019</v>
      </c>
      <c r="C221" s="9">
        <f>DATASETS!C119</f>
        <v>221360</v>
      </c>
      <c r="D221" s="6">
        <f>DATASETS!I119</f>
        <v>1332</v>
      </c>
      <c r="E221" s="9">
        <f>DATASETS!H119</f>
        <v>705</v>
      </c>
      <c r="F221" s="6">
        <f>DATASETS!D119</f>
        <v>1321</v>
      </c>
      <c r="G221" s="11">
        <v>1</v>
      </c>
      <c r="H221" s="32">
        <f t="shared" si="54"/>
        <v>0.74163570281322821</v>
      </c>
      <c r="I221" s="32">
        <f t="shared" si="55"/>
        <v>-0.38563966175427117</v>
      </c>
      <c r="J221" s="32">
        <f t="shared" si="56"/>
        <v>-0.26884832046018359</v>
      </c>
      <c r="K221" s="11">
        <f t="shared" si="68"/>
        <v>0</v>
      </c>
      <c r="L221" s="11">
        <f t="shared" si="68"/>
        <v>0</v>
      </c>
      <c r="M221" s="11">
        <f t="shared" si="68"/>
        <v>0</v>
      </c>
      <c r="N221" s="11">
        <f t="shared" si="68"/>
        <v>0</v>
      </c>
      <c r="O221" s="11">
        <f t="shared" si="68"/>
        <v>0</v>
      </c>
      <c r="P221" s="11">
        <f t="shared" si="68"/>
        <v>0</v>
      </c>
      <c r="Q221" s="11">
        <f t="shared" si="68"/>
        <v>0</v>
      </c>
      <c r="R221" s="11">
        <f t="shared" si="68"/>
        <v>0</v>
      </c>
      <c r="S221" s="11">
        <f t="shared" si="68"/>
        <v>0</v>
      </c>
      <c r="T221" s="11">
        <f t="shared" si="68"/>
        <v>0</v>
      </c>
      <c r="U221" s="11">
        <f t="shared" si="68"/>
        <v>1</v>
      </c>
      <c r="V221" s="11">
        <f t="shared" si="68"/>
        <v>0</v>
      </c>
      <c r="W221" s="35">
        <f t="shared" si="57"/>
        <v>1220.5836101163384</v>
      </c>
      <c r="X221" s="35">
        <f t="shared" si="58"/>
        <v>100.41638988366162</v>
      </c>
      <c r="Y221" s="35">
        <f t="shared" si="59"/>
        <v>100.41638988366162</v>
      </c>
      <c r="Z221" s="35">
        <f t="shared" si="60"/>
        <v>10083.451357267541</v>
      </c>
      <c r="AA221" s="35">
        <f t="shared" si="61"/>
        <v>312920.71013222291</v>
      </c>
      <c r="AB221" s="35">
        <f t="shared" si="62"/>
        <v>1229.879727459378</v>
      </c>
      <c r="AC221" s="35">
        <f t="shared" si="63"/>
        <v>-101556.96902691326</v>
      </c>
      <c r="AD221" s="35">
        <f t="shared" si="64"/>
        <v>422.70279990522039</v>
      </c>
      <c r="AE221" s="35">
        <f t="shared" si="65"/>
        <v>-368.00004933798112</v>
      </c>
      <c r="AF221" s="40">
        <f t="shared" si="66"/>
        <v>705</v>
      </c>
      <c r="AG221" s="34">
        <f t="shared" si="67"/>
        <v>0</v>
      </c>
    </row>
    <row r="222" spans="1:33" x14ac:dyDescent="0.3">
      <c r="A222" s="4" t="str">
        <f>DATASETS!A120</f>
        <v>MARCOS HIGHWAY</v>
      </c>
      <c r="B222" s="4">
        <f>DATASETS!B120</f>
        <v>2020</v>
      </c>
      <c r="C222" s="9">
        <f>DATASETS!C120</f>
        <v>223133</v>
      </c>
      <c r="D222" s="6">
        <f>DATASETS!I120</f>
        <v>1321</v>
      </c>
      <c r="E222" s="9">
        <f>DATASETS!H120</f>
        <v>705</v>
      </c>
      <c r="F222" s="6">
        <f>DATASETS!D120</f>
        <v>514</v>
      </c>
      <c r="G222" s="11">
        <v>1</v>
      </c>
      <c r="H222" s="32">
        <f t="shared" si="54"/>
        <v>0.76578126390691714</v>
      </c>
      <c r="I222" s="32">
        <f t="shared" si="55"/>
        <v>0</v>
      </c>
      <c r="J222" s="32">
        <f t="shared" si="56"/>
        <v>-0.27502229024110636</v>
      </c>
      <c r="K222" s="11">
        <f t="shared" si="68"/>
        <v>0</v>
      </c>
      <c r="L222" s="11">
        <f t="shared" si="68"/>
        <v>0</v>
      </c>
      <c r="M222" s="11">
        <f t="shared" si="68"/>
        <v>0</v>
      </c>
      <c r="N222" s="11">
        <f t="shared" si="68"/>
        <v>0</v>
      </c>
      <c r="O222" s="11">
        <f t="shared" si="68"/>
        <v>0</v>
      </c>
      <c r="P222" s="11">
        <f t="shared" si="68"/>
        <v>0</v>
      </c>
      <c r="Q222" s="11">
        <f t="shared" si="68"/>
        <v>0</v>
      </c>
      <c r="R222" s="11">
        <f t="shared" si="68"/>
        <v>0</v>
      </c>
      <c r="S222" s="11">
        <f t="shared" si="68"/>
        <v>0</v>
      </c>
      <c r="T222" s="11">
        <f t="shared" si="68"/>
        <v>0</v>
      </c>
      <c r="U222" s="11">
        <f t="shared" si="68"/>
        <v>1</v>
      </c>
      <c r="V222" s="11">
        <f t="shared" si="68"/>
        <v>0</v>
      </c>
      <c r="W222" s="35">
        <f t="shared" si="57"/>
        <v>1176.6430092597454</v>
      </c>
      <c r="X222" s="35">
        <f t="shared" si="58"/>
        <v>-662.64300925974544</v>
      </c>
      <c r="Y222" s="35">
        <f t="shared" si="59"/>
        <v>662.64300925974544</v>
      </c>
      <c r="Z222" s="35">
        <f t="shared" si="60"/>
        <v>439095.75772081106</v>
      </c>
      <c r="AA222" s="35">
        <f t="shared" si="61"/>
        <v>1867030.2742347869</v>
      </c>
      <c r="AB222" s="35">
        <f t="shared" si="62"/>
        <v>1239.7305440332191</v>
      </c>
      <c r="AC222" s="35">
        <f t="shared" si="63"/>
        <v>-101607.26965545557</v>
      </c>
      <c r="AD222" s="35">
        <f t="shared" si="64"/>
        <v>419.21201101711421</v>
      </c>
      <c r="AE222" s="35">
        <f t="shared" si="65"/>
        <v>-368.00004933798112</v>
      </c>
      <c r="AF222" s="40">
        <f t="shared" si="66"/>
        <v>705</v>
      </c>
      <c r="AG222" s="34">
        <f t="shared" si="67"/>
        <v>0</v>
      </c>
    </row>
    <row r="223" spans="1:33" x14ac:dyDescent="0.3">
      <c r="A223" s="4" t="str">
        <f>DATASETS!A121</f>
        <v>MARCOS HIGHWAY</v>
      </c>
      <c r="B223" s="4">
        <f>DATASETS!B121</f>
        <v>2021</v>
      </c>
      <c r="C223" s="9">
        <f>DATASETS!C121</f>
        <v>233466</v>
      </c>
      <c r="D223" s="6">
        <f>DATASETS!I121</f>
        <v>514</v>
      </c>
      <c r="E223" s="9">
        <f>DATASETS!H121</f>
        <v>705</v>
      </c>
      <c r="F223" s="6">
        <f>DATASETS!D121</f>
        <v>533</v>
      </c>
      <c r="G223" s="11">
        <v>1</v>
      </c>
      <c r="H223" s="32">
        <f t="shared" si="54"/>
        <v>0.9065009947479139</v>
      </c>
      <c r="I223" s="32">
        <f t="shared" si="55"/>
        <v>0.38563966175427117</v>
      </c>
      <c r="J223" s="32">
        <f t="shared" si="56"/>
        <v>-0.72796716416880602</v>
      </c>
      <c r="K223" s="11">
        <f t="shared" si="68"/>
        <v>0</v>
      </c>
      <c r="L223" s="11">
        <f t="shared" si="68"/>
        <v>0</v>
      </c>
      <c r="M223" s="11">
        <f t="shared" si="68"/>
        <v>0</v>
      </c>
      <c r="N223" s="11">
        <f t="shared" si="68"/>
        <v>0</v>
      </c>
      <c r="O223" s="11">
        <f t="shared" si="68"/>
        <v>0</v>
      </c>
      <c r="P223" s="11">
        <f t="shared" si="68"/>
        <v>0</v>
      </c>
      <c r="Q223" s="11">
        <f t="shared" si="68"/>
        <v>0</v>
      </c>
      <c r="R223" s="11">
        <f t="shared" si="68"/>
        <v>0</v>
      </c>
      <c r="S223" s="11">
        <f t="shared" si="68"/>
        <v>0</v>
      </c>
      <c r="T223" s="11">
        <f t="shared" si="68"/>
        <v>0</v>
      </c>
      <c r="U223" s="11">
        <f t="shared" si="68"/>
        <v>1</v>
      </c>
      <c r="V223" s="11">
        <f t="shared" si="68"/>
        <v>0</v>
      </c>
      <c r="W223" s="35">
        <f t="shared" si="57"/>
        <v>927.65572863584384</v>
      </c>
      <c r="X223" s="35">
        <f t="shared" si="58"/>
        <v>-394.65572863584384</v>
      </c>
      <c r="Y223" s="35">
        <f t="shared" si="59"/>
        <v>394.65572863584384</v>
      </c>
      <c r="Z223" s="35">
        <f t="shared" si="60"/>
        <v>155753.14414508882</v>
      </c>
      <c r="AA223" s="35">
        <f t="shared" si="61"/>
        <v>1815468.3340638469</v>
      </c>
      <c r="AB223" s="35">
        <f t="shared" si="62"/>
        <v>1297.1408585608563</v>
      </c>
      <c r="AC223" s="35">
        <f t="shared" si="63"/>
        <v>-101657.57028399788</v>
      </c>
      <c r="AD223" s="35">
        <f t="shared" si="64"/>
        <v>163.11504440787033</v>
      </c>
      <c r="AE223" s="35">
        <f t="shared" si="65"/>
        <v>-368.00004933798112</v>
      </c>
      <c r="AF223" s="40">
        <f t="shared" si="66"/>
        <v>705</v>
      </c>
      <c r="AG223" s="34">
        <f t="shared" si="67"/>
        <v>0</v>
      </c>
    </row>
    <row r="224" spans="1:33" x14ac:dyDescent="0.3">
      <c r="A224" s="4" t="str">
        <f>DATASETS!A122</f>
        <v>MARCOS HIGHWAY</v>
      </c>
      <c r="B224" s="4">
        <f>DATASETS!B122</f>
        <v>2022</v>
      </c>
      <c r="C224" s="9">
        <f>DATASETS!C122</f>
        <v>228470</v>
      </c>
      <c r="D224" s="6">
        <f>DATASETS!I122</f>
        <v>533</v>
      </c>
      <c r="E224" s="9">
        <f>DATASETS!H122</f>
        <v>705</v>
      </c>
      <c r="F224" s="6">
        <f>DATASETS!D122</f>
        <v>752</v>
      </c>
      <c r="G224" s="11">
        <v>1</v>
      </c>
      <c r="H224" s="32">
        <f t="shared" si="54"/>
        <v>0.83846307978791967</v>
      </c>
      <c r="I224" s="32">
        <f t="shared" si="55"/>
        <v>0.77127932350854234</v>
      </c>
      <c r="J224" s="32">
        <f t="shared" si="56"/>
        <v>-0.71730303454721211</v>
      </c>
      <c r="K224" s="11">
        <f t="shared" si="68"/>
        <v>0</v>
      </c>
      <c r="L224" s="11">
        <f t="shared" si="68"/>
        <v>0</v>
      </c>
      <c r="M224" s="11">
        <f t="shared" si="68"/>
        <v>0</v>
      </c>
      <c r="N224" s="11">
        <f t="shared" si="68"/>
        <v>0</v>
      </c>
      <c r="O224" s="11">
        <f t="shared" si="68"/>
        <v>0</v>
      </c>
      <c r="P224" s="11">
        <f t="shared" si="68"/>
        <v>0</v>
      </c>
      <c r="Q224" s="11">
        <f t="shared" si="68"/>
        <v>0</v>
      </c>
      <c r="R224" s="11">
        <f t="shared" si="68"/>
        <v>0</v>
      </c>
      <c r="S224" s="11">
        <f t="shared" si="68"/>
        <v>0</v>
      </c>
      <c r="T224" s="11">
        <f t="shared" si="68"/>
        <v>0</v>
      </c>
      <c r="U224" s="11">
        <f t="shared" si="68"/>
        <v>1</v>
      </c>
      <c r="V224" s="11">
        <f t="shared" si="68"/>
        <v>0</v>
      </c>
      <c r="W224" s="35">
        <f t="shared" si="57"/>
        <v>855.626788020611</v>
      </c>
      <c r="X224" s="35">
        <f t="shared" si="58"/>
        <v>-103.626788020611</v>
      </c>
      <c r="Y224" s="35">
        <f t="shared" si="59"/>
        <v>103.626788020611</v>
      </c>
      <c r="Z224" s="35">
        <f t="shared" si="60"/>
        <v>10738.511195468647</v>
      </c>
      <c r="AA224" s="35">
        <f t="shared" si="61"/>
        <v>1273271.1289356416</v>
      </c>
      <c r="AB224" s="35">
        <f t="shared" si="62"/>
        <v>1269.3830020448322</v>
      </c>
      <c r="AC224" s="35">
        <f t="shared" si="63"/>
        <v>-101707.87091254018</v>
      </c>
      <c r="AD224" s="35">
        <f t="shared" si="64"/>
        <v>169.1445888509628</v>
      </c>
      <c r="AE224" s="35">
        <f t="shared" si="65"/>
        <v>-368.00004933798112</v>
      </c>
      <c r="AF224" s="40">
        <f t="shared" si="66"/>
        <v>705</v>
      </c>
      <c r="AG224" s="34">
        <f t="shared" si="67"/>
        <v>0</v>
      </c>
    </row>
    <row r="225" spans="1:33" x14ac:dyDescent="0.3">
      <c r="A225" s="4" t="str">
        <f>DATASETS!A123</f>
        <v>MARCOS HIGHWAY</v>
      </c>
      <c r="B225" s="4">
        <f>DATASETS!B123</f>
        <v>2023</v>
      </c>
      <c r="C225" s="9">
        <f>DATASETS!C123</f>
        <v>243636</v>
      </c>
      <c r="D225" s="6">
        <f>DATASETS!I123</f>
        <v>752</v>
      </c>
      <c r="E225" s="9">
        <f>DATASETS!H123</f>
        <v>705</v>
      </c>
      <c r="F225" s="6">
        <f>DATASETS!D123</f>
        <v>1136</v>
      </c>
      <c r="G225" s="11">
        <v>1</v>
      </c>
      <c r="H225" s="32">
        <f t="shared" si="54"/>
        <v>1.0450009137117131</v>
      </c>
      <c r="I225" s="32">
        <f t="shared" si="55"/>
        <v>1.1569189852628134</v>
      </c>
      <c r="J225" s="32">
        <f t="shared" si="56"/>
        <v>-0.5943849089088401</v>
      </c>
      <c r="K225" s="11">
        <f t="shared" si="68"/>
        <v>0</v>
      </c>
      <c r="L225" s="11">
        <f t="shared" si="68"/>
        <v>0</v>
      </c>
      <c r="M225" s="11">
        <f t="shared" si="68"/>
        <v>0</v>
      </c>
      <c r="N225" s="11">
        <f t="shared" si="68"/>
        <v>0</v>
      </c>
      <c r="O225" s="11">
        <f t="shared" si="68"/>
        <v>0</v>
      </c>
      <c r="P225" s="11">
        <f t="shared" si="68"/>
        <v>0</v>
      </c>
      <c r="Q225" s="11">
        <f t="shared" si="68"/>
        <v>0</v>
      </c>
      <c r="R225" s="11">
        <f t="shared" si="68"/>
        <v>0</v>
      </c>
      <c r="S225" s="11">
        <f t="shared" si="68"/>
        <v>0</v>
      </c>
      <c r="T225" s="11">
        <f t="shared" si="68"/>
        <v>0</v>
      </c>
      <c r="U225" s="11">
        <f t="shared" si="68"/>
        <v>1</v>
      </c>
      <c r="V225" s="11">
        <f t="shared" si="68"/>
        <v>0</v>
      </c>
      <c r="W225" s="35">
        <f t="shared" si="57"/>
        <v>959.08713321279151</v>
      </c>
      <c r="X225" s="35">
        <f t="shared" si="58"/>
        <v>176.91286678720849</v>
      </c>
      <c r="Y225" s="35">
        <f t="shared" si="59"/>
        <v>176.91286678720849</v>
      </c>
      <c r="Z225" s="35">
        <f t="shared" si="60"/>
        <v>31298.162434868576</v>
      </c>
      <c r="AA225" s="35">
        <f t="shared" si="61"/>
        <v>554121.18021769298</v>
      </c>
      <c r="AB225" s="35">
        <f t="shared" si="62"/>
        <v>1353.6455424615694</v>
      </c>
      <c r="AC225" s="35">
        <f t="shared" si="63"/>
        <v>-101758.17154108248</v>
      </c>
      <c r="AD225" s="35">
        <f t="shared" si="64"/>
        <v>238.643022168713</v>
      </c>
      <c r="AE225" s="35">
        <f t="shared" si="65"/>
        <v>-368.00004933798112</v>
      </c>
      <c r="AF225" s="40">
        <f t="shared" si="66"/>
        <v>705</v>
      </c>
      <c r="AG225" s="34">
        <f t="shared" si="67"/>
        <v>0</v>
      </c>
    </row>
    <row r="226" spans="1:33" x14ac:dyDescent="0.3">
      <c r="A226" s="4" t="str">
        <f>DATASETS!A124</f>
        <v>MARCOS HIGHWAY</v>
      </c>
      <c r="B226" s="4">
        <f>DATASETS!B124</f>
        <v>2024</v>
      </c>
      <c r="C226" s="9">
        <f>DATASETS!C124</f>
        <v>266610</v>
      </c>
      <c r="D226" s="6">
        <f>DATASETS!I124</f>
        <v>1136</v>
      </c>
      <c r="E226" s="9">
        <f>DATASETS!H124</f>
        <v>705</v>
      </c>
      <c r="F226" s="6">
        <f>DATASETS!D124</f>
        <v>1358</v>
      </c>
      <c r="G226" s="11">
        <v>1</v>
      </c>
      <c r="H226" s="32">
        <f t="shared" si="54"/>
        <v>1.3578718220966026</v>
      </c>
      <c r="I226" s="32">
        <f t="shared" si="55"/>
        <v>1.5425586470170847</v>
      </c>
      <c r="J226" s="32">
        <f t="shared" si="56"/>
        <v>-0.37885723655662612</v>
      </c>
      <c r="K226" s="11">
        <f t="shared" si="68"/>
        <v>0</v>
      </c>
      <c r="L226" s="11">
        <f t="shared" si="68"/>
        <v>0</v>
      </c>
      <c r="M226" s="11">
        <f t="shared" si="68"/>
        <v>0</v>
      </c>
      <c r="N226" s="11">
        <f t="shared" si="68"/>
        <v>0</v>
      </c>
      <c r="O226" s="11">
        <f t="shared" si="68"/>
        <v>0</v>
      </c>
      <c r="P226" s="11">
        <f t="shared" si="68"/>
        <v>0</v>
      </c>
      <c r="Q226" s="11">
        <f t="shared" si="68"/>
        <v>0</v>
      </c>
      <c r="R226" s="11">
        <f t="shared" si="68"/>
        <v>0</v>
      </c>
      <c r="S226" s="11">
        <f t="shared" si="68"/>
        <v>0</v>
      </c>
      <c r="T226" s="11">
        <f t="shared" si="68"/>
        <v>0</v>
      </c>
      <c r="U226" s="11">
        <f t="shared" si="68"/>
        <v>1</v>
      </c>
      <c r="V226" s="11">
        <f t="shared" si="68"/>
        <v>0</v>
      </c>
      <c r="W226" s="35">
        <f t="shared" si="57"/>
        <v>1158.2906855610554</v>
      </c>
      <c r="X226" s="35">
        <f t="shared" si="58"/>
        <v>199.7093144389446</v>
      </c>
      <c r="Y226" s="35">
        <f t="shared" si="59"/>
        <v>199.7093144389446</v>
      </c>
      <c r="Z226" s="35">
        <f t="shared" si="60"/>
        <v>39883.810273673247</v>
      </c>
      <c r="AA226" s="35">
        <f t="shared" si="61"/>
        <v>272894.61611512891</v>
      </c>
      <c r="AB226" s="35">
        <f t="shared" si="62"/>
        <v>1481.2894567127971</v>
      </c>
      <c r="AC226" s="35">
        <f t="shared" si="63"/>
        <v>-101808.47216962479</v>
      </c>
      <c r="AD226" s="35">
        <f t="shared" si="64"/>
        <v>360.5032888080558</v>
      </c>
      <c r="AE226" s="35">
        <f t="shared" si="65"/>
        <v>-368.00004933798112</v>
      </c>
      <c r="AF226" s="40">
        <f t="shared" si="66"/>
        <v>705</v>
      </c>
      <c r="AG226" s="34">
        <f t="shared" si="67"/>
        <v>0</v>
      </c>
    </row>
    <row r="227" spans="1:33" x14ac:dyDescent="0.3">
      <c r="A227" s="4" t="str">
        <f>DATASETS!A126</f>
        <v>MCARTHUR HIGHWAY</v>
      </c>
      <c r="B227" s="4">
        <f>DATASETS!B126</f>
        <v>2016</v>
      </c>
      <c r="C227" s="9">
        <f>DATASETS!C126</f>
        <v>80079</v>
      </c>
      <c r="D227" s="6">
        <f>DATASETS!I126</f>
        <v>279</v>
      </c>
      <c r="E227" s="9">
        <f>DATASETS!H126</f>
        <v>4109.13</v>
      </c>
      <c r="F227" s="6">
        <f>DATASETS!D126</f>
        <v>126</v>
      </c>
      <c r="G227" s="11">
        <v>1</v>
      </c>
      <c r="H227" s="32">
        <f t="shared" si="54"/>
        <v>-1.1823964556060957</v>
      </c>
      <c r="I227" s="32">
        <f t="shared" si="55"/>
        <v>-1.5425586470170847</v>
      </c>
      <c r="J227" s="32">
        <f t="shared" si="56"/>
        <v>-0.85986560948852031</v>
      </c>
      <c r="K227" s="11">
        <f t="shared" si="68"/>
        <v>0</v>
      </c>
      <c r="L227" s="11">
        <f t="shared" si="68"/>
        <v>0</v>
      </c>
      <c r="M227" s="11">
        <f t="shared" si="68"/>
        <v>0</v>
      </c>
      <c r="N227" s="11">
        <f t="shared" si="68"/>
        <v>0</v>
      </c>
      <c r="O227" s="11">
        <f t="shared" si="68"/>
        <v>0</v>
      </c>
      <c r="P227" s="11">
        <f t="shared" si="68"/>
        <v>0</v>
      </c>
      <c r="Q227" s="11">
        <f t="shared" si="68"/>
        <v>0</v>
      </c>
      <c r="R227" s="11">
        <f t="shared" si="68"/>
        <v>0</v>
      </c>
      <c r="S227" s="11">
        <f t="shared" si="68"/>
        <v>0</v>
      </c>
      <c r="T227" s="11">
        <f t="shared" si="68"/>
        <v>0</v>
      </c>
      <c r="U227" s="11">
        <f t="shared" si="68"/>
        <v>0</v>
      </c>
      <c r="V227" s="11">
        <f t="shared" si="68"/>
        <v>1</v>
      </c>
      <c r="W227" s="35">
        <f t="shared" si="57"/>
        <v>553.0448604213791</v>
      </c>
      <c r="X227" s="35">
        <f t="shared" si="58"/>
        <v>-427.0448604213791</v>
      </c>
      <c r="Y227" s="35">
        <f t="shared" si="59"/>
        <v>427.0448604213791</v>
      </c>
      <c r="Z227" s="35">
        <f t="shared" si="60"/>
        <v>182367.31281231515</v>
      </c>
      <c r="AA227" s="35">
        <f t="shared" si="61"/>
        <v>3077895.3682518811</v>
      </c>
      <c r="AB227" s="35">
        <f t="shared" si="62"/>
        <v>444.9202145609845</v>
      </c>
      <c r="AC227" s="35">
        <f t="shared" si="63"/>
        <v>-101406.06714128634</v>
      </c>
      <c r="AD227" s="35">
        <f t="shared" si="64"/>
        <v>88.539099980147512</v>
      </c>
      <c r="AE227" s="35">
        <f t="shared" si="65"/>
        <v>-67.317471836385039</v>
      </c>
      <c r="AF227" s="40">
        <f t="shared" si="66"/>
        <v>4109.13</v>
      </c>
      <c r="AG227" s="34">
        <f t="shared" si="67"/>
        <v>0</v>
      </c>
    </row>
    <row r="228" spans="1:33" x14ac:dyDescent="0.3">
      <c r="A228" s="4" t="str">
        <f>DATASETS!A127</f>
        <v>MCARTHUR HIGHWAY</v>
      </c>
      <c r="B228" s="4">
        <f>DATASETS!B127</f>
        <v>2017</v>
      </c>
      <c r="C228" s="9">
        <f>DATASETS!C127</f>
        <v>82957</v>
      </c>
      <c r="D228" s="6">
        <f>DATASETS!I127</f>
        <v>126</v>
      </c>
      <c r="E228" s="9">
        <f>DATASETS!H127</f>
        <v>4109.13</v>
      </c>
      <c r="F228" s="6">
        <f>DATASETS!D127</f>
        <v>891</v>
      </c>
      <c r="G228" s="11">
        <v>1</v>
      </c>
      <c r="H228" s="32">
        <f t="shared" si="54"/>
        <v>-1.1432024765718958</v>
      </c>
      <c r="I228" s="32">
        <f t="shared" si="55"/>
        <v>-1.1569189852628134</v>
      </c>
      <c r="J228" s="32">
        <f t="shared" si="56"/>
        <v>-0.94573991644135558</v>
      </c>
      <c r="K228" s="11">
        <f t="shared" si="68"/>
        <v>0</v>
      </c>
      <c r="L228" s="11">
        <f t="shared" si="68"/>
        <v>0</v>
      </c>
      <c r="M228" s="11">
        <f t="shared" si="68"/>
        <v>0</v>
      </c>
      <c r="N228" s="11">
        <f t="shared" si="68"/>
        <v>0</v>
      </c>
      <c r="O228" s="11">
        <f t="shared" si="68"/>
        <v>0</v>
      </c>
      <c r="P228" s="11">
        <f t="shared" si="68"/>
        <v>0</v>
      </c>
      <c r="Q228" s="11">
        <f t="shared" si="68"/>
        <v>0</v>
      </c>
      <c r="R228" s="11">
        <f t="shared" si="68"/>
        <v>0</v>
      </c>
      <c r="S228" s="11">
        <f t="shared" si="68"/>
        <v>0</v>
      </c>
      <c r="T228" s="11">
        <f t="shared" si="68"/>
        <v>0</v>
      </c>
      <c r="U228" s="11">
        <f t="shared" si="68"/>
        <v>0</v>
      </c>
      <c r="V228" s="11">
        <f t="shared" si="68"/>
        <v>1</v>
      </c>
      <c r="W228" s="35">
        <f t="shared" si="57"/>
        <v>470.18074627208614</v>
      </c>
      <c r="X228" s="35">
        <f t="shared" si="58"/>
        <v>420.81925372791386</v>
      </c>
      <c r="Y228" s="35">
        <f t="shared" si="59"/>
        <v>420.81925372791386</v>
      </c>
      <c r="Z228" s="35">
        <f t="shared" si="60"/>
        <v>177088.84430811834</v>
      </c>
      <c r="AA228" s="35">
        <f t="shared" si="61"/>
        <v>978898.82979034248</v>
      </c>
      <c r="AB228" s="35">
        <f t="shared" si="62"/>
        <v>460.91042894311357</v>
      </c>
      <c r="AC228" s="35">
        <f t="shared" si="63"/>
        <v>-101456.36776982865</v>
      </c>
      <c r="AD228" s="35">
        <f t="shared" si="64"/>
        <v>39.985399991034363</v>
      </c>
      <c r="AE228" s="35">
        <f t="shared" si="65"/>
        <v>-67.317471836385039</v>
      </c>
      <c r="AF228" s="40">
        <f t="shared" si="66"/>
        <v>4109.13</v>
      </c>
      <c r="AG228" s="34">
        <f t="shared" si="67"/>
        <v>0</v>
      </c>
    </row>
    <row r="229" spans="1:33" x14ac:dyDescent="0.3">
      <c r="A229" s="4" t="str">
        <f>DATASETS!A128</f>
        <v>MCARTHUR HIGHWAY</v>
      </c>
      <c r="B229" s="4">
        <f>DATASETS!B128</f>
        <v>2018</v>
      </c>
      <c r="C229" s="9">
        <f>DATASETS!C128</f>
        <v>92165</v>
      </c>
      <c r="D229" s="6">
        <f>DATASETS!I128</f>
        <v>891</v>
      </c>
      <c r="E229" s="9">
        <f>DATASETS!H128</f>
        <v>4109.13</v>
      </c>
      <c r="F229" s="6">
        <f>DATASETS!D128</f>
        <v>812</v>
      </c>
      <c r="G229" s="11">
        <v>1</v>
      </c>
      <c r="H229" s="32">
        <f t="shared" si="54"/>
        <v>-1.0178035332268944</v>
      </c>
      <c r="I229" s="32">
        <f t="shared" si="55"/>
        <v>-0.77127932350854234</v>
      </c>
      <c r="J229" s="32">
        <f t="shared" si="56"/>
        <v>-0.51636838167717924</v>
      </c>
      <c r="K229" s="11">
        <f t="shared" ref="K229:V235" si="69">IF($A229=K$113,1,0)</f>
        <v>0</v>
      </c>
      <c r="L229" s="11">
        <f t="shared" si="69"/>
        <v>0</v>
      </c>
      <c r="M229" s="11">
        <f t="shared" si="69"/>
        <v>0</v>
      </c>
      <c r="N229" s="11">
        <f t="shared" si="69"/>
        <v>0</v>
      </c>
      <c r="O229" s="11">
        <f t="shared" si="69"/>
        <v>0</v>
      </c>
      <c r="P229" s="11">
        <f t="shared" si="69"/>
        <v>0</v>
      </c>
      <c r="Q229" s="11">
        <f t="shared" si="69"/>
        <v>0</v>
      </c>
      <c r="R229" s="11">
        <f t="shared" si="69"/>
        <v>0</v>
      </c>
      <c r="S229" s="11">
        <f t="shared" si="69"/>
        <v>0</v>
      </c>
      <c r="T229" s="11">
        <f t="shared" si="69"/>
        <v>0</v>
      </c>
      <c r="U229" s="11">
        <f t="shared" si="69"/>
        <v>0</v>
      </c>
      <c r="V229" s="11">
        <f t="shared" si="69"/>
        <v>1</v>
      </c>
      <c r="W229" s="35">
        <f t="shared" si="57"/>
        <v>713.80841407237563</v>
      </c>
      <c r="X229" s="35">
        <f t="shared" si="58"/>
        <v>98.191585927624374</v>
      </c>
      <c r="Y229" s="35">
        <f t="shared" si="59"/>
        <v>98.191585927624374</v>
      </c>
      <c r="Z229" s="35">
        <f t="shared" si="60"/>
        <v>9641.5875469820403</v>
      </c>
      <c r="AA229" s="35">
        <f t="shared" si="61"/>
        <v>1141463.9494484621</v>
      </c>
      <c r="AB229" s="35">
        <f t="shared" si="62"/>
        <v>512.07022534014084</v>
      </c>
      <c r="AC229" s="35">
        <f t="shared" si="63"/>
        <v>-101506.66839837095</v>
      </c>
      <c r="AD229" s="35">
        <f t="shared" si="64"/>
        <v>282.75389993660013</v>
      </c>
      <c r="AE229" s="35">
        <f t="shared" si="65"/>
        <v>-67.317471836385039</v>
      </c>
      <c r="AF229" s="40">
        <f t="shared" si="66"/>
        <v>4109.13</v>
      </c>
      <c r="AG229" s="34">
        <f t="shared" si="67"/>
        <v>0</v>
      </c>
    </row>
    <row r="230" spans="1:33" x14ac:dyDescent="0.3">
      <c r="A230" s="4" t="str">
        <f>DATASETS!A129</f>
        <v>MCARTHUR HIGHWAY</v>
      </c>
      <c r="B230" s="4">
        <f>DATASETS!B129</f>
        <v>2019</v>
      </c>
      <c r="C230" s="9">
        <f>DATASETS!C129</f>
        <v>97927</v>
      </c>
      <c r="D230" s="6">
        <f>DATASETS!I129</f>
        <v>812</v>
      </c>
      <c r="E230" s="9">
        <f>DATASETS!H129</f>
        <v>4109.13</v>
      </c>
      <c r="F230" s="6">
        <f>DATASETS!D129</f>
        <v>882</v>
      </c>
      <c r="G230" s="11">
        <v>1</v>
      </c>
      <c r="H230" s="32">
        <f t="shared" si="54"/>
        <v>-0.93933386429184906</v>
      </c>
      <c r="I230" s="32">
        <f t="shared" si="55"/>
        <v>-0.38563966175427117</v>
      </c>
      <c r="J230" s="32">
        <f t="shared" si="56"/>
        <v>-0.56070871010380663</v>
      </c>
      <c r="K230" s="11">
        <f t="shared" si="69"/>
        <v>0</v>
      </c>
      <c r="L230" s="11">
        <f t="shared" si="69"/>
        <v>0</v>
      </c>
      <c r="M230" s="11">
        <f t="shared" si="69"/>
        <v>0</v>
      </c>
      <c r="N230" s="11">
        <f t="shared" si="69"/>
        <v>0</v>
      </c>
      <c r="O230" s="11">
        <f t="shared" si="69"/>
        <v>0</v>
      </c>
      <c r="P230" s="11">
        <f t="shared" si="69"/>
        <v>0</v>
      </c>
      <c r="Q230" s="11">
        <f t="shared" si="69"/>
        <v>0</v>
      </c>
      <c r="R230" s="11">
        <f t="shared" si="69"/>
        <v>0</v>
      </c>
      <c r="S230" s="11">
        <f t="shared" si="69"/>
        <v>0</v>
      </c>
      <c r="T230" s="11">
        <f t="shared" si="69"/>
        <v>0</v>
      </c>
      <c r="U230" s="11">
        <f t="shared" si="69"/>
        <v>0</v>
      </c>
      <c r="V230" s="11">
        <f t="shared" si="69"/>
        <v>1</v>
      </c>
      <c r="W230" s="35">
        <f t="shared" si="57"/>
        <v>670.4513392855348</v>
      </c>
      <c r="X230" s="35">
        <f t="shared" si="58"/>
        <v>211.5486607144652</v>
      </c>
      <c r="Y230" s="35">
        <f t="shared" si="59"/>
        <v>211.5486607144652</v>
      </c>
      <c r="Z230" s="35">
        <f t="shared" si="60"/>
        <v>44752.835850083909</v>
      </c>
      <c r="AA230" s="35">
        <f t="shared" si="61"/>
        <v>996788.90671341948</v>
      </c>
      <c r="AB230" s="35">
        <f t="shared" si="62"/>
        <v>544.0839902010955</v>
      </c>
      <c r="AC230" s="35">
        <f t="shared" si="63"/>
        <v>-101556.96902691326</v>
      </c>
      <c r="AD230" s="35">
        <f t="shared" si="64"/>
        <v>257.68368883111032</v>
      </c>
      <c r="AE230" s="35">
        <f t="shared" si="65"/>
        <v>-67.317471836385039</v>
      </c>
      <c r="AF230" s="40">
        <f t="shared" si="66"/>
        <v>4109.13</v>
      </c>
      <c r="AG230" s="34">
        <f t="shared" si="67"/>
        <v>0</v>
      </c>
    </row>
    <row r="231" spans="1:33" x14ac:dyDescent="0.3">
      <c r="A231" s="4" t="str">
        <f>DATASETS!A130</f>
        <v>MCARTHUR HIGHWAY</v>
      </c>
      <c r="B231" s="4">
        <f>DATASETS!B130</f>
        <v>2020</v>
      </c>
      <c r="C231" s="9">
        <f>DATASETS!C130</f>
        <v>111070</v>
      </c>
      <c r="D231" s="6">
        <f>DATASETS!I130</f>
        <v>882</v>
      </c>
      <c r="E231" s="9">
        <f>DATASETS!H130</f>
        <v>4109.13</v>
      </c>
      <c r="F231" s="6">
        <f>DATASETS!D130</f>
        <v>721</v>
      </c>
      <c r="G231" s="11">
        <v>1</v>
      </c>
      <c r="H231" s="32">
        <f t="shared" si="54"/>
        <v>-0.76034621090529897</v>
      </c>
      <c r="I231" s="32">
        <f t="shared" si="55"/>
        <v>0</v>
      </c>
      <c r="J231" s="32">
        <f t="shared" si="56"/>
        <v>-0.52141981149793426</v>
      </c>
      <c r="K231" s="11">
        <f t="shared" si="69"/>
        <v>0</v>
      </c>
      <c r="L231" s="11">
        <f t="shared" si="69"/>
        <v>0</v>
      </c>
      <c r="M231" s="11">
        <f t="shared" si="69"/>
        <v>0</v>
      </c>
      <c r="N231" s="11">
        <f t="shared" si="69"/>
        <v>0</v>
      </c>
      <c r="O231" s="11">
        <f t="shared" si="69"/>
        <v>0</v>
      </c>
      <c r="P231" s="11">
        <f t="shared" si="69"/>
        <v>0</v>
      </c>
      <c r="Q231" s="11">
        <f t="shared" si="69"/>
        <v>0</v>
      </c>
      <c r="R231" s="11">
        <f t="shared" si="69"/>
        <v>0</v>
      </c>
      <c r="S231" s="11">
        <f t="shared" si="69"/>
        <v>0</v>
      </c>
      <c r="T231" s="11">
        <f t="shared" si="69"/>
        <v>0</v>
      </c>
      <c r="U231" s="11">
        <f t="shared" si="69"/>
        <v>0</v>
      </c>
      <c r="V231" s="11">
        <f t="shared" si="69"/>
        <v>1</v>
      </c>
      <c r="W231" s="35">
        <f t="shared" si="57"/>
        <v>715.38754166322155</v>
      </c>
      <c r="X231" s="35">
        <f t="shared" si="58"/>
        <v>5.6124583367784453</v>
      </c>
      <c r="Y231" s="35">
        <f t="shared" si="59"/>
        <v>5.6124583367784453</v>
      </c>
      <c r="Z231" s="35">
        <f t="shared" si="60"/>
        <v>31.499688582073873</v>
      </c>
      <c r="AA231" s="35">
        <f t="shared" si="61"/>
        <v>1344192.5050040178</v>
      </c>
      <c r="AB231" s="35">
        <f t="shared" si="62"/>
        <v>617.10671001496701</v>
      </c>
      <c r="AC231" s="35">
        <f t="shared" si="63"/>
        <v>-101607.26965545557</v>
      </c>
      <c r="AD231" s="35">
        <f t="shared" si="64"/>
        <v>279.89779993724051</v>
      </c>
      <c r="AE231" s="35">
        <f t="shared" si="65"/>
        <v>-67.317471836385039</v>
      </c>
      <c r="AF231" s="40">
        <f t="shared" si="66"/>
        <v>4109.13</v>
      </c>
      <c r="AG231" s="34">
        <f t="shared" si="67"/>
        <v>0</v>
      </c>
    </row>
    <row r="232" spans="1:33" x14ac:dyDescent="0.3">
      <c r="A232" s="4" t="str">
        <f>DATASETS!A131</f>
        <v>MCARTHUR HIGHWAY</v>
      </c>
      <c r="B232" s="4">
        <f>DATASETS!B131</f>
        <v>2021</v>
      </c>
      <c r="C232" s="9">
        <f>DATASETS!C131</f>
        <v>123390</v>
      </c>
      <c r="D232" s="6">
        <f>DATASETS!I131</f>
        <v>721</v>
      </c>
      <c r="E232" s="9">
        <f>DATASETS!H131</f>
        <v>4109.13</v>
      </c>
      <c r="F232" s="6">
        <f>DATASETS!D131</f>
        <v>463</v>
      </c>
      <c r="G232" s="11">
        <v>1</v>
      </c>
      <c r="H232" s="32">
        <f t="shared" si="54"/>
        <v>-0.59256656472693059</v>
      </c>
      <c r="I232" s="32">
        <f t="shared" si="55"/>
        <v>0.38563966175427117</v>
      </c>
      <c r="J232" s="32">
        <f t="shared" si="56"/>
        <v>-0.61178427829144066</v>
      </c>
      <c r="K232" s="11">
        <f t="shared" si="69"/>
        <v>0</v>
      </c>
      <c r="L232" s="11">
        <f t="shared" si="69"/>
        <v>0</v>
      </c>
      <c r="M232" s="11">
        <f t="shared" si="69"/>
        <v>0</v>
      </c>
      <c r="N232" s="11">
        <f t="shared" si="69"/>
        <v>0</v>
      </c>
      <c r="O232" s="11">
        <f t="shared" si="69"/>
        <v>0</v>
      </c>
      <c r="P232" s="11">
        <f t="shared" si="69"/>
        <v>0</v>
      </c>
      <c r="Q232" s="11">
        <f t="shared" si="69"/>
        <v>0</v>
      </c>
      <c r="R232" s="11">
        <f t="shared" si="69"/>
        <v>0</v>
      </c>
      <c r="S232" s="11">
        <f t="shared" si="69"/>
        <v>0</v>
      </c>
      <c r="T232" s="11">
        <f t="shared" si="69"/>
        <v>0</v>
      </c>
      <c r="U232" s="11">
        <f t="shared" si="69"/>
        <v>0</v>
      </c>
      <c r="V232" s="11">
        <f t="shared" si="69"/>
        <v>1</v>
      </c>
      <c r="W232" s="35">
        <f t="shared" si="57"/>
        <v>682.44457612713632</v>
      </c>
      <c r="X232" s="35">
        <f t="shared" si="58"/>
        <v>-219.44457612713632</v>
      </c>
      <c r="Y232" s="35">
        <f t="shared" si="59"/>
        <v>219.44457612713632</v>
      </c>
      <c r="Z232" s="35">
        <f t="shared" si="60"/>
        <v>48155.921991618525</v>
      </c>
      <c r="AA232" s="35">
        <f t="shared" si="61"/>
        <v>2009003.3767988896</v>
      </c>
      <c r="AB232" s="35">
        <f t="shared" si="62"/>
        <v>685.55682856529017</v>
      </c>
      <c r="AC232" s="35">
        <f t="shared" si="63"/>
        <v>-101657.57028399788</v>
      </c>
      <c r="AD232" s="35">
        <f t="shared" si="64"/>
        <v>228.80534439314107</v>
      </c>
      <c r="AE232" s="35">
        <f t="shared" si="65"/>
        <v>-67.317471836385039</v>
      </c>
      <c r="AF232" s="40">
        <f t="shared" si="66"/>
        <v>4109.13</v>
      </c>
      <c r="AG232" s="34">
        <f t="shared" si="67"/>
        <v>0</v>
      </c>
    </row>
    <row r="233" spans="1:33" x14ac:dyDescent="0.3">
      <c r="A233" s="4" t="str">
        <f>DATASETS!A132</f>
        <v>MCARTHUR HIGHWAY</v>
      </c>
      <c r="B233" s="4">
        <f>DATASETS!B132</f>
        <v>2022</v>
      </c>
      <c r="C233" s="9">
        <f>DATASETS!C132</f>
        <v>100556</v>
      </c>
      <c r="D233" s="6">
        <f>DATASETS!I132</f>
        <v>463</v>
      </c>
      <c r="E233" s="9">
        <f>DATASETS!H132</f>
        <v>4109.13</v>
      </c>
      <c r="F233" s="6">
        <f>DATASETS!D132</f>
        <v>334</v>
      </c>
      <c r="G233" s="11">
        <v>1</v>
      </c>
      <c r="H233" s="32">
        <f t="shared" si="54"/>
        <v>-0.90353088622342936</v>
      </c>
      <c r="I233" s="32">
        <f t="shared" si="55"/>
        <v>0.77127932350854234</v>
      </c>
      <c r="J233" s="32">
        <f t="shared" si="56"/>
        <v>-0.75659193315308448</v>
      </c>
      <c r="K233" s="11">
        <f t="shared" si="69"/>
        <v>0</v>
      </c>
      <c r="L233" s="11">
        <f t="shared" si="69"/>
        <v>0</v>
      </c>
      <c r="M233" s="11">
        <f t="shared" si="69"/>
        <v>0</v>
      </c>
      <c r="N233" s="11">
        <f t="shared" si="69"/>
        <v>0</v>
      </c>
      <c r="O233" s="11">
        <f t="shared" si="69"/>
        <v>0</v>
      </c>
      <c r="P233" s="11">
        <f t="shared" si="69"/>
        <v>0</v>
      </c>
      <c r="Q233" s="11">
        <f t="shared" si="69"/>
        <v>0</v>
      </c>
      <c r="R233" s="11">
        <f t="shared" si="69"/>
        <v>0</v>
      </c>
      <c r="S233" s="11">
        <f t="shared" si="69"/>
        <v>0</v>
      </c>
      <c r="T233" s="11">
        <f t="shared" si="69"/>
        <v>0</v>
      </c>
      <c r="U233" s="11">
        <f t="shared" si="69"/>
        <v>0</v>
      </c>
      <c r="V233" s="11">
        <f t="shared" si="69"/>
        <v>1</v>
      </c>
      <c r="W233" s="35">
        <f t="shared" si="57"/>
        <v>423.40300894155507</v>
      </c>
      <c r="X233" s="35">
        <f t="shared" si="58"/>
        <v>-89.403008941555072</v>
      </c>
      <c r="Y233" s="35">
        <f t="shared" si="59"/>
        <v>89.403008941555072</v>
      </c>
      <c r="Z233" s="35">
        <f t="shared" si="60"/>
        <v>7992.8980078037757</v>
      </c>
      <c r="AA233" s="35">
        <f t="shared" si="61"/>
        <v>2391331.8126963256</v>
      </c>
      <c r="AB233" s="35">
        <f t="shared" si="62"/>
        <v>558.69075657031624</v>
      </c>
      <c r="AC233" s="35">
        <f t="shared" si="63"/>
        <v>-101707.87091254018</v>
      </c>
      <c r="AD233" s="35">
        <f t="shared" si="64"/>
        <v>146.93047774483261</v>
      </c>
      <c r="AE233" s="35">
        <f t="shared" si="65"/>
        <v>-67.317471836385039</v>
      </c>
      <c r="AF233" s="40">
        <f t="shared" si="66"/>
        <v>4109.13</v>
      </c>
      <c r="AG233" s="34">
        <f t="shared" si="67"/>
        <v>0</v>
      </c>
    </row>
    <row r="234" spans="1:33" x14ac:dyDescent="0.3">
      <c r="A234" s="4" t="str">
        <f>DATASETS!A133</f>
        <v>MCARTHUR HIGHWAY</v>
      </c>
      <c r="B234" s="4">
        <f>DATASETS!B133</f>
        <v>2023</v>
      </c>
      <c r="C234" s="9">
        <f>DATASETS!C133</f>
        <v>121189</v>
      </c>
      <c r="D234" s="6">
        <f>DATASETS!I133</f>
        <v>334</v>
      </c>
      <c r="E234" s="9">
        <f>DATASETS!H133</f>
        <v>4109.13</v>
      </c>
      <c r="F234" s="6">
        <f>DATASETS!D133</f>
        <v>426</v>
      </c>
      <c r="G234" s="11">
        <v>1</v>
      </c>
      <c r="H234" s="32">
        <f t="shared" si="54"/>
        <v>-0.62254083430798479</v>
      </c>
      <c r="I234" s="32">
        <f t="shared" si="55"/>
        <v>1.1569189852628134</v>
      </c>
      <c r="J234" s="32">
        <f t="shared" si="56"/>
        <v>-0.82899576058390634</v>
      </c>
      <c r="K234" s="11">
        <f t="shared" si="69"/>
        <v>0</v>
      </c>
      <c r="L234" s="11">
        <f t="shared" si="69"/>
        <v>0</v>
      </c>
      <c r="M234" s="11">
        <f t="shared" si="69"/>
        <v>0</v>
      </c>
      <c r="N234" s="11">
        <f t="shared" si="69"/>
        <v>0</v>
      </c>
      <c r="O234" s="11">
        <f t="shared" si="69"/>
        <v>0</v>
      </c>
      <c r="P234" s="11">
        <f t="shared" si="69"/>
        <v>0</v>
      </c>
      <c r="Q234" s="11">
        <f t="shared" si="69"/>
        <v>0</v>
      </c>
      <c r="R234" s="11">
        <f t="shared" si="69"/>
        <v>0</v>
      </c>
      <c r="S234" s="11">
        <f t="shared" si="69"/>
        <v>0</v>
      </c>
      <c r="T234" s="11">
        <f t="shared" si="69"/>
        <v>0</v>
      </c>
      <c r="U234" s="11">
        <f t="shared" si="69"/>
        <v>0</v>
      </c>
      <c r="V234" s="11">
        <f t="shared" si="69"/>
        <v>1</v>
      </c>
      <c r="W234" s="35">
        <f t="shared" si="57"/>
        <v>446.80222759853973</v>
      </c>
      <c r="X234" s="35">
        <f t="shared" si="58"/>
        <v>-20.80222759853973</v>
      </c>
      <c r="Y234" s="35">
        <f t="shared" si="59"/>
        <v>20.80222759853973</v>
      </c>
      <c r="Z234" s="35">
        <f t="shared" si="60"/>
        <v>432.732673061448</v>
      </c>
      <c r="AA234" s="35">
        <f t="shared" si="61"/>
        <v>2115259.4708159836</v>
      </c>
      <c r="AB234" s="35">
        <f t="shared" si="62"/>
        <v>673.32803709375924</v>
      </c>
      <c r="AC234" s="35">
        <f t="shared" si="63"/>
        <v>-101758.17154108248</v>
      </c>
      <c r="AD234" s="35">
        <f t="shared" si="64"/>
        <v>105.99304442067839</v>
      </c>
      <c r="AE234" s="35">
        <f t="shared" si="65"/>
        <v>-67.317471836385039</v>
      </c>
      <c r="AF234" s="40">
        <f t="shared" si="66"/>
        <v>4109.13</v>
      </c>
      <c r="AG234" s="34">
        <f t="shared" si="67"/>
        <v>0</v>
      </c>
    </row>
    <row r="235" spans="1:33" x14ac:dyDescent="0.3">
      <c r="A235" s="4" t="str">
        <f>DATASETS!A134</f>
        <v>MCARTHUR HIGHWAY</v>
      </c>
      <c r="B235" s="4">
        <f>DATASETS!B134</f>
        <v>2024</v>
      </c>
      <c r="C235" s="9">
        <f>DATASETS!C134</f>
        <v>126009</v>
      </c>
      <c r="D235" s="6">
        <f>DATASETS!I134</f>
        <v>426</v>
      </c>
      <c r="E235" s="9">
        <f>DATASETS!H134</f>
        <v>4109.13</v>
      </c>
      <c r="F235" s="6">
        <f>DATASETS!D134</f>
        <v>473</v>
      </c>
      <c r="G235" s="11">
        <v>1</v>
      </c>
      <c r="H235" s="32">
        <f t="shared" si="54"/>
        <v>-0.55689977143625302</v>
      </c>
      <c r="I235" s="32">
        <f t="shared" si="55"/>
        <v>1.5425586470170847</v>
      </c>
      <c r="J235" s="32">
        <f t="shared" si="56"/>
        <v>-0.77735892241618842</v>
      </c>
      <c r="K235" s="11">
        <f t="shared" si="69"/>
        <v>0</v>
      </c>
      <c r="L235" s="11">
        <f t="shared" si="69"/>
        <v>0</v>
      </c>
      <c r="M235" s="11">
        <f t="shared" si="69"/>
        <v>0</v>
      </c>
      <c r="N235" s="11">
        <f t="shared" si="69"/>
        <v>0</v>
      </c>
      <c r="O235" s="11">
        <f t="shared" si="69"/>
        <v>0</v>
      </c>
      <c r="P235" s="11">
        <f t="shared" si="69"/>
        <v>0</v>
      </c>
      <c r="Q235" s="11">
        <f t="shared" si="69"/>
        <v>0</v>
      </c>
      <c r="R235" s="11">
        <f t="shared" si="69"/>
        <v>0</v>
      </c>
      <c r="S235" s="11">
        <f t="shared" si="69"/>
        <v>0</v>
      </c>
      <c r="T235" s="11">
        <f t="shared" si="69"/>
        <v>0</v>
      </c>
      <c r="U235" s="11">
        <f t="shared" si="69"/>
        <v>0</v>
      </c>
      <c r="V235" s="11">
        <f t="shared" si="69"/>
        <v>1</v>
      </c>
      <c r="W235" s="35">
        <f t="shared" si="57"/>
        <v>452.47728561817291</v>
      </c>
      <c r="X235" s="35">
        <f t="shared" si="58"/>
        <v>20.522714381827086</v>
      </c>
      <c r="Y235" s="35">
        <f t="shared" si="59"/>
        <v>20.522714381827086</v>
      </c>
      <c r="Z235" s="35">
        <f t="shared" si="60"/>
        <v>421.18180559805234</v>
      </c>
      <c r="AA235" s="35">
        <f t="shared" si="61"/>
        <v>1980755.5135510263</v>
      </c>
      <c r="AB235" s="35">
        <f t="shared" si="62"/>
        <v>700.10803477335003</v>
      </c>
      <c r="AC235" s="35">
        <f t="shared" si="63"/>
        <v>-101808.47216962479</v>
      </c>
      <c r="AD235" s="35">
        <f t="shared" si="64"/>
        <v>135.18873330302094</v>
      </c>
      <c r="AE235" s="35">
        <f t="shared" si="65"/>
        <v>-67.317471836385039</v>
      </c>
      <c r="AF235" s="40">
        <f t="shared" si="66"/>
        <v>4109.13</v>
      </c>
      <c r="AG235" s="34">
        <f t="shared" si="67"/>
        <v>0</v>
      </c>
    </row>
    <row r="236" spans="1:33" x14ac:dyDescent="0.3">
      <c r="A236" s="15" t="str">
        <f>DATASETS!A136</f>
        <v>EDSA</v>
      </c>
      <c r="B236" s="15">
        <f>DATASETS!B136</f>
        <v>2016</v>
      </c>
      <c r="C236" s="20">
        <f>DATASETS!C136</f>
        <v>364781</v>
      </c>
      <c r="D236" s="17">
        <f>DATASETS!I136</f>
        <v>9801</v>
      </c>
      <c r="E236" s="20">
        <f>DATASETS!H136</f>
        <v>285.60000000000002</v>
      </c>
      <c r="F236" s="17">
        <f>DATASETS!D136</f>
        <v>13354</v>
      </c>
      <c r="G236" s="22">
        <v>1</v>
      </c>
      <c r="H236" s="51">
        <f t="shared" si="54"/>
        <v>2.6948114036693793</v>
      </c>
      <c r="I236" s="51">
        <f t="shared" si="55"/>
        <v>-1.5425586470170847</v>
      </c>
      <c r="J236" s="51">
        <f t="shared" si="56"/>
        <v>4.4845471408702853</v>
      </c>
      <c r="K236" s="51">
        <f t="shared" ref="K236:V244" si="70">1/$B$10</f>
        <v>7.6923076923077108E-2</v>
      </c>
      <c r="L236" s="51">
        <f t="shared" si="70"/>
        <v>7.6923076923077108E-2</v>
      </c>
      <c r="M236" s="51">
        <f t="shared" si="70"/>
        <v>7.6923076923077108E-2</v>
      </c>
      <c r="N236" s="51">
        <f t="shared" si="70"/>
        <v>7.6923076923077108E-2</v>
      </c>
      <c r="O236" s="51">
        <f t="shared" si="70"/>
        <v>7.6923076923077108E-2</v>
      </c>
      <c r="P236" s="51">
        <f t="shared" si="70"/>
        <v>7.6923076923077108E-2</v>
      </c>
      <c r="Q236" s="51">
        <f t="shared" si="70"/>
        <v>7.6923076923077108E-2</v>
      </c>
      <c r="R236" s="51">
        <f t="shared" si="70"/>
        <v>7.6923076923077108E-2</v>
      </c>
      <c r="S236" s="51">
        <f t="shared" si="70"/>
        <v>7.6923076923077108E-2</v>
      </c>
      <c r="T236" s="51">
        <f t="shared" si="70"/>
        <v>7.6923076923077108E-2</v>
      </c>
      <c r="U236" s="51">
        <f t="shared" si="70"/>
        <v>7.6923076923077108E-2</v>
      </c>
      <c r="V236" s="51">
        <f t="shared" si="70"/>
        <v>7.6923076923077108E-2</v>
      </c>
      <c r="W236" s="36">
        <f t="shared" si="57"/>
        <v>5716.5969613225006</v>
      </c>
      <c r="X236" s="36">
        <f t="shared" si="58"/>
        <v>7637.4030386774994</v>
      </c>
      <c r="Y236" s="36">
        <f t="shared" si="59"/>
        <v>7637.4030386774994</v>
      </c>
      <c r="Z236" s="36">
        <f t="shared" si="60"/>
        <v>58329925.175200298</v>
      </c>
      <c r="AA236" s="36">
        <f t="shared" si="61"/>
        <v>131643653.86397839</v>
      </c>
      <c r="AB236" s="36">
        <f t="shared" si="62"/>
        <v>2026.7291148462205</v>
      </c>
      <c r="AC236" s="36">
        <f t="shared" si="63"/>
        <v>-101406.06714128634</v>
      </c>
      <c r="AD236" s="36">
        <f t="shared" si="64"/>
        <v>3110.2928993026012</v>
      </c>
      <c r="AE236" s="36">
        <f t="shared" si="65"/>
        <v>492.67192945704619</v>
      </c>
      <c r="AF236" s="52">
        <f t="shared" si="66"/>
        <v>488.65961538461647</v>
      </c>
      <c r="AG236" s="53">
        <f t="shared" si="67"/>
        <v>203.05961538461645</v>
      </c>
    </row>
    <row r="237" spans="1:33" x14ac:dyDescent="0.3">
      <c r="A237" s="15" t="str">
        <f>DATASETS!A137</f>
        <v>EDSA</v>
      </c>
      <c r="B237" s="15">
        <f>DATASETS!B137</f>
        <v>2017</v>
      </c>
      <c r="C237" s="20">
        <f>DATASETS!C137</f>
        <v>367728</v>
      </c>
      <c r="D237" s="17">
        <f>DATASETS!I137</f>
        <v>13354</v>
      </c>
      <c r="E237" s="20">
        <f>DATASETS!H137</f>
        <v>285.60000000000002</v>
      </c>
      <c r="F237" s="17">
        <f>DATASETS!D137</f>
        <v>12635</v>
      </c>
      <c r="G237" s="22">
        <v>1</v>
      </c>
      <c r="H237" s="51">
        <f t="shared" si="54"/>
        <v>2.7349450576700001</v>
      </c>
      <c r="I237" s="51">
        <f t="shared" si="55"/>
        <v>-1.1569189852628134</v>
      </c>
      <c r="J237" s="51">
        <f t="shared" si="56"/>
        <v>6.4787393801083484</v>
      </c>
      <c r="K237" s="51">
        <f t="shared" si="70"/>
        <v>7.6923076923077108E-2</v>
      </c>
      <c r="L237" s="51">
        <f t="shared" si="70"/>
        <v>7.6923076923077108E-2</v>
      </c>
      <c r="M237" s="51">
        <f t="shared" si="70"/>
        <v>7.6923076923077108E-2</v>
      </c>
      <c r="N237" s="51">
        <f t="shared" si="70"/>
        <v>7.6923076923077108E-2</v>
      </c>
      <c r="O237" s="51">
        <f t="shared" si="70"/>
        <v>7.6923076923077108E-2</v>
      </c>
      <c r="P237" s="51">
        <f t="shared" si="70"/>
        <v>7.6923076923077108E-2</v>
      </c>
      <c r="Q237" s="51">
        <f t="shared" si="70"/>
        <v>7.6923076923077108E-2</v>
      </c>
      <c r="R237" s="51">
        <f t="shared" si="70"/>
        <v>7.6923076923077108E-2</v>
      </c>
      <c r="S237" s="51">
        <f t="shared" si="70"/>
        <v>7.6923076923077108E-2</v>
      </c>
      <c r="T237" s="51">
        <f t="shared" si="70"/>
        <v>7.6923076923077108E-2</v>
      </c>
      <c r="U237" s="51">
        <f t="shared" si="70"/>
        <v>7.6923076923077108E-2</v>
      </c>
      <c r="V237" s="51">
        <f t="shared" si="70"/>
        <v>7.6923076923077108E-2</v>
      </c>
      <c r="W237" s="36">
        <f t="shared" si="57"/>
        <v>6810.1947231326212</v>
      </c>
      <c r="X237" s="36">
        <f t="shared" si="58"/>
        <v>5824.8052768673788</v>
      </c>
      <c r="Y237" s="36">
        <f t="shared" si="59"/>
        <v>5824.8052768673788</v>
      </c>
      <c r="Z237" s="36">
        <f t="shared" si="60"/>
        <v>33928356.513422064</v>
      </c>
      <c r="AA237" s="36">
        <f t="shared" si="61"/>
        <v>115661568.23149975</v>
      </c>
      <c r="AB237" s="36">
        <f t="shared" si="62"/>
        <v>2043.1026943403601</v>
      </c>
      <c r="AC237" s="36">
        <f t="shared" si="63"/>
        <v>-101456.36776982865</v>
      </c>
      <c r="AD237" s="36">
        <f t="shared" si="64"/>
        <v>4237.8177101608953</v>
      </c>
      <c r="AE237" s="36">
        <f t="shared" si="65"/>
        <v>492.67192945704619</v>
      </c>
      <c r="AF237" s="52">
        <f t="shared" si="66"/>
        <v>488.65961538461647</v>
      </c>
      <c r="AG237" s="53">
        <f t="shared" si="67"/>
        <v>203.05961538461645</v>
      </c>
    </row>
    <row r="238" spans="1:33" x14ac:dyDescent="0.3">
      <c r="A238" s="15" t="str">
        <f>DATASETS!A138</f>
        <v>EDSA</v>
      </c>
      <c r="B238" s="15">
        <f>DATASETS!B138</f>
        <v>2018</v>
      </c>
      <c r="C238" s="20">
        <f>DATASETS!C138</f>
        <v>383828</v>
      </c>
      <c r="D238" s="17">
        <f>DATASETS!I138</f>
        <v>12635</v>
      </c>
      <c r="E238" s="20">
        <f>DATASETS!H138</f>
        <v>285.60000000000002</v>
      </c>
      <c r="F238" s="17">
        <f>DATASETS!D138</f>
        <v>17276</v>
      </c>
      <c r="G238" s="22">
        <v>1</v>
      </c>
      <c r="H238" s="51">
        <f t="shared" si="54"/>
        <v>2.9542025498349136</v>
      </c>
      <c r="I238" s="51">
        <f t="shared" si="55"/>
        <v>-0.77127932350854234</v>
      </c>
      <c r="J238" s="51">
        <f t="shared" si="56"/>
        <v>6.075186264428031</v>
      </c>
      <c r="K238" s="51">
        <f t="shared" si="70"/>
        <v>7.6923076923077108E-2</v>
      </c>
      <c r="L238" s="51">
        <f t="shared" si="70"/>
        <v>7.6923076923077108E-2</v>
      </c>
      <c r="M238" s="51">
        <f t="shared" si="70"/>
        <v>7.6923076923077108E-2</v>
      </c>
      <c r="N238" s="51">
        <f t="shared" si="70"/>
        <v>7.6923076923077108E-2</v>
      </c>
      <c r="O238" s="51">
        <f t="shared" si="70"/>
        <v>7.6923076923077108E-2</v>
      </c>
      <c r="P238" s="51">
        <f t="shared" si="70"/>
        <v>7.6923076923077108E-2</v>
      </c>
      <c r="Q238" s="51">
        <f t="shared" si="70"/>
        <v>7.6923076923077108E-2</v>
      </c>
      <c r="R238" s="51">
        <f t="shared" si="70"/>
        <v>7.6923076923077108E-2</v>
      </c>
      <c r="S238" s="51">
        <f t="shared" si="70"/>
        <v>7.6923076923077108E-2</v>
      </c>
      <c r="T238" s="51">
        <f t="shared" si="70"/>
        <v>7.6923076923077108E-2</v>
      </c>
      <c r="U238" s="51">
        <f t="shared" si="70"/>
        <v>7.6923076923077108E-2</v>
      </c>
      <c r="V238" s="51">
        <f t="shared" si="70"/>
        <v>7.6923076923077108E-2</v>
      </c>
      <c r="W238" s="36">
        <f t="shared" si="57"/>
        <v>6621.1752985551011</v>
      </c>
      <c r="X238" s="36">
        <f t="shared" si="58"/>
        <v>10654.824701444899</v>
      </c>
      <c r="Y238" s="36">
        <f t="shared" si="59"/>
        <v>10654.824701444899</v>
      </c>
      <c r="Z238" s="36">
        <f t="shared" si="60"/>
        <v>113525289.41852038</v>
      </c>
      <c r="AA238" s="36">
        <f t="shared" si="61"/>
        <v>237024709.89816642</v>
      </c>
      <c r="AB238" s="36">
        <f t="shared" si="62"/>
        <v>2132.5545538095325</v>
      </c>
      <c r="AC238" s="36">
        <f t="shared" si="63"/>
        <v>-101506.66839837095</v>
      </c>
      <c r="AD238" s="36">
        <f t="shared" si="64"/>
        <v>4009.647054656501</v>
      </c>
      <c r="AE238" s="36">
        <f t="shared" si="65"/>
        <v>492.67192945704619</v>
      </c>
      <c r="AF238" s="52">
        <f t="shared" si="66"/>
        <v>488.65961538461647</v>
      </c>
      <c r="AG238" s="53">
        <f t="shared" si="67"/>
        <v>203.05961538461645</v>
      </c>
    </row>
    <row r="239" spans="1:33" x14ac:dyDescent="0.3">
      <c r="A239" s="15" t="str">
        <f>DATASETS!A139</f>
        <v>EDSA</v>
      </c>
      <c r="B239" s="15">
        <f>DATASETS!B139</f>
        <v>2019</v>
      </c>
      <c r="C239" s="20">
        <f>DATASETS!C139</f>
        <v>405882</v>
      </c>
      <c r="D239" s="17">
        <f>DATASETS!I139</f>
        <v>17276</v>
      </c>
      <c r="E239" s="20">
        <f>DATASETS!H139</f>
        <v>285.60000000000002</v>
      </c>
      <c r="F239" s="17">
        <f>DATASETS!D139</f>
        <v>17382</v>
      </c>
      <c r="G239" s="22">
        <v>1</v>
      </c>
      <c r="H239" s="51">
        <f t="shared" si="54"/>
        <v>3.2545444586675223</v>
      </c>
      <c r="I239" s="51">
        <f t="shared" si="55"/>
        <v>-0.38563966175427117</v>
      </c>
      <c r="J239" s="51">
        <f t="shared" si="56"/>
        <v>8.6800402419973679</v>
      </c>
      <c r="K239" s="51">
        <f t="shared" si="70"/>
        <v>7.6923076923077108E-2</v>
      </c>
      <c r="L239" s="51">
        <f t="shared" si="70"/>
        <v>7.6923076923077108E-2</v>
      </c>
      <c r="M239" s="51">
        <f t="shared" si="70"/>
        <v>7.6923076923077108E-2</v>
      </c>
      <c r="N239" s="51">
        <f t="shared" si="70"/>
        <v>7.6923076923077108E-2</v>
      </c>
      <c r="O239" s="51">
        <f t="shared" si="70"/>
        <v>7.6923076923077108E-2</v>
      </c>
      <c r="P239" s="51">
        <f t="shared" si="70"/>
        <v>7.6923076923077108E-2</v>
      </c>
      <c r="Q239" s="51">
        <f t="shared" si="70"/>
        <v>7.6923076923077108E-2</v>
      </c>
      <c r="R239" s="51">
        <f t="shared" si="70"/>
        <v>7.6923076923077108E-2</v>
      </c>
      <c r="S239" s="51">
        <f t="shared" si="70"/>
        <v>7.6923076923077108E-2</v>
      </c>
      <c r="T239" s="51">
        <f t="shared" si="70"/>
        <v>7.6923076923077108E-2</v>
      </c>
      <c r="U239" s="51">
        <f t="shared" si="70"/>
        <v>7.6923076923077108E-2</v>
      </c>
      <c r="V239" s="51">
        <f t="shared" si="70"/>
        <v>7.6923076923077108E-2</v>
      </c>
      <c r="W239" s="36">
        <f t="shared" si="57"/>
        <v>8166.2026157736473</v>
      </c>
      <c r="X239" s="36">
        <f t="shared" si="58"/>
        <v>9215.7973842263527</v>
      </c>
      <c r="Y239" s="36">
        <f t="shared" si="59"/>
        <v>9215.7973842263527</v>
      </c>
      <c r="Z239" s="36">
        <f t="shared" si="60"/>
        <v>84930921.42711328</v>
      </c>
      <c r="AA239" s="36">
        <f t="shared" si="61"/>
        <v>240299814.54773906</v>
      </c>
      <c r="AB239" s="36">
        <f t="shared" si="62"/>
        <v>2255.0869332339503</v>
      </c>
      <c r="AC239" s="36">
        <f t="shared" si="63"/>
        <v>-101556.96902691326</v>
      </c>
      <c r="AD239" s="36">
        <f t="shared" si="64"/>
        <v>5482.4426209929334</v>
      </c>
      <c r="AE239" s="36">
        <f t="shared" si="65"/>
        <v>492.67192945704619</v>
      </c>
      <c r="AF239" s="52">
        <f t="shared" si="66"/>
        <v>488.65961538461647</v>
      </c>
      <c r="AG239" s="53">
        <f t="shared" si="67"/>
        <v>203.05961538461645</v>
      </c>
    </row>
    <row r="240" spans="1:33" x14ac:dyDescent="0.3">
      <c r="A240" s="15" t="str">
        <f>DATASETS!A140</f>
        <v>EDSA</v>
      </c>
      <c r="B240" s="15">
        <f>DATASETS!B140</f>
        <v>2020</v>
      </c>
      <c r="C240" s="20">
        <f>DATASETS!C140</f>
        <v>328114</v>
      </c>
      <c r="D240" s="17">
        <f>DATASETS!I140</f>
        <v>17382</v>
      </c>
      <c r="E240" s="20">
        <f>DATASETS!H140</f>
        <v>285.60000000000002</v>
      </c>
      <c r="F240" s="17">
        <f>DATASETS!D140</f>
        <v>7319</v>
      </c>
      <c r="G240" s="22">
        <v>1</v>
      </c>
      <c r="H240" s="51">
        <f t="shared" si="54"/>
        <v>2.1954626791221199</v>
      </c>
      <c r="I240" s="51">
        <f t="shared" si="55"/>
        <v>0</v>
      </c>
      <c r="J240" s="51">
        <f t="shared" si="56"/>
        <v>8.739534859886259</v>
      </c>
      <c r="K240" s="51">
        <f t="shared" si="70"/>
        <v>7.6923076923077108E-2</v>
      </c>
      <c r="L240" s="51">
        <f t="shared" si="70"/>
        <v>7.6923076923077108E-2</v>
      </c>
      <c r="M240" s="51">
        <f t="shared" si="70"/>
        <v>7.6923076923077108E-2</v>
      </c>
      <c r="N240" s="51">
        <f t="shared" si="70"/>
        <v>7.6923076923077108E-2</v>
      </c>
      <c r="O240" s="51">
        <f t="shared" si="70"/>
        <v>7.6923076923077108E-2</v>
      </c>
      <c r="P240" s="51">
        <f t="shared" si="70"/>
        <v>7.6923076923077108E-2</v>
      </c>
      <c r="Q240" s="51">
        <f t="shared" si="70"/>
        <v>7.6923076923077108E-2</v>
      </c>
      <c r="R240" s="51">
        <f t="shared" si="70"/>
        <v>7.6923076923077108E-2</v>
      </c>
      <c r="S240" s="51">
        <f t="shared" si="70"/>
        <v>7.6923076923077108E-2</v>
      </c>
      <c r="T240" s="51">
        <f t="shared" si="70"/>
        <v>7.6923076923077108E-2</v>
      </c>
      <c r="U240" s="51">
        <f t="shared" si="70"/>
        <v>7.6923076923077108E-2</v>
      </c>
      <c r="V240" s="51">
        <f t="shared" si="70"/>
        <v>7.6923076923077108E-2</v>
      </c>
      <c r="W240" s="36">
        <f t="shared" si="57"/>
        <v>7717.4602370182092</v>
      </c>
      <c r="X240" s="36">
        <f t="shared" si="58"/>
        <v>-398.46023701820923</v>
      </c>
      <c r="Y240" s="36">
        <f t="shared" si="59"/>
        <v>398.46023701820923</v>
      </c>
      <c r="Z240" s="36">
        <f t="shared" si="60"/>
        <v>158770.56048460747</v>
      </c>
      <c r="AA240" s="36">
        <f t="shared" si="61"/>
        <v>29578444.33406385</v>
      </c>
      <c r="AB240" s="36">
        <f t="shared" si="62"/>
        <v>1823.0066719172676</v>
      </c>
      <c r="AC240" s="36">
        <f t="shared" si="63"/>
        <v>-101607.26965545557</v>
      </c>
      <c r="AD240" s="36">
        <f t="shared" si="64"/>
        <v>5516.0811320965022</v>
      </c>
      <c r="AE240" s="36">
        <f t="shared" si="65"/>
        <v>492.67192945704619</v>
      </c>
      <c r="AF240" s="52">
        <f t="shared" si="66"/>
        <v>488.65961538461647</v>
      </c>
      <c r="AG240" s="53">
        <f t="shared" si="67"/>
        <v>203.05961538461645</v>
      </c>
    </row>
    <row r="241" spans="1:33" x14ac:dyDescent="0.3">
      <c r="A241" s="15" t="str">
        <f>DATASETS!A141</f>
        <v>EDSA</v>
      </c>
      <c r="B241" s="15">
        <f>DATASETS!B141</f>
        <v>2021</v>
      </c>
      <c r="C241" s="20">
        <f>DATASETS!C141</f>
        <v>372271</v>
      </c>
      <c r="D241" s="17">
        <f>DATASETS!I141</f>
        <v>7319</v>
      </c>
      <c r="E241" s="20">
        <f>DATASETS!H141</f>
        <v>285.60000000000002</v>
      </c>
      <c r="F241" s="17">
        <f>DATASETS!D141</f>
        <v>6523</v>
      </c>
      <c r="G241" s="22">
        <v>1</v>
      </c>
      <c r="H241" s="51">
        <f t="shared" si="54"/>
        <v>2.7968138021982738</v>
      </c>
      <c r="I241" s="51">
        <f t="shared" si="55"/>
        <v>0.38563966175427117</v>
      </c>
      <c r="J241" s="51">
        <f t="shared" si="56"/>
        <v>3.0914750503020691</v>
      </c>
      <c r="K241" s="51">
        <f t="shared" si="70"/>
        <v>7.6923076923077108E-2</v>
      </c>
      <c r="L241" s="51">
        <f t="shared" si="70"/>
        <v>7.6923076923077108E-2</v>
      </c>
      <c r="M241" s="51">
        <f t="shared" si="70"/>
        <v>7.6923076923077108E-2</v>
      </c>
      <c r="N241" s="51">
        <f t="shared" si="70"/>
        <v>7.6923076923077108E-2</v>
      </c>
      <c r="O241" s="51">
        <f t="shared" si="70"/>
        <v>7.6923076923077108E-2</v>
      </c>
      <c r="P241" s="51">
        <f t="shared" si="70"/>
        <v>7.6923076923077108E-2</v>
      </c>
      <c r="Q241" s="51">
        <f t="shared" si="70"/>
        <v>7.6923076923077108E-2</v>
      </c>
      <c r="R241" s="51">
        <f t="shared" si="70"/>
        <v>7.6923076923077108E-2</v>
      </c>
      <c r="S241" s="51">
        <f t="shared" si="70"/>
        <v>7.6923076923077108E-2</v>
      </c>
      <c r="T241" s="51">
        <f t="shared" si="70"/>
        <v>7.6923076923077108E-2</v>
      </c>
      <c r="U241" s="51">
        <f t="shared" si="70"/>
        <v>7.6923076923077108E-2</v>
      </c>
      <c r="V241" s="51">
        <f t="shared" si="70"/>
        <v>7.6923076923077108E-2</v>
      </c>
      <c r="W241" s="36">
        <f t="shared" si="57"/>
        <v>4719.0594683860345</v>
      </c>
      <c r="X241" s="36">
        <f t="shared" si="58"/>
        <v>1803.9405316139655</v>
      </c>
      <c r="Y241" s="36">
        <f t="shared" si="59"/>
        <v>1803.9405316139655</v>
      </c>
      <c r="Z241" s="36">
        <f t="shared" si="60"/>
        <v>3254201.4415996764</v>
      </c>
      <c r="AA241" s="36">
        <f t="shared" si="61"/>
        <v>21553798.248593763</v>
      </c>
      <c r="AB241" s="36">
        <f t="shared" si="62"/>
        <v>2068.3436755557918</v>
      </c>
      <c r="AC241" s="36">
        <f t="shared" si="63"/>
        <v>-101657.57028399788</v>
      </c>
      <c r="AD241" s="36">
        <f t="shared" si="64"/>
        <v>2322.6439883680991</v>
      </c>
      <c r="AE241" s="36">
        <f t="shared" si="65"/>
        <v>492.67192945704619</v>
      </c>
      <c r="AF241" s="52">
        <f t="shared" si="66"/>
        <v>488.65961538461647</v>
      </c>
      <c r="AG241" s="53">
        <f t="shared" si="67"/>
        <v>203.05961538461645</v>
      </c>
    </row>
    <row r="242" spans="1:33" x14ac:dyDescent="0.3">
      <c r="A242" s="15" t="str">
        <f>DATASETS!A142</f>
        <v>EDSA</v>
      </c>
      <c r="B242" s="15">
        <f>DATASETS!B142</f>
        <v>2022</v>
      </c>
      <c r="C242" s="20">
        <f>DATASETS!C142</f>
        <v>385096</v>
      </c>
      <c r="D242" s="17">
        <f>DATASETS!I142</f>
        <v>6523</v>
      </c>
      <c r="E242" s="20">
        <f>DATASETS!H142</f>
        <v>285.60000000000002</v>
      </c>
      <c r="F242" s="17">
        <f>DATASETS!D142</f>
        <v>8009</v>
      </c>
      <c r="G242" s="22">
        <v>1</v>
      </c>
      <c r="H242" s="51">
        <f t="shared" si="54"/>
        <v>2.9714707796526221</v>
      </c>
      <c r="I242" s="51">
        <f t="shared" si="55"/>
        <v>0.77127932350854234</v>
      </c>
      <c r="J242" s="51">
        <f t="shared" si="56"/>
        <v>2.6447041461552923</v>
      </c>
      <c r="K242" s="51">
        <f t="shared" si="70"/>
        <v>7.6923076923077108E-2</v>
      </c>
      <c r="L242" s="51">
        <f t="shared" si="70"/>
        <v>7.6923076923077108E-2</v>
      </c>
      <c r="M242" s="51">
        <f t="shared" si="70"/>
        <v>7.6923076923077108E-2</v>
      </c>
      <c r="N242" s="51">
        <f t="shared" si="70"/>
        <v>7.6923076923077108E-2</v>
      </c>
      <c r="O242" s="51">
        <f t="shared" si="70"/>
        <v>7.6923076923077108E-2</v>
      </c>
      <c r="P242" s="51">
        <f t="shared" si="70"/>
        <v>7.6923076923077108E-2</v>
      </c>
      <c r="Q242" s="51">
        <f t="shared" si="70"/>
        <v>7.6923076923077108E-2</v>
      </c>
      <c r="R242" s="51">
        <f t="shared" si="70"/>
        <v>7.6923076923077108E-2</v>
      </c>
      <c r="S242" s="51">
        <f t="shared" si="70"/>
        <v>7.6923076923077108E-2</v>
      </c>
      <c r="T242" s="51">
        <f t="shared" si="70"/>
        <v>7.6923076923077108E-2</v>
      </c>
      <c r="U242" s="51">
        <f t="shared" si="70"/>
        <v>7.6923076923077108E-2</v>
      </c>
      <c r="V242" s="51">
        <f t="shared" si="70"/>
        <v>7.6923076923077108E-2</v>
      </c>
      <c r="W242" s="36">
        <f t="shared" si="57"/>
        <v>4487.4085688115438</v>
      </c>
      <c r="X242" s="36">
        <f t="shared" si="58"/>
        <v>3521.5914311884562</v>
      </c>
      <c r="Y242" s="36">
        <f t="shared" si="59"/>
        <v>3521.5914311884562</v>
      </c>
      <c r="Z242" s="36">
        <f t="shared" si="60"/>
        <v>12401606.20821996</v>
      </c>
      <c r="AA242" s="36">
        <f t="shared" si="61"/>
        <v>37559821.769961283</v>
      </c>
      <c r="AB242" s="36">
        <f t="shared" si="62"/>
        <v>2139.5995822447444</v>
      </c>
      <c r="AC242" s="36">
        <f t="shared" si="63"/>
        <v>-101707.87091254018</v>
      </c>
      <c r="AD242" s="36">
        <f t="shared" si="64"/>
        <v>2070.0378106469611</v>
      </c>
      <c r="AE242" s="36">
        <f t="shared" si="65"/>
        <v>492.67192945704619</v>
      </c>
      <c r="AF242" s="52">
        <f t="shared" si="66"/>
        <v>488.65961538461647</v>
      </c>
      <c r="AG242" s="53">
        <f t="shared" si="67"/>
        <v>203.05961538461645</v>
      </c>
    </row>
    <row r="243" spans="1:33" x14ac:dyDescent="0.3">
      <c r="A243" s="15" t="str">
        <f>DATASETS!A143</f>
        <v>EDSA</v>
      </c>
      <c r="B243" s="15">
        <f>DATASETS!B143</f>
        <v>2023</v>
      </c>
      <c r="C243" s="20">
        <f>DATASETS!C143</f>
        <v>407342</v>
      </c>
      <c r="D243" s="17">
        <f>DATASETS!I143</f>
        <v>8009</v>
      </c>
      <c r="E243" s="20">
        <f>DATASETS!H143</f>
        <v>285.60000000000002</v>
      </c>
      <c r="F243" s="17">
        <f>DATASETS!D143</f>
        <v>8727</v>
      </c>
      <c r="G243" s="22">
        <v>1</v>
      </c>
      <c r="H243" s="51">
        <f t="shared" si="54"/>
        <v>3.2744274362178807</v>
      </c>
      <c r="I243" s="51">
        <f t="shared" si="55"/>
        <v>1.1569189852628134</v>
      </c>
      <c r="J243" s="51">
        <f t="shared" si="56"/>
        <v>3.4787513365599536</v>
      </c>
      <c r="K243" s="51">
        <f t="shared" si="70"/>
        <v>7.6923076923077108E-2</v>
      </c>
      <c r="L243" s="51">
        <f t="shared" si="70"/>
        <v>7.6923076923077108E-2</v>
      </c>
      <c r="M243" s="51">
        <f t="shared" si="70"/>
        <v>7.6923076923077108E-2</v>
      </c>
      <c r="N243" s="51">
        <f t="shared" si="70"/>
        <v>7.6923076923077108E-2</v>
      </c>
      <c r="O243" s="51">
        <f t="shared" si="70"/>
        <v>7.6923076923077108E-2</v>
      </c>
      <c r="P243" s="51">
        <f t="shared" si="70"/>
        <v>7.6923076923077108E-2</v>
      </c>
      <c r="Q243" s="51">
        <f t="shared" si="70"/>
        <v>7.6923076923077108E-2</v>
      </c>
      <c r="R243" s="51">
        <f t="shared" si="70"/>
        <v>7.6923076923077108E-2</v>
      </c>
      <c r="S243" s="51">
        <f t="shared" si="70"/>
        <v>7.6923076923077108E-2</v>
      </c>
      <c r="T243" s="51">
        <f t="shared" si="70"/>
        <v>7.6923076923077108E-2</v>
      </c>
      <c r="U243" s="51">
        <f t="shared" si="70"/>
        <v>7.6923076923077108E-2</v>
      </c>
      <c r="V243" s="51">
        <f t="shared" si="70"/>
        <v>7.6923076923077108E-2</v>
      </c>
      <c r="W243" s="36">
        <f t="shared" si="57"/>
        <v>5032.2809191266551</v>
      </c>
      <c r="X243" s="36">
        <f t="shared" si="58"/>
        <v>3694.7190808733449</v>
      </c>
      <c r="Y243" s="36">
        <f t="shared" si="59"/>
        <v>3694.7190808733449</v>
      </c>
      <c r="Z243" s="36">
        <f t="shared" si="60"/>
        <v>13650949.086569574</v>
      </c>
      <c r="AA243" s="36">
        <f t="shared" si="61"/>
        <v>46876025.188764706</v>
      </c>
      <c r="AB243" s="36">
        <f t="shared" si="62"/>
        <v>2263.1987167634529</v>
      </c>
      <c r="AC243" s="36">
        <f t="shared" si="63"/>
        <v>-101758.17154108248</v>
      </c>
      <c r="AD243" s="36">
        <f t="shared" si="64"/>
        <v>2541.6116549856683</v>
      </c>
      <c r="AE243" s="36">
        <f t="shared" si="65"/>
        <v>492.67192945704619</v>
      </c>
      <c r="AF243" s="52">
        <f t="shared" si="66"/>
        <v>488.65961538461647</v>
      </c>
      <c r="AG243" s="53">
        <f t="shared" si="67"/>
        <v>203.05961538461645</v>
      </c>
    </row>
    <row r="244" spans="1:33" x14ac:dyDescent="0.3">
      <c r="A244" s="15" t="str">
        <f>DATASETS!A144</f>
        <v>EDSA</v>
      </c>
      <c r="B244" s="15">
        <f>DATASETS!B144</f>
        <v>2024</v>
      </c>
      <c r="C244" s="20">
        <f>DATASETS!C144</f>
        <v>419952</v>
      </c>
      <c r="D244" s="17">
        <f>DATASETS!I144</f>
        <v>8727</v>
      </c>
      <c r="E244" s="20">
        <f>DATASETS!H144</f>
        <v>285.60000000000002</v>
      </c>
      <c r="F244" s="17">
        <f>DATASETS!D144</f>
        <v>8873</v>
      </c>
      <c r="G244" s="22">
        <v>1</v>
      </c>
      <c r="H244" s="51">
        <f t="shared" si="54"/>
        <v>3.4461564409507726</v>
      </c>
      <c r="I244" s="51">
        <f t="shared" si="55"/>
        <v>1.5425586470170847</v>
      </c>
      <c r="J244" s="51">
        <f t="shared" si="56"/>
        <v>3.8817431822601871</v>
      </c>
      <c r="K244" s="51">
        <f t="shared" si="70"/>
        <v>7.6923076923077108E-2</v>
      </c>
      <c r="L244" s="51">
        <f t="shared" si="70"/>
        <v>7.6923076923077108E-2</v>
      </c>
      <c r="M244" s="51">
        <f t="shared" si="70"/>
        <v>7.6923076923077108E-2</v>
      </c>
      <c r="N244" s="51">
        <f t="shared" si="70"/>
        <v>7.6923076923077108E-2</v>
      </c>
      <c r="O244" s="51">
        <f t="shared" si="70"/>
        <v>7.6923076923077108E-2</v>
      </c>
      <c r="P244" s="51">
        <f t="shared" si="70"/>
        <v>7.6923076923077108E-2</v>
      </c>
      <c r="Q244" s="51">
        <f t="shared" si="70"/>
        <v>7.6923076923077108E-2</v>
      </c>
      <c r="R244" s="51">
        <f t="shared" si="70"/>
        <v>7.6923076923077108E-2</v>
      </c>
      <c r="S244" s="51">
        <f t="shared" si="70"/>
        <v>7.6923076923077108E-2</v>
      </c>
      <c r="T244" s="51">
        <f t="shared" si="70"/>
        <v>7.6923076923077108E-2</v>
      </c>
      <c r="U244" s="51">
        <f t="shared" si="70"/>
        <v>7.6923076923077108E-2</v>
      </c>
      <c r="V244" s="51">
        <f t="shared" si="70"/>
        <v>7.6923076923077108E-2</v>
      </c>
      <c r="W244" s="36">
        <f t="shared" si="57"/>
        <v>5279.8949648683702</v>
      </c>
      <c r="X244" s="36">
        <f t="shared" si="58"/>
        <v>3593.1050351316298</v>
      </c>
      <c r="Y244" s="36">
        <f t="shared" si="59"/>
        <v>3593.1050351316298</v>
      </c>
      <c r="Z244" s="36">
        <f t="shared" si="60"/>
        <v>12910403.793488272</v>
      </c>
      <c r="AA244" s="36">
        <f t="shared" si="61"/>
        <v>48896550.385345899</v>
      </c>
      <c r="AB244" s="36">
        <f t="shared" si="62"/>
        <v>2333.2600799874444</v>
      </c>
      <c r="AC244" s="36">
        <f t="shared" si="63"/>
        <v>-101808.47216962479</v>
      </c>
      <c r="AD244" s="36">
        <f t="shared" si="64"/>
        <v>2769.4649660456894</v>
      </c>
      <c r="AE244" s="36">
        <f t="shared" si="65"/>
        <v>492.67192945704619</v>
      </c>
      <c r="AF244" s="52">
        <f t="shared" si="66"/>
        <v>488.65961538461647</v>
      </c>
      <c r="AG244" s="53">
        <f t="shared" si="67"/>
        <v>203.05961538461645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A1:AY93"/>
  <sheetViews>
    <sheetView showGridLines="0" tabSelected="1" topLeftCell="A70" zoomScaleNormal="100" workbookViewId="0">
      <selection activeCell="A32" sqref="A32"/>
    </sheetView>
  </sheetViews>
  <sheetFormatPr defaultColWidth="8.6640625" defaultRowHeight="14.4" x14ac:dyDescent="0.3"/>
  <cols>
    <col min="1" max="1" width="52" customWidth="1"/>
    <col min="2" max="2" width="20.44140625" customWidth="1"/>
    <col min="3" max="3" width="20.88671875" customWidth="1"/>
    <col min="4" max="4" width="21.109375" customWidth="1"/>
    <col min="5" max="5" width="20" customWidth="1"/>
    <col min="6" max="6" width="19.88671875" customWidth="1"/>
    <col min="7" max="7" width="17.5546875" customWidth="1"/>
    <col min="8" max="10" width="15" customWidth="1"/>
    <col min="11" max="11" width="17" customWidth="1"/>
    <col min="12" max="26" width="15" customWidth="1"/>
    <col min="27" max="27" width="17.109375" customWidth="1"/>
    <col min="28" max="28" width="16.6640625" customWidth="1"/>
    <col min="29" max="29" width="16.33203125" customWidth="1"/>
    <col min="30" max="41" width="15" customWidth="1"/>
  </cols>
  <sheetData>
    <row r="1" spans="1:51" ht="16.8" x14ac:dyDescent="0.3">
      <c r="A1" s="1" t="s">
        <v>392</v>
      </c>
    </row>
    <row r="2" spans="1:51" x14ac:dyDescent="0.3">
      <c r="A2" s="2" t="s">
        <v>393</v>
      </c>
    </row>
    <row r="5" spans="1:51" s="83" customFormat="1" x14ac:dyDescent="0.3">
      <c r="A5" s="80" t="s">
        <v>394</v>
      </c>
      <c r="B5" s="80"/>
      <c r="C5" s="80"/>
      <c r="D5" s="80"/>
      <c r="E5" s="80"/>
      <c r="F5" s="80"/>
      <c r="G5" s="80" t="s">
        <v>395</v>
      </c>
      <c r="H5" s="81"/>
      <c r="I5" s="81"/>
      <c r="J5" s="81"/>
      <c r="K5" s="80" t="s">
        <v>396</v>
      </c>
      <c r="L5" s="82"/>
      <c r="M5" s="82"/>
      <c r="N5" s="82"/>
      <c r="O5" s="80" t="s">
        <v>397</v>
      </c>
      <c r="P5" s="81"/>
      <c r="Q5" s="81"/>
      <c r="R5" s="81"/>
      <c r="S5" s="80" t="s">
        <v>398</v>
      </c>
      <c r="T5" s="82"/>
      <c r="U5" s="82"/>
      <c r="V5" s="82"/>
      <c r="W5" s="80" t="s">
        <v>399</v>
      </c>
      <c r="X5" s="81"/>
      <c r="Y5" s="81"/>
      <c r="Z5" s="81"/>
      <c r="AA5" s="80" t="s">
        <v>400</v>
      </c>
      <c r="AB5" s="82"/>
      <c r="AC5" s="82"/>
      <c r="AD5" s="82"/>
      <c r="AE5" s="82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1" ht="57.75" customHeight="1" x14ac:dyDescent="0.3">
      <c r="A6" s="3" t="s">
        <v>3</v>
      </c>
      <c r="B6" s="3" t="s">
        <v>401</v>
      </c>
      <c r="C6" s="3" t="s">
        <v>7</v>
      </c>
      <c r="D6" s="3" t="s">
        <v>402</v>
      </c>
      <c r="E6" s="3" t="s">
        <v>403</v>
      </c>
      <c r="F6" s="3" t="s">
        <v>404</v>
      </c>
      <c r="G6" s="3" t="s">
        <v>405</v>
      </c>
      <c r="H6" s="3" t="s">
        <v>406</v>
      </c>
      <c r="I6" s="3" t="s">
        <v>407</v>
      </c>
      <c r="J6" s="3" t="s">
        <v>408</v>
      </c>
      <c r="K6" s="3" t="s">
        <v>405</v>
      </c>
      <c r="L6" s="3" t="s">
        <v>406</v>
      </c>
      <c r="M6" s="3" t="s">
        <v>407</v>
      </c>
      <c r="N6" s="3" t="s">
        <v>408</v>
      </c>
      <c r="O6" s="3" t="s">
        <v>405</v>
      </c>
      <c r="P6" s="3" t="s">
        <v>406</v>
      </c>
      <c r="Q6" s="3" t="s">
        <v>407</v>
      </c>
      <c r="R6" s="3" t="s">
        <v>408</v>
      </c>
      <c r="S6" s="3" t="s">
        <v>405</v>
      </c>
      <c r="T6" s="3" t="s">
        <v>406</v>
      </c>
      <c r="U6" s="3" t="s">
        <v>407</v>
      </c>
      <c r="V6" s="3" t="s">
        <v>408</v>
      </c>
      <c r="W6" s="3" t="s">
        <v>405</v>
      </c>
      <c r="X6" s="3" t="s">
        <v>406</v>
      </c>
      <c r="Y6" s="3" t="s">
        <v>407</v>
      </c>
      <c r="Z6" s="3" t="s">
        <v>408</v>
      </c>
      <c r="AA6" s="3" t="s">
        <v>409</v>
      </c>
      <c r="AB6" s="3" t="s">
        <v>410</v>
      </c>
      <c r="AC6" s="3" t="s">
        <v>411</v>
      </c>
      <c r="AD6" s="3" t="s">
        <v>412</v>
      </c>
      <c r="AE6" s="3" t="s">
        <v>413</v>
      </c>
      <c r="AF6" s="63"/>
      <c r="AG6" s="63"/>
    </row>
    <row r="7" spans="1:51" x14ac:dyDescent="0.3">
      <c r="A7" s="4">
        <f>DATASETS!B136</f>
        <v>2016</v>
      </c>
      <c r="B7" s="6">
        <f>DATASETS!C136</f>
        <v>364781</v>
      </c>
      <c r="C7" s="54">
        <f>DATASETS!F136</f>
        <v>23.8</v>
      </c>
      <c r="D7" s="9">
        <f>DATASETS!H136</f>
        <v>285.60000000000002</v>
      </c>
      <c r="E7" s="6">
        <f>DATASETS!D136</f>
        <v>13354</v>
      </c>
      <c r="F7" s="6">
        <f>DATASETS!I136</f>
        <v>9801</v>
      </c>
      <c r="G7" s="55">
        <f>LR_CAL!K170</f>
        <v>4923.7804687605585</v>
      </c>
      <c r="H7" s="35">
        <f t="shared" ref="H7:H15" si="0">$E7-G7</f>
        <v>8430.2195312394415</v>
      </c>
      <c r="I7" s="35">
        <f t="shared" ref="I7:I15" si="1">ABS(H7)</f>
        <v>8430.2195312394415</v>
      </c>
      <c r="J7" s="35">
        <f t="shared" ref="J7:J15" si="2">H7^2</f>
        <v>71068601.344890952</v>
      </c>
      <c r="K7" s="55">
        <f>LR_CAL!P170</f>
        <v>9952.7833130938016</v>
      </c>
      <c r="L7" s="35">
        <f t="shared" ref="L7:L15" si="3">$E7-K7</f>
        <v>3401.2166869061984</v>
      </c>
      <c r="M7" s="35">
        <f t="shared" ref="M7:M15" si="4">ABS(L7)</f>
        <v>3401.2166869061984</v>
      </c>
      <c r="N7" s="35">
        <f t="shared" ref="N7:N15" si="5">L7^2</f>
        <v>11568274.951289177</v>
      </c>
      <c r="O7" s="55">
        <f>MLR_CALC!W236</f>
        <v>5716.5969613225006</v>
      </c>
      <c r="P7" s="35">
        <f t="shared" ref="P7:P15" si="6">$E7-O7</f>
        <v>7637.4030386774994</v>
      </c>
      <c r="Q7" s="35">
        <f t="shared" ref="Q7:Q15" si="7">ABS(P7)</f>
        <v>7637.4030386774994</v>
      </c>
      <c r="R7" s="35">
        <f t="shared" ref="R7:R15" si="8">P7^2</f>
        <v>58329925.175200298</v>
      </c>
      <c r="S7" s="55">
        <f>RF_CAL!AY207</f>
        <v>3765.491428995841</v>
      </c>
      <c r="T7" s="35">
        <f t="shared" ref="T7:T15" si="9">$E7-S7</f>
        <v>9588.5085710041585</v>
      </c>
      <c r="U7" s="35">
        <f t="shared" ref="U7:U15" si="10">ABS(T7)</f>
        <v>9588.5085710041585</v>
      </c>
      <c r="V7" s="35">
        <f t="shared" ref="V7:V15" si="11">T7^2</f>
        <v>91939496.616220206</v>
      </c>
      <c r="W7" s="55">
        <f>RF_CAL!CI207</f>
        <v>6959.8436507936512</v>
      </c>
      <c r="X7" s="35">
        <f t="shared" ref="X7:X15" si="12">$E7-W7</f>
        <v>6394.1563492063488</v>
      </c>
      <c r="Y7" s="35">
        <f t="shared" ref="Y7:Y15" si="13">ABS(X7)</f>
        <v>6394.1563492063488</v>
      </c>
      <c r="Z7" s="35">
        <f t="shared" ref="Z7:Z15" si="14">X7^2</f>
        <v>40885235.418095864</v>
      </c>
      <c r="AA7" s="56">
        <f t="shared" ref="AA7:AA15" si="15">1-I7/$E7</f>
        <v>0.3687120315082042</v>
      </c>
      <c r="AB7" s="56">
        <f t="shared" ref="AB7:AB15" si="16">1-M7/$E7</f>
        <v>0.74530352801361399</v>
      </c>
      <c r="AC7" s="56">
        <f t="shared" ref="AC7:AC15" si="17">1-Q7/$E7</f>
        <v>0.42808124616762777</v>
      </c>
      <c r="AD7" s="56">
        <f t="shared" ref="AD7:AD15" si="18">1-U7/$E7</f>
        <v>0.28197479624051536</v>
      </c>
      <c r="AE7" s="56">
        <f t="shared" ref="AE7:AE15" si="19">1-Y7/$E7</f>
        <v>0.52118044412113607</v>
      </c>
      <c r="AF7" s="56"/>
      <c r="AG7" s="56"/>
    </row>
    <row r="8" spans="1:51" x14ac:dyDescent="0.3">
      <c r="A8" s="4">
        <f>DATASETS!B137</f>
        <v>2017</v>
      </c>
      <c r="B8" s="6">
        <f>DATASETS!C137</f>
        <v>367728</v>
      </c>
      <c r="C8" s="54">
        <f>DATASETS!F137</f>
        <v>23.8</v>
      </c>
      <c r="D8" s="9">
        <f>DATASETS!H137</f>
        <v>285.60000000000002</v>
      </c>
      <c r="E8" s="6">
        <f>DATASETS!D137</f>
        <v>12635</v>
      </c>
      <c r="F8" s="6">
        <f>DATASETS!I137</f>
        <v>13354</v>
      </c>
      <c r="G8" s="55">
        <f>LR_CAL!K171</f>
        <v>4969.1054414014334</v>
      </c>
      <c r="H8" s="35">
        <f t="shared" si="0"/>
        <v>7665.8945585985666</v>
      </c>
      <c r="I8" s="35">
        <f t="shared" si="1"/>
        <v>7665.8945585985666</v>
      </c>
      <c r="J8" s="35">
        <f t="shared" si="2"/>
        <v>58765939.383551113</v>
      </c>
      <c r="K8" s="55">
        <f>LR_CAL!P171</f>
        <v>13222.738859079716</v>
      </c>
      <c r="L8" s="35">
        <f t="shared" si="3"/>
        <v>-587.73885907971635</v>
      </c>
      <c r="M8" s="35">
        <f t="shared" si="4"/>
        <v>587.73885907971635</v>
      </c>
      <c r="N8" s="35">
        <f t="shared" si="5"/>
        <v>345436.96647232666</v>
      </c>
      <c r="O8" s="55">
        <f>MLR_CALC!W237</f>
        <v>6810.1947231326212</v>
      </c>
      <c r="P8" s="35">
        <f t="shared" si="6"/>
        <v>5824.8052768673788</v>
      </c>
      <c r="Q8" s="35">
        <f t="shared" si="7"/>
        <v>5824.8052768673788</v>
      </c>
      <c r="R8" s="35">
        <f t="shared" si="8"/>
        <v>33928356.513422064</v>
      </c>
      <c r="S8" s="55">
        <f>RF_CAL!AY208</f>
        <v>3765.491428995841</v>
      </c>
      <c r="T8" s="35">
        <f t="shared" si="9"/>
        <v>8869.5085710041585</v>
      </c>
      <c r="U8" s="35">
        <f t="shared" si="10"/>
        <v>8869.5085710041585</v>
      </c>
      <c r="V8" s="35">
        <f t="shared" si="11"/>
        <v>78668182.291116223</v>
      </c>
      <c r="W8" s="55">
        <f>RF_CAL!CI208</f>
        <v>6959.8436507936512</v>
      </c>
      <c r="X8" s="35">
        <f t="shared" si="12"/>
        <v>5675.1563492063488</v>
      </c>
      <c r="Y8" s="35">
        <f t="shared" si="13"/>
        <v>5675.1563492063488</v>
      </c>
      <c r="Z8" s="35">
        <f t="shared" si="14"/>
        <v>32207399.587937132</v>
      </c>
      <c r="AA8" s="56">
        <f t="shared" si="15"/>
        <v>0.39328100050664294</v>
      </c>
      <c r="AB8" s="56">
        <f t="shared" si="16"/>
        <v>0.95348327193670623</v>
      </c>
      <c r="AC8" s="56">
        <f t="shared" si="17"/>
        <v>0.53899443792106227</v>
      </c>
      <c r="AD8" s="56">
        <f t="shared" si="18"/>
        <v>0.29802069085839666</v>
      </c>
      <c r="AE8" s="56">
        <f t="shared" si="19"/>
        <v>0.55083843694449164</v>
      </c>
      <c r="AF8" s="56"/>
      <c r="AG8" s="56"/>
    </row>
    <row r="9" spans="1:51" x14ac:dyDescent="0.3">
      <c r="A9" s="4">
        <f>DATASETS!B138</f>
        <v>2018</v>
      </c>
      <c r="B9" s="6">
        <f>DATASETS!C138</f>
        <v>383828</v>
      </c>
      <c r="C9" s="54">
        <f>DATASETS!F138</f>
        <v>23.8</v>
      </c>
      <c r="D9" s="9">
        <f>DATASETS!H138</f>
        <v>285.60000000000002</v>
      </c>
      <c r="E9" s="6">
        <f>DATASETS!D138</f>
        <v>17276</v>
      </c>
      <c r="F9" s="6">
        <f>DATASETS!I138</f>
        <v>12635</v>
      </c>
      <c r="G9" s="55">
        <f>LR_CAL!K172</f>
        <v>5216.7240567791332</v>
      </c>
      <c r="H9" s="35">
        <f t="shared" si="0"/>
        <v>12059.275943220866</v>
      </c>
      <c r="I9" s="35">
        <f t="shared" si="1"/>
        <v>12059.275943220866</v>
      </c>
      <c r="J9" s="35">
        <f t="shared" si="2"/>
        <v>145426136.27474549</v>
      </c>
      <c r="K9" s="55">
        <f>LR_CAL!P172</f>
        <v>12581.764807868683</v>
      </c>
      <c r="L9" s="35">
        <f t="shared" si="3"/>
        <v>4694.2351921313166</v>
      </c>
      <c r="M9" s="35">
        <f t="shared" si="4"/>
        <v>4694.2351921313166</v>
      </c>
      <c r="N9" s="35">
        <f t="shared" si="5"/>
        <v>22035844.039044138</v>
      </c>
      <c r="O9" s="55">
        <f>MLR_CALC!W238</f>
        <v>6621.1752985551011</v>
      </c>
      <c r="P9" s="35">
        <f t="shared" si="6"/>
        <v>10654.824701444899</v>
      </c>
      <c r="Q9" s="35">
        <f t="shared" si="7"/>
        <v>10654.824701444899</v>
      </c>
      <c r="R9" s="35">
        <f t="shared" si="8"/>
        <v>113525289.41852038</v>
      </c>
      <c r="S9" s="55">
        <f>RF_CAL!AY209</f>
        <v>3765.491428995841</v>
      </c>
      <c r="T9" s="35">
        <f t="shared" si="9"/>
        <v>13510.508571004159</v>
      </c>
      <c r="U9" s="35">
        <f t="shared" si="10"/>
        <v>13510.508571004159</v>
      </c>
      <c r="V9" s="35">
        <f t="shared" si="11"/>
        <v>182533841.84717682</v>
      </c>
      <c r="W9" s="55">
        <f>RF_CAL!CI209</f>
        <v>6959.8436507936512</v>
      </c>
      <c r="X9" s="35">
        <f t="shared" si="12"/>
        <v>10316.156349206349</v>
      </c>
      <c r="Y9" s="35">
        <f t="shared" si="13"/>
        <v>10316.156349206349</v>
      </c>
      <c r="Z9" s="35">
        <f t="shared" si="14"/>
        <v>106423081.82127047</v>
      </c>
      <c r="AA9" s="56">
        <f t="shared" si="15"/>
        <v>0.30196365227941269</v>
      </c>
      <c r="AB9" s="56">
        <f t="shared" si="16"/>
        <v>0.72827997267125977</v>
      </c>
      <c r="AC9" s="56">
        <f t="shared" si="17"/>
        <v>0.38325858407936453</v>
      </c>
      <c r="AD9" s="56">
        <f t="shared" si="18"/>
        <v>0.2179608375200186</v>
      </c>
      <c r="AE9" s="56">
        <f t="shared" si="19"/>
        <v>0.40286198488039193</v>
      </c>
      <c r="AF9" s="56"/>
      <c r="AG9" s="56"/>
    </row>
    <row r="10" spans="1:51" x14ac:dyDescent="0.3">
      <c r="A10" s="4">
        <f>DATASETS!B139</f>
        <v>2019</v>
      </c>
      <c r="B10" s="6">
        <f>DATASETS!C139</f>
        <v>405882</v>
      </c>
      <c r="C10" s="54">
        <f>DATASETS!F139</f>
        <v>23.8</v>
      </c>
      <c r="D10" s="9">
        <f>DATASETS!H139</f>
        <v>285.60000000000002</v>
      </c>
      <c r="E10" s="6">
        <f>DATASETS!D139</f>
        <v>17382</v>
      </c>
      <c r="F10" s="6">
        <f>DATASETS!I139</f>
        <v>17276</v>
      </c>
      <c r="G10" s="55">
        <f>LR_CAL!K173</f>
        <v>5555.915419731914</v>
      </c>
      <c r="H10" s="35">
        <f t="shared" si="0"/>
        <v>11826.084580268085</v>
      </c>
      <c r="I10" s="35">
        <f t="shared" si="1"/>
        <v>11826.084580268085</v>
      </c>
      <c r="J10" s="35">
        <f t="shared" si="2"/>
        <v>139856276.49965456</v>
      </c>
      <c r="K10" s="55">
        <f>LR_CAL!P173</f>
        <v>16914.756302874364</v>
      </c>
      <c r="L10" s="35">
        <f t="shared" si="3"/>
        <v>467.24369712563566</v>
      </c>
      <c r="M10" s="35">
        <f t="shared" si="4"/>
        <v>467.24369712563566</v>
      </c>
      <c r="N10" s="35">
        <f t="shared" si="5"/>
        <v>218316.67250363276</v>
      </c>
      <c r="O10" s="55">
        <f>MLR_CALC!W239</f>
        <v>8166.2026157736473</v>
      </c>
      <c r="P10" s="35">
        <f t="shared" si="6"/>
        <v>9215.7973842263527</v>
      </c>
      <c r="Q10" s="35">
        <f t="shared" si="7"/>
        <v>9215.7973842263527</v>
      </c>
      <c r="R10" s="35">
        <f t="shared" si="8"/>
        <v>84930921.42711328</v>
      </c>
      <c r="S10" s="55">
        <f>RF_CAL!AY210</f>
        <v>3765.491428995841</v>
      </c>
      <c r="T10" s="35">
        <f t="shared" si="9"/>
        <v>13616.508571004159</v>
      </c>
      <c r="U10" s="35">
        <f t="shared" si="10"/>
        <v>13616.508571004159</v>
      </c>
      <c r="V10" s="35">
        <f t="shared" si="11"/>
        <v>185409305.66422972</v>
      </c>
      <c r="W10" s="55">
        <f>RF_CAL!CI210</f>
        <v>6959.8436507936512</v>
      </c>
      <c r="X10" s="35">
        <f t="shared" si="12"/>
        <v>10422.156349206349</v>
      </c>
      <c r="Y10" s="35">
        <f t="shared" si="13"/>
        <v>10422.156349206349</v>
      </c>
      <c r="Z10" s="35">
        <f t="shared" si="14"/>
        <v>108621342.9673022</v>
      </c>
      <c r="AA10" s="56">
        <f t="shared" si="15"/>
        <v>0.31963614197053936</v>
      </c>
      <c r="AB10" s="56">
        <f t="shared" si="16"/>
        <v>0.97311910613705932</v>
      </c>
      <c r="AC10" s="56">
        <f t="shared" si="17"/>
        <v>0.46980799768574655</v>
      </c>
      <c r="AD10" s="56">
        <f t="shared" si="18"/>
        <v>0.21663165510274085</v>
      </c>
      <c r="AE10" s="56">
        <f t="shared" si="19"/>
        <v>0.40040522671692846</v>
      </c>
      <c r="AF10" s="56"/>
      <c r="AG10" s="56"/>
    </row>
    <row r="11" spans="1:51" x14ac:dyDescent="0.3">
      <c r="A11" s="4">
        <f>DATASETS!B140</f>
        <v>2020</v>
      </c>
      <c r="B11" s="6">
        <f>DATASETS!C140</f>
        <v>328114</v>
      </c>
      <c r="C11" s="54">
        <f>DATASETS!F140</f>
        <v>23.8</v>
      </c>
      <c r="D11" s="9">
        <f>DATASETS!H140</f>
        <v>285.60000000000002</v>
      </c>
      <c r="E11" s="6">
        <f>DATASETS!D140</f>
        <v>7319</v>
      </c>
      <c r="F11" s="6">
        <f>DATASETS!I140</f>
        <v>17382</v>
      </c>
      <c r="G11" s="55">
        <f>LR_CAL!K174</f>
        <v>4359.8406072665157</v>
      </c>
      <c r="H11" s="35">
        <f t="shared" si="0"/>
        <v>2959.1593927334843</v>
      </c>
      <c r="I11" s="35">
        <f t="shared" si="1"/>
        <v>2959.1593927334843</v>
      </c>
      <c r="J11" s="35">
        <f t="shared" si="2"/>
        <v>8756624.3116028029</v>
      </c>
      <c r="K11" s="55">
        <f>LR_CAL!P174</f>
        <v>16756.600584062038</v>
      </c>
      <c r="L11" s="35">
        <f t="shared" si="3"/>
        <v>-9437.6005840620383</v>
      </c>
      <c r="M11" s="35">
        <f t="shared" si="4"/>
        <v>9437.6005840620383</v>
      </c>
      <c r="N11" s="35">
        <f t="shared" si="5"/>
        <v>89068304.784288123</v>
      </c>
      <c r="O11" s="55">
        <f>MLR_CALC!W240</f>
        <v>7717.4602370182092</v>
      </c>
      <c r="P11" s="35">
        <f t="shared" si="6"/>
        <v>-398.46023701820923</v>
      </c>
      <c r="Q11" s="35">
        <f t="shared" si="7"/>
        <v>398.46023701820923</v>
      </c>
      <c r="R11" s="35">
        <f t="shared" si="8"/>
        <v>158770.56048460747</v>
      </c>
      <c r="S11" s="55">
        <f>RF_CAL!AY211</f>
        <v>3765.491428995841</v>
      </c>
      <c r="T11" s="35">
        <f t="shared" si="9"/>
        <v>3553.508571004159</v>
      </c>
      <c r="U11" s="35">
        <f t="shared" si="10"/>
        <v>3553.508571004159</v>
      </c>
      <c r="V11" s="35">
        <f t="shared" si="11"/>
        <v>12627423.164200019</v>
      </c>
      <c r="W11" s="55">
        <f>RF_CAL!CI211</f>
        <v>6854.5936507936512</v>
      </c>
      <c r="X11" s="35">
        <f t="shared" si="12"/>
        <v>464.40634920634875</v>
      </c>
      <c r="Y11" s="35">
        <f t="shared" si="13"/>
        <v>464.40634920634875</v>
      </c>
      <c r="Z11" s="35">
        <f t="shared" si="14"/>
        <v>215673.25718316913</v>
      </c>
      <c r="AA11" s="56">
        <f t="shared" si="15"/>
        <v>0.59568801848155695</v>
      </c>
      <c r="AB11" s="56">
        <f t="shared" si="16"/>
        <v>-0.28946585381364098</v>
      </c>
      <c r="AC11" s="56">
        <f t="shared" si="17"/>
        <v>0.94555810397346507</v>
      </c>
      <c r="AD11" s="56">
        <f t="shared" si="18"/>
        <v>0.51448168178656117</v>
      </c>
      <c r="AE11" s="56">
        <f t="shared" si="19"/>
        <v>0.93654784134357849</v>
      </c>
      <c r="AF11" s="56"/>
      <c r="AG11" s="56"/>
    </row>
    <row r="12" spans="1:51" x14ac:dyDescent="0.3">
      <c r="A12" s="4">
        <f>DATASETS!B141</f>
        <v>2021</v>
      </c>
      <c r="B12" s="6">
        <f>DATASETS!C141</f>
        <v>372271</v>
      </c>
      <c r="C12" s="54">
        <f>DATASETS!F141</f>
        <v>23.8</v>
      </c>
      <c r="D12" s="9">
        <f>DATASETS!H141</f>
        <v>285.60000000000002</v>
      </c>
      <c r="E12" s="6">
        <f>DATASETS!D141</f>
        <v>6523</v>
      </c>
      <c r="F12" s="6">
        <f>DATASETS!I141</f>
        <v>7319</v>
      </c>
      <c r="G12" s="55">
        <f>LR_CAL!K175</f>
        <v>5038.9769550449664</v>
      </c>
      <c r="H12" s="35">
        <f t="shared" si="0"/>
        <v>1484.0230449550336</v>
      </c>
      <c r="I12" s="35">
        <f t="shared" si="1"/>
        <v>1484.0230449550336</v>
      </c>
      <c r="J12" s="35">
        <f t="shared" si="2"/>
        <v>2202324.3979576095</v>
      </c>
      <c r="K12" s="55">
        <f>LR_CAL!P175</f>
        <v>7559.2591326903048</v>
      </c>
      <c r="L12" s="35">
        <f t="shared" si="3"/>
        <v>-1036.2591326903048</v>
      </c>
      <c r="M12" s="35">
        <f t="shared" si="4"/>
        <v>1036.2591326903048</v>
      </c>
      <c r="N12" s="35">
        <f t="shared" si="5"/>
        <v>1073832.9900840628</v>
      </c>
      <c r="O12" s="55">
        <f>MLR_CALC!W241</f>
        <v>4719.0594683860345</v>
      </c>
      <c r="P12" s="35">
        <f t="shared" si="6"/>
        <v>1803.9405316139655</v>
      </c>
      <c r="Q12" s="35">
        <f t="shared" si="7"/>
        <v>1803.9405316139655</v>
      </c>
      <c r="R12" s="35">
        <f t="shared" si="8"/>
        <v>3254201.4415996764</v>
      </c>
      <c r="S12" s="55">
        <f>RF_CAL!AY212</f>
        <v>3765.491428995841</v>
      </c>
      <c r="T12" s="35">
        <f t="shared" si="9"/>
        <v>2757.508571004159</v>
      </c>
      <c r="U12" s="35">
        <f t="shared" si="10"/>
        <v>2757.508571004159</v>
      </c>
      <c r="V12" s="35">
        <f t="shared" si="11"/>
        <v>7603853.5191613985</v>
      </c>
      <c r="W12" s="55">
        <f>RF_CAL!CI212</f>
        <v>6854.5936507936512</v>
      </c>
      <c r="X12" s="35">
        <f t="shared" si="12"/>
        <v>-331.59365079365125</v>
      </c>
      <c r="Y12" s="35">
        <f t="shared" si="13"/>
        <v>331.59365079365125</v>
      </c>
      <c r="Z12" s="35">
        <f t="shared" si="14"/>
        <v>109954.34924666194</v>
      </c>
      <c r="AA12" s="56">
        <f t="shared" si="15"/>
        <v>0.77249378430859517</v>
      </c>
      <c r="AB12" s="56">
        <f t="shared" si="16"/>
        <v>0.84113764637585398</v>
      </c>
      <c r="AC12" s="56">
        <f t="shared" si="17"/>
        <v>0.72344925163054341</v>
      </c>
      <c r="AD12" s="56">
        <f t="shared" si="18"/>
        <v>0.57726374812139214</v>
      </c>
      <c r="AE12" s="56">
        <f t="shared" si="19"/>
        <v>0.94916546822111736</v>
      </c>
      <c r="AF12" s="56"/>
      <c r="AG12" s="56"/>
    </row>
    <row r="13" spans="1:51" x14ac:dyDescent="0.3">
      <c r="A13" s="4">
        <f>DATASETS!B142</f>
        <v>2022</v>
      </c>
      <c r="B13" s="6">
        <f>DATASETS!C142</f>
        <v>385096</v>
      </c>
      <c r="C13" s="54">
        <f>DATASETS!F142</f>
        <v>23.8</v>
      </c>
      <c r="D13" s="9">
        <f>DATASETS!H142</f>
        <v>285.60000000000002</v>
      </c>
      <c r="E13" s="6">
        <f>DATASETS!D142</f>
        <v>8009</v>
      </c>
      <c r="F13" s="6">
        <f>DATASETS!I142</f>
        <v>6523</v>
      </c>
      <c r="G13" s="55">
        <f>LR_CAL!K176</f>
        <v>5236.2259452449043</v>
      </c>
      <c r="H13" s="35">
        <f t="shared" si="0"/>
        <v>2772.7740547550957</v>
      </c>
      <c r="I13" s="35">
        <f t="shared" si="1"/>
        <v>2772.7740547550957</v>
      </c>
      <c r="J13" s="35">
        <f t="shared" si="2"/>
        <v>7688275.9587230142</v>
      </c>
      <c r="K13" s="55">
        <f>LR_CAL!P176</f>
        <v>6837.3158024320201</v>
      </c>
      <c r="L13" s="35">
        <f t="shared" si="3"/>
        <v>1171.6841975679799</v>
      </c>
      <c r="M13" s="35">
        <f t="shared" si="4"/>
        <v>1171.6841975679799</v>
      </c>
      <c r="N13" s="35">
        <f t="shared" si="5"/>
        <v>1372843.8588305211</v>
      </c>
      <c r="O13" s="55">
        <f>MLR_CALC!W242</f>
        <v>4487.4085688115438</v>
      </c>
      <c r="P13" s="35">
        <f t="shared" si="6"/>
        <v>3521.5914311884562</v>
      </c>
      <c r="Q13" s="35">
        <f t="shared" si="7"/>
        <v>3521.5914311884562</v>
      </c>
      <c r="R13" s="35">
        <f t="shared" si="8"/>
        <v>12401606.20821996</v>
      </c>
      <c r="S13" s="55">
        <f>RF_CAL!AY213</f>
        <v>3765.491428995841</v>
      </c>
      <c r="T13" s="35">
        <f t="shared" si="9"/>
        <v>4243.5085710041585</v>
      </c>
      <c r="U13" s="35">
        <f t="shared" si="10"/>
        <v>4243.5085710041585</v>
      </c>
      <c r="V13" s="35">
        <f t="shared" si="11"/>
        <v>18007364.992185757</v>
      </c>
      <c r="W13" s="55">
        <f>RF_CAL!CI213</f>
        <v>6854.5936507936512</v>
      </c>
      <c r="X13" s="35">
        <f t="shared" si="12"/>
        <v>1154.4063492063488</v>
      </c>
      <c r="Y13" s="35">
        <f t="shared" si="13"/>
        <v>1154.4063492063488</v>
      </c>
      <c r="Z13" s="35">
        <f t="shared" si="14"/>
        <v>1332654.0190879304</v>
      </c>
      <c r="AA13" s="56">
        <f t="shared" si="15"/>
        <v>0.65379272633848218</v>
      </c>
      <c r="AB13" s="56">
        <f t="shared" si="16"/>
        <v>0.85370405823848428</v>
      </c>
      <c r="AC13" s="56">
        <f t="shared" si="17"/>
        <v>0.56029573839574776</v>
      </c>
      <c r="AD13" s="56">
        <f t="shared" si="18"/>
        <v>0.47015750143536539</v>
      </c>
      <c r="AE13" s="56">
        <f t="shared" si="19"/>
        <v>0.85586136231660026</v>
      </c>
      <c r="AF13" s="56"/>
      <c r="AG13" s="56"/>
    </row>
    <row r="14" spans="1:51" x14ac:dyDescent="0.3">
      <c r="A14" s="4">
        <f>DATASETS!B143</f>
        <v>2023</v>
      </c>
      <c r="B14" s="6">
        <f>DATASETS!C143</f>
        <v>407342</v>
      </c>
      <c r="C14" s="54">
        <f>DATASETS!F143</f>
        <v>23.8</v>
      </c>
      <c r="D14" s="9">
        <f>DATASETS!H143</f>
        <v>285.60000000000002</v>
      </c>
      <c r="E14" s="6">
        <f>DATASETS!D143</f>
        <v>8727</v>
      </c>
      <c r="F14" s="6">
        <f>DATASETS!I143</f>
        <v>8009</v>
      </c>
      <c r="G14" s="55">
        <f>LR_CAL!K177</f>
        <v>5578.370275536352</v>
      </c>
      <c r="H14" s="35">
        <f t="shared" si="0"/>
        <v>3148.629724463648</v>
      </c>
      <c r="I14" s="35">
        <f t="shared" si="1"/>
        <v>3148.629724463648</v>
      </c>
      <c r="J14" s="35">
        <f t="shared" si="2"/>
        <v>9913869.1417760272</v>
      </c>
      <c r="K14" s="55">
        <f>LR_CAL!P177</f>
        <v>8253.5626061454586</v>
      </c>
      <c r="L14" s="35">
        <f t="shared" si="3"/>
        <v>473.43739385454137</v>
      </c>
      <c r="M14" s="35">
        <f t="shared" si="4"/>
        <v>473.43739385454137</v>
      </c>
      <c r="N14" s="35">
        <f t="shared" si="5"/>
        <v>224142.96589978013</v>
      </c>
      <c r="O14" s="55">
        <f>MLR_CALC!W243</f>
        <v>5032.2809191266551</v>
      </c>
      <c r="P14" s="35">
        <f t="shared" si="6"/>
        <v>3694.7190808733449</v>
      </c>
      <c r="Q14" s="35">
        <f t="shared" si="7"/>
        <v>3694.7190808733449</v>
      </c>
      <c r="R14" s="35">
        <f t="shared" si="8"/>
        <v>13650949.086569574</v>
      </c>
      <c r="S14" s="55">
        <f>RF_CAL!AY214</f>
        <v>3765.491428995841</v>
      </c>
      <c r="T14" s="35">
        <f t="shared" si="9"/>
        <v>4961.5085710041585</v>
      </c>
      <c r="U14" s="35">
        <f t="shared" si="10"/>
        <v>4961.5085710041585</v>
      </c>
      <c r="V14" s="35">
        <f t="shared" si="11"/>
        <v>24616567.300147727</v>
      </c>
      <c r="W14" s="55">
        <f>RF_CAL!CI214</f>
        <v>6854.5936507936512</v>
      </c>
      <c r="X14" s="35">
        <f t="shared" si="12"/>
        <v>1872.4063492063488</v>
      </c>
      <c r="Y14" s="35">
        <f t="shared" si="13"/>
        <v>1872.4063492063488</v>
      </c>
      <c r="Z14" s="35">
        <f t="shared" si="14"/>
        <v>3505905.5365482471</v>
      </c>
      <c r="AA14" s="56">
        <f t="shared" si="15"/>
        <v>0.63920823599591525</v>
      </c>
      <c r="AB14" s="56">
        <f t="shared" si="16"/>
        <v>0.94575026998343747</v>
      </c>
      <c r="AC14" s="56">
        <f t="shared" si="17"/>
        <v>0.57663354178144322</v>
      </c>
      <c r="AD14" s="56">
        <f t="shared" si="18"/>
        <v>0.43147604319879018</v>
      </c>
      <c r="AE14" s="56">
        <f t="shared" si="19"/>
        <v>0.78544673436388801</v>
      </c>
      <c r="AF14" s="56"/>
      <c r="AG14" s="56"/>
    </row>
    <row r="15" spans="1:51" x14ac:dyDescent="0.3">
      <c r="A15" s="4">
        <f>DATASETS!B144</f>
        <v>2024</v>
      </c>
      <c r="B15" s="6">
        <f>DATASETS!C144</f>
        <v>419952</v>
      </c>
      <c r="C15" s="54">
        <f>DATASETS!F144</f>
        <v>23.8</v>
      </c>
      <c r="D15" s="9">
        <f>DATASETS!H144</f>
        <v>285.60000000000002</v>
      </c>
      <c r="E15" s="6">
        <f>DATASETS!D144</f>
        <v>8873</v>
      </c>
      <c r="F15" s="6">
        <f>DATASETS!I144</f>
        <v>8727</v>
      </c>
      <c r="G15" s="55">
        <f>LR_CAL!K178</f>
        <v>5772.3125575185122</v>
      </c>
      <c r="H15" s="35">
        <f t="shared" si="0"/>
        <v>3100.6874424814878</v>
      </c>
      <c r="I15" s="35">
        <f t="shared" si="1"/>
        <v>3100.6874424814878</v>
      </c>
      <c r="J15" s="35">
        <f t="shared" si="2"/>
        <v>9614262.6159623899</v>
      </c>
      <c r="K15" s="55">
        <f>LR_CAL!P178</f>
        <v>8930.9204014164006</v>
      </c>
      <c r="L15" s="35">
        <f t="shared" si="3"/>
        <v>-57.920401416400637</v>
      </c>
      <c r="M15" s="35">
        <f t="shared" si="4"/>
        <v>57.920401416400637</v>
      </c>
      <c r="N15" s="35">
        <f t="shared" si="5"/>
        <v>3354.7729002369847</v>
      </c>
      <c r="O15" s="55">
        <f>MLR_CALC!W244</f>
        <v>5279.8949648683702</v>
      </c>
      <c r="P15" s="35">
        <f t="shared" si="6"/>
        <v>3593.1050351316298</v>
      </c>
      <c r="Q15" s="35">
        <f t="shared" si="7"/>
        <v>3593.1050351316298</v>
      </c>
      <c r="R15" s="35">
        <f t="shared" si="8"/>
        <v>12910403.793488272</v>
      </c>
      <c r="S15" s="55">
        <f>RF_CAL!AY215</f>
        <v>3765.491428995841</v>
      </c>
      <c r="T15" s="35">
        <f t="shared" si="9"/>
        <v>5107.5085710041585</v>
      </c>
      <c r="U15" s="35">
        <f t="shared" si="10"/>
        <v>5107.5085710041585</v>
      </c>
      <c r="V15" s="35">
        <f t="shared" si="11"/>
        <v>26086643.802880943</v>
      </c>
      <c r="W15" s="55">
        <f>RF_CAL!CI215</f>
        <v>6854.5936507936512</v>
      </c>
      <c r="X15" s="35">
        <f t="shared" si="12"/>
        <v>2018.4063492063488</v>
      </c>
      <c r="Y15" s="35">
        <f t="shared" si="13"/>
        <v>2018.4063492063488</v>
      </c>
      <c r="Z15" s="35">
        <f t="shared" si="14"/>
        <v>4073964.1905165012</v>
      </c>
      <c r="AA15" s="56">
        <f t="shared" si="15"/>
        <v>0.65054801730175948</v>
      </c>
      <c r="AB15" s="56">
        <f t="shared" si="16"/>
        <v>0.99347228655286823</v>
      </c>
      <c r="AC15" s="56">
        <f t="shared" si="17"/>
        <v>0.59505183870938461</v>
      </c>
      <c r="AD15" s="56">
        <f t="shared" si="18"/>
        <v>0.42437635850285604</v>
      </c>
      <c r="AE15" s="56">
        <f t="shared" si="19"/>
        <v>0.77252266998688734</v>
      </c>
      <c r="AF15" s="56"/>
      <c r="AG15" s="56"/>
    </row>
    <row r="16" spans="1:51" x14ac:dyDescent="0.3">
      <c r="A16" s="33" t="s">
        <v>414</v>
      </c>
      <c r="E16" s="12">
        <f>SUM(E7:E15)</f>
        <v>100098</v>
      </c>
      <c r="G16" s="28">
        <f t="shared" ref="G16:Z16" si="20">SUM(G7:G15)</f>
        <v>46651.251727284296</v>
      </c>
      <c r="H16" s="28">
        <f t="shared" si="20"/>
        <v>53446.748272715704</v>
      </c>
      <c r="I16" s="28">
        <f t="shared" si="20"/>
        <v>53446.748272715704</v>
      </c>
      <c r="J16" s="28">
        <f t="shared" si="20"/>
        <v>453292309.92886394</v>
      </c>
      <c r="K16" s="28">
        <f t="shared" si="20"/>
        <v>101009.70180966277</v>
      </c>
      <c r="L16" s="28">
        <f t="shared" si="20"/>
        <v>-911.70180966278804</v>
      </c>
      <c r="M16" s="28">
        <f t="shared" si="20"/>
        <v>21327.336144834131</v>
      </c>
      <c r="N16" s="28">
        <f t="shared" si="20"/>
        <v>125910352.00131202</v>
      </c>
      <c r="O16" s="28">
        <f t="shared" si="20"/>
        <v>54550.273756994684</v>
      </c>
      <c r="P16" s="28">
        <f t="shared" si="20"/>
        <v>45547.726243005316</v>
      </c>
      <c r="Q16" s="28">
        <f t="shared" si="20"/>
        <v>46344.646717041738</v>
      </c>
      <c r="R16" s="28">
        <f t="shared" si="20"/>
        <v>333090423.62461805</v>
      </c>
      <c r="S16" s="28">
        <f t="shared" si="20"/>
        <v>33889.422860962564</v>
      </c>
      <c r="T16" s="28">
        <f t="shared" si="20"/>
        <v>66208.577139037428</v>
      </c>
      <c r="U16" s="28">
        <f t="shared" si="20"/>
        <v>66208.577139037428</v>
      </c>
      <c r="V16" s="28">
        <f t="shared" si="20"/>
        <v>627492679.19731879</v>
      </c>
      <c r="W16" s="28">
        <f t="shared" si="20"/>
        <v>62112.342857142852</v>
      </c>
      <c r="X16" s="28">
        <f t="shared" si="20"/>
        <v>37985.657142857148</v>
      </c>
      <c r="Y16" s="28">
        <f t="shared" si="20"/>
        <v>38648.844444444447</v>
      </c>
      <c r="Z16" s="28">
        <f t="shared" si="20"/>
        <v>297375211.14718819</v>
      </c>
      <c r="AA16" s="61">
        <f>MEDIAN(AA7:AA15)</f>
        <v>0.59568801848155695</v>
      </c>
      <c r="AB16" s="61">
        <f t="shared" ref="AB16:AE16" si="21">MEDIAN(AB7:AB15)</f>
        <v>0.85370405823848428</v>
      </c>
      <c r="AC16" s="61">
        <f t="shared" si="21"/>
        <v>0.56029573839574776</v>
      </c>
      <c r="AD16" s="61">
        <f t="shared" si="21"/>
        <v>0.42437635850285604</v>
      </c>
      <c r="AE16" s="61">
        <f t="shared" si="21"/>
        <v>0.77252266998688734</v>
      </c>
      <c r="AF16" t="s">
        <v>557</v>
      </c>
    </row>
    <row r="17" spans="1:11" x14ac:dyDescent="0.3">
      <c r="K17" s="90">
        <f>AVERAGE(K7:K15)</f>
        <v>11223.300201073642</v>
      </c>
    </row>
    <row r="18" spans="1:11" x14ac:dyDescent="0.3">
      <c r="A18" s="13" t="s">
        <v>415</v>
      </c>
      <c r="B18" s="23"/>
      <c r="C18" s="23"/>
      <c r="D18" s="23"/>
      <c r="E18" s="23"/>
      <c r="F18" s="23"/>
      <c r="K18" s="90"/>
    </row>
    <row r="19" spans="1:11" ht="43.5" customHeight="1" x14ac:dyDescent="0.3">
      <c r="A19" s="3" t="s">
        <v>137</v>
      </c>
      <c r="B19" s="3" t="s">
        <v>395</v>
      </c>
      <c r="C19" s="3" t="s">
        <v>396</v>
      </c>
      <c r="D19" s="3" t="s">
        <v>397</v>
      </c>
      <c r="E19" s="3" t="s">
        <v>398</v>
      </c>
      <c r="F19" s="3" t="s">
        <v>399</v>
      </c>
      <c r="G19" s="63"/>
      <c r="H19" s="63"/>
    </row>
    <row r="20" spans="1:11" x14ac:dyDescent="0.3">
      <c r="A20" s="11" t="s">
        <v>416</v>
      </c>
      <c r="B20" s="38">
        <f>COUNT(H7:H15)</f>
        <v>9</v>
      </c>
      <c r="C20" s="38">
        <f>COUNT(L7:L15)</f>
        <v>9</v>
      </c>
      <c r="D20" s="38">
        <f>COUNT(P7:P15)</f>
        <v>9</v>
      </c>
      <c r="E20" s="38">
        <f>COUNT(T7:T15)</f>
        <v>9</v>
      </c>
      <c r="F20" s="38">
        <f>COUNT(X7:X15)</f>
        <v>9</v>
      </c>
      <c r="G20" s="76"/>
      <c r="H20" s="76"/>
    </row>
    <row r="21" spans="1:11" x14ac:dyDescent="0.3">
      <c r="A21" s="11" t="s">
        <v>49</v>
      </c>
      <c r="B21" s="28">
        <f>J16</f>
        <v>453292309.92886394</v>
      </c>
      <c r="C21" s="28">
        <f>N16</f>
        <v>125910352.00131202</v>
      </c>
      <c r="D21" s="28">
        <f>R16</f>
        <v>333090423.62461805</v>
      </c>
      <c r="E21" s="28">
        <f>V16</f>
        <v>627492679.19731879</v>
      </c>
      <c r="F21" s="28">
        <f>Z16</f>
        <v>297375211.14718819</v>
      </c>
      <c r="G21" s="77"/>
      <c r="H21" s="77"/>
    </row>
    <row r="22" spans="1:11" x14ac:dyDescent="0.3">
      <c r="A22" s="11" t="s">
        <v>52</v>
      </c>
      <c r="B22" s="28">
        <f>I16/B20</f>
        <v>5938.5275858573004</v>
      </c>
      <c r="C22" s="28">
        <f>M16/C20</f>
        <v>2369.7040160926813</v>
      </c>
      <c r="D22" s="28">
        <f>Q16/D20</f>
        <v>5149.405190782415</v>
      </c>
      <c r="E22" s="28">
        <f>U16/E20</f>
        <v>7356.5085710041585</v>
      </c>
      <c r="F22" s="28">
        <f>Y16/F20</f>
        <v>4294.3160493827163</v>
      </c>
      <c r="G22" s="77"/>
      <c r="H22" s="77"/>
    </row>
    <row r="23" spans="1:11" x14ac:dyDescent="0.3">
      <c r="A23" s="11" t="s">
        <v>417</v>
      </c>
      <c r="B23" s="28">
        <f t="shared" ref="B23:F23" si="22">SQRT(B21/B20)</f>
        <v>7096.8875018784265</v>
      </c>
      <c r="C23" s="28">
        <f t="shared" si="22"/>
        <v>3740.326070178493</v>
      </c>
      <c r="D23" s="28">
        <f t="shared" si="22"/>
        <v>6083.588338259091</v>
      </c>
      <c r="E23" s="28">
        <f t="shared" si="22"/>
        <v>8349.9346584091363</v>
      </c>
      <c r="F23" s="28">
        <f t="shared" si="22"/>
        <v>5748.1901610389814</v>
      </c>
      <c r="G23" s="77"/>
      <c r="H23" s="77"/>
    </row>
    <row r="24" spans="1:11" x14ac:dyDescent="0.3">
      <c r="A24" s="11" t="s">
        <v>418</v>
      </c>
      <c r="B24" s="28">
        <f t="shared" ref="B24:F24" si="23">DEVSQ($E$7:$E$15)</f>
        <v>140428714</v>
      </c>
      <c r="C24" s="28">
        <f t="shared" si="23"/>
        <v>140428714</v>
      </c>
      <c r="D24" s="28">
        <f t="shared" si="23"/>
        <v>140428714</v>
      </c>
      <c r="E24" s="28">
        <f t="shared" si="23"/>
        <v>140428714</v>
      </c>
      <c r="F24" s="28">
        <f t="shared" si="23"/>
        <v>140428714</v>
      </c>
      <c r="G24" s="77"/>
      <c r="H24" s="77"/>
    </row>
    <row r="25" spans="1:11" x14ac:dyDescent="0.3">
      <c r="A25" s="11" t="s">
        <v>419</v>
      </c>
      <c r="B25" s="29">
        <f t="shared" ref="B25:F25" si="24">1-B21/B24</f>
        <v>-2.2279175463279111</v>
      </c>
      <c r="C25" s="29">
        <f t="shared" si="24"/>
        <v>0.10338599268727888</v>
      </c>
      <c r="D25" s="29">
        <f t="shared" si="24"/>
        <v>-1.3719538129831341</v>
      </c>
      <c r="E25" s="29">
        <f t="shared" si="24"/>
        <v>-3.4684072176102019</v>
      </c>
      <c r="F25" s="29">
        <f t="shared" si="24"/>
        <v>-1.1176239721684569</v>
      </c>
      <c r="G25" s="78"/>
      <c r="H25" s="78"/>
    </row>
    <row r="26" spans="1:11" x14ac:dyDescent="0.3">
      <c r="A26" s="11" t="s">
        <v>420</v>
      </c>
      <c r="B26" s="28">
        <f>I16</f>
        <v>53446.748272715704</v>
      </c>
      <c r="C26" s="28">
        <f>M16</f>
        <v>21327.336144834131</v>
      </c>
      <c r="D26" s="28">
        <f>Q16</f>
        <v>46344.646717041738</v>
      </c>
      <c r="E26" s="28">
        <f>U16</f>
        <v>66208.577139037428</v>
      </c>
      <c r="F26" s="28">
        <f>Y16</f>
        <v>38648.844444444447</v>
      </c>
      <c r="G26" s="77"/>
      <c r="H26" s="77"/>
    </row>
    <row r="27" spans="1:11" x14ac:dyDescent="0.3">
      <c r="A27" s="11" t="s">
        <v>421</v>
      </c>
      <c r="B27" s="28">
        <f>H16</f>
        <v>53446.748272715704</v>
      </c>
      <c r="C27" s="28">
        <f>L16</f>
        <v>-911.70180966278804</v>
      </c>
      <c r="D27" s="28">
        <f>P16</f>
        <v>45547.726243005316</v>
      </c>
      <c r="E27" s="28">
        <f>T16</f>
        <v>66208.577139037428</v>
      </c>
      <c r="F27" s="28">
        <f>X16</f>
        <v>37985.657142857148</v>
      </c>
      <c r="G27" s="77"/>
      <c r="H27" s="77"/>
    </row>
    <row r="28" spans="1:11" x14ac:dyDescent="0.3">
      <c r="A28" s="11" t="s">
        <v>560</v>
      </c>
      <c r="B28" s="28">
        <f>AVERAGE($E$7:$E$15)</f>
        <v>11122</v>
      </c>
      <c r="C28" s="28">
        <f t="shared" ref="C28:F28" si="25">AVERAGE($E$7:$E$15)</f>
        <v>11122</v>
      </c>
      <c r="D28" s="28">
        <f t="shared" si="25"/>
        <v>11122</v>
      </c>
      <c r="E28" s="28">
        <f t="shared" si="25"/>
        <v>11122</v>
      </c>
      <c r="F28" s="28">
        <f t="shared" si="25"/>
        <v>11122</v>
      </c>
      <c r="G28" s="77"/>
      <c r="H28" s="77"/>
    </row>
    <row r="29" spans="1:11" x14ac:dyDescent="0.3">
      <c r="A29" s="11" t="s">
        <v>558</v>
      </c>
      <c r="B29" s="28">
        <f>MEDIAN(G7:G15)</f>
        <v>5216.7240567791332</v>
      </c>
      <c r="C29" s="28">
        <f>MEDIAN(K7:K15)</f>
        <v>9952.7833130938016</v>
      </c>
      <c r="D29" s="28">
        <f>MEDIAN(O7:O15)</f>
        <v>5716.5969613225006</v>
      </c>
      <c r="E29" s="28">
        <f>MEDIAN(S7:S15)</f>
        <v>3765.491428995841</v>
      </c>
      <c r="F29" s="28">
        <f>MEDIAN(W7:W15)</f>
        <v>6854.5936507936512</v>
      </c>
      <c r="G29" s="77"/>
      <c r="H29" s="77"/>
    </row>
    <row r="30" spans="1:11" x14ac:dyDescent="0.3">
      <c r="A30" s="11" t="s">
        <v>559</v>
      </c>
      <c r="B30" s="57">
        <f>AA16</f>
        <v>0.59568801848155695</v>
      </c>
      <c r="C30" s="57">
        <f t="shared" ref="C30:F30" si="26">AB16</f>
        <v>0.85370405823848428</v>
      </c>
      <c r="D30" s="57">
        <f t="shared" si="26"/>
        <v>0.56029573839574776</v>
      </c>
      <c r="E30" s="57">
        <f t="shared" si="26"/>
        <v>0.42437635850285604</v>
      </c>
      <c r="F30" s="57">
        <f t="shared" si="26"/>
        <v>0.77252266998688734</v>
      </c>
      <c r="G30" s="79"/>
      <c r="H30" s="79"/>
    </row>
    <row r="31" spans="1:11" x14ac:dyDescent="0.3">
      <c r="A31" s="11" t="s">
        <v>422</v>
      </c>
      <c r="B31" s="38">
        <f>COUNTIF(AA7:AA15,"&gt;=0.85")</f>
        <v>0</v>
      </c>
      <c r="C31" s="38">
        <f>COUNTIF(AB7:AB15,"&gt;=0.85")</f>
        <v>5</v>
      </c>
      <c r="D31" s="38">
        <f>COUNTIF(AC7:AC15,"&gt;=0.85")</f>
        <v>1</v>
      </c>
      <c r="E31" s="38">
        <f>COUNTIF(AD7:AD15,"&gt;=0.85")</f>
        <v>0</v>
      </c>
      <c r="F31" s="38">
        <f>COUNTIF(AE7:AE15,"&gt;=0.85")</f>
        <v>3</v>
      </c>
      <c r="G31" s="76"/>
      <c r="H31" s="76"/>
    </row>
    <row r="32" spans="1:11" x14ac:dyDescent="0.3">
      <c r="A32" s="11" t="s">
        <v>423</v>
      </c>
      <c r="B32" s="57">
        <f t="shared" ref="B32:F32" si="27">1-ABS(B27)/$E$16</f>
        <v>0.4660557826058892</v>
      </c>
      <c r="C32" s="57">
        <f t="shared" si="27"/>
        <v>0.99089190783369507</v>
      </c>
      <c r="D32" s="57">
        <f t="shared" si="27"/>
        <v>0.54496866827503732</v>
      </c>
      <c r="E32" s="57">
        <f t="shared" si="27"/>
        <v>0.33856243742095316</v>
      </c>
      <c r="F32" s="57">
        <f t="shared" si="27"/>
        <v>0.62051532355434524</v>
      </c>
      <c r="G32" s="79"/>
      <c r="H32" s="79"/>
    </row>
    <row r="35" spans="1:9" x14ac:dyDescent="0.3">
      <c r="A35" s="13" t="s">
        <v>424</v>
      </c>
      <c r="B35" s="23"/>
      <c r="C35" s="23"/>
      <c r="D35" s="23"/>
      <c r="E35" s="23"/>
      <c r="F35" s="23"/>
      <c r="G35" s="23"/>
      <c r="H35" s="23"/>
      <c r="I35" s="23"/>
    </row>
    <row r="36" spans="1:9" x14ac:dyDescent="0.3">
      <c r="A36" s="11" t="s">
        <v>425</v>
      </c>
      <c r="B36" s="39">
        <v>2019</v>
      </c>
    </row>
    <row r="37" spans="1:9" x14ac:dyDescent="0.3">
      <c r="A37" s="11" t="s">
        <v>426</v>
      </c>
      <c r="B37" s="10">
        <f>INDEX($B$7:$B$15,MATCH($B$36,$A$7:$A$15,0))</f>
        <v>405882</v>
      </c>
    </row>
    <row r="38" spans="1:9" x14ac:dyDescent="0.3">
      <c r="A38" s="11" t="s">
        <v>3</v>
      </c>
      <c r="B38" s="24">
        <f>INDEX($A$7:$A$15,MATCH($B$36,$A$7:$A$15,0))</f>
        <v>2019</v>
      </c>
    </row>
    <row r="39" spans="1:9" x14ac:dyDescent="0.3">
      <c r="A39" s="11" t="s">
        <v>427</v>
      </c>
      <c r="B39" s="10">
        <f>INDEX($F$7:$F$15,MATCH($B$36,$A$7:$A$15,0))</f>
        <v>17276</v>
      </c>
    </row>
    <row r="40" spans="1:9" x14ac:dyDescent="0.3">
      <c r="A40" s="11" t="s">
        <v>402</v>
      </c>
      <c r="B40" s="40">
        <f>INDEX($D$7:$D$15,MATCH($B$36,$A$7:$A$15,0))</f>
        <v>285.60000000000002</v>
      </c>
    </row>
    <row r="41" spans="1:9" x14ac:dyDescent="0.3">
      <c r="A41" s="11" t="s">
        <v>147</v>
      </c>
      <c r="B41" s="10">
        <f>INDEX($E$7:$E$15,MATCH($B$36,$A$7:$A$15,0))</f>
        <v>17382</v>
      </c>
    </row>
    <row r="43" spans="1:9" x14ac:dyDescent="0.3">
      <c r="A43" s="13" t="s">
        <v>428</v>
      </c>
      <c r="B43" s="23"/>
      <c r="C43" s="23"/>
      <c r="D43" s="23"/>
      <c r="E43" s="23"/>
      <c r="F43" s="23"/>
      <c r="G43" s="23"/>
      <c r="H43" s="23"/>
      <c r="I43" s="23"/>
    </row>
    <row r="44" spans="1:9" x14ac:dyDescent="0.3">
      <c r="A44" s="11" t="s">
        <v>429</v>
      </c>
      <c r="B44" s="58">
        <f>LR_CAL!B15</f>
        <v>-686.56525397810833</v>
      </c>
    </row>
    <row r="45" spans="1:9" x14ac:dyDescent="0.3">
      <c r="A45" s="11" t="s">
        <v>430</v>
      </c>
      <c r="B45" s="35">
        <f>LR_CAL!B14*$B$37</f>
        <v>6242.4806737100225</v>
      </c>
    </row>
    <row r="46" spans="1:9" x14ac:dyDescent="0.3">
      <c r="A46" s="11" t="s">
        <v>431</v>
      </c>
      <c r="B46" s="28">
        <f>B44+B45</f>
        <v>5555.915419731914</v>
      </c>
      <c r="C46" s="34">
        <f>INDEX(G7:G15,MATCH($B$36,$A$7:$A$15,0))-B46</f>
        <v>0</v>
      </c>
      <c r="D46" s="2" t="s">
        <v>432</v>
      </c>
    </row>
    <row r="47" spans="1:9" x14ac:dyDescent="0.3">
      <c r="A47" s="11" t="s">
        <v>433</v>
      </c>
      <c r="B47" s="28">
        <f>$B$41-B46</f>
        <v>11826.084580268085</v>
      </c>
    </row>
    <row r="49" spans="1:9" x14ac:dyDescent="0.3">
      <c r="A49" s="13" t="s">
        <v>434</v>
      </c>
      <c r="B49" s="23"/>
      <c r="C49" s="23"/>
      <c r="D49" s="23"/>
      <c r="E49" s="23"/>
      <c r="F49" s="23"/>
      <c r="G49" s="23"/>
      <c r="H49" s="23"/>
      <c r="I49" s="23"/>
    </row>
    <row r="50" spans="1:9" x14ac:dyDescent="0.3">
      <c r="B50" s="3" t="s">
        <v>56</v>
      </c>
      <c r="C50" s="3" t="s">
        <v>14</v>
      </c>
      <c r="D50" s="3" t="s">
        <v>435</v>
      </c>
    </row>
    <row r="51" spans="1:9" x14ac:dyDescent="0.3">
      <c r="A51" s="11" t="s">
        <v>59</v>
      </c>
      <c r="B51" s="58">
        <f>LR_CAL!B25</f>
        <v>48525.083630501023</v>
      </c>
      <c r="D51" s="35">
        <f>B51</f>
        <v>48525.083630501023</v>
      </c>
    </row>
    <row r="52" spans="1:9" x14ac:dyDescent="0.3">
      <c r="A52" s="11" t="s">
        <v>144</v>
      </c>
      <c r="B52" s="58">
        <f>LR_CAL!B26</f>
        <v>2.9832332098362951E-3</v>
      </c>
      <c r="C52" s="40">
        <f>$B$37</f>
        <v>405882</v>
      </c>
      <c r="D52" s="35">
        <f>B52*C52</f>
        <v>1210.8406616747752</v>
      </c>
    </row>
    <row r="53" spans="1:9" x14ac:dyDescent="0.3">
      <c r="A53" s="11" t="s">
        <v>3</v>
      </c>
      <c r="B53" s="58">
        <f>LR_CAL!B27</f>
        <v>-24.170108292801999</v>
      </c>
      <c r="C53" s="40">
        <f>$B$38</f>
        <v>2019</v>
      </c>
      <c r="D53" s="35">
        <f>B53*C53</f>
        <v>-48799.448643167234</v>
      </c>
    </row>
    <row r="54" spans="1:9" x14ac:dyDescent="0.3">
      <c r="A54" s="11" t="s">
        <v>145</v>
      </c>
      <c r="B54" s="58">
        <f>LR_CAL!B28</f>
        <v>0.92466480889651981</v>
      </c>
      <c r="C54" s="40">
        <f>$B$39</f>
        <v>17276</v>
      </c>
      <c r="D54" s="35">
        <f>B54*C54</f>
        <v>15974.509238496275</v>
      </c>
    </row>
    <row r="55" spans="1:9" x14ac:dyDescent="0.3">
      <c r="A55" s="11" t="s">
        <v>146</v>
      </c>
      <c r="B55" s="58">
        <f>LR_CAL!B29</f>
        <v>1.3205235887681827E-2</v>
      </c>
      <c r="C55" s="40">
        <f>$B$40</f>
        <v>285.60000000000002</v>
      </c>
      <c r="D55" s="35">
        <f>B55*C55</f>
        <v>3.7714153695219301</v>
      </c>
    </row>
    <row r="56" spans="1:9" x14ac:dyDescent="0.3">
      <c r="A56" s="11" t="s">
        <v>436</v>
      </c>
      <c r="D56" s="28">
        <f>SUM(D51:D55)</f>
        <v>16914.756302874364</v>
      </c>
      <c r="E56" s="34">
        <f>INDEX(K7:K15,MATCH($B$36,$A$7:$A$15,0))-D56</f>
        <v>0</v>
      </c>
      <c r="F56" s="2" t="s">
        <v>432</v>
      </c>
    </row>
    <row r="57" spans="1:9" x14ac:dyDescent="0.3">
      <c r="A57" s="11" t="s">
        <v>433</v>
      </c>
      <c r="D57" s="28">
        <f>$B$41-D56</f>
        <v>467.24369712563566</v>
      </c>
    </row>
    <row r="59" spans="1:9" x14ac:dyDescent="0.3">
      <c r="A59" s="13" t="s">
        <v>437</v>
      </c>
      <c r="B59" s="23"/>
      <c r="C59" s="23"/>
      <c r="D59" s="23"/>
      <c r="E59" s="23"/>
      <c r="F59" s="23"/>
      <c r="G59" s="23"/>
      <c r="H59" s="23"/>
      <c r="I59" s="23"/>
    </row>
    <row r="60" spans="1:9" x14ac:dyDescent="0.3">
      <c r="B60" s="3" t="s">
        <v>56</v>
      </c>
      <c r="C60" s="3" t="s">
        <v>14</v>
      </c>
      <c r="D60" s="3" t="s">
        <v>435</v>
      </c>
    </row>
    <row r="61" spans="1:9" x14ac:dyDescent="0.3">
      <c r="A61" s="11" t="s">
        <v>438</v>
      </c>
      <c r="B61" s="58">
        <f>MLR_CALC!C70</f>
        <v>101492.97015900297</v>
      </c>
      <c r="D61" s="35">
        <f>B61</f>
        <v>101492.97015900297</v>
      </c>
    </row>
    <row r="62" spans="1:9" x14ac:dyDescent="0.3">
      <c r="A62" s="11" t="s">
        <v>144</v>
      </c>
      <c r="B62" s="58">
        <f>MLR_CALC!C71</f>
        <v>5.5560161160976597E-3</v>
      </c>
      <c r="C62" s="40">
        <f>$B$37</f>
        <v>405882</v>
      </c>
      <c r="D62" s="35">
        <f>B62*C62</f>
        <v>2255.0869332339503</v>
      </c>
    </row>
    <row r="63" spans="1:9" x14ac:dyDescent="0.3">
      <c r="A63" s="11" t="s">
        <v>3</v>
      </c>
      <c r="B63" s="58">
        <f>MLR_CALC!C72</f>
        <v>-50.300628542304736</v>
      </c>
      <c r="C63" s="40">
        <f>$B$38</f>
        <v>2019</v>
      </c>
      <c r="D63" s="35">
        <f>B63*C63</f>
        <v>-101556.96902691326</v>
      </c>
    </row>
    <row r="64" spans="1:9" x14ac:dyDescent="0.3">
      <c r="A64" s="11" t="s">
        <v>145</v>
      </c>
      <c r="B64" s="58">
        <f>MLR_CALC!C73</f>
        <v>0.31734444437328857</v>
      </c>
      <c r="C64" s="40">
        <f>$B$39</f>
        <v>17276</v>
      </c>
      <c r="D64" s="35">
        <f>B64*C64</f>
        <v>5482.4426209929334</v>
      </c>
    </row>
    <row r="65" spans="1:9" x14ac:dyDescent="0.3">
      <c r="A65" s="11" t="s">
        <v>439</v>
      </c>
      <c r="D65" s="55">
        <f>INDEX(MLR_CALC!$AE$236:$AE$244,MATCH($B$36,$A$7:$A$15,0))</f>
        <v>492.67192945704619</v>
      </c>
    </row>
    <row r="66" spans="1:9" x14ac:dyDescent="0.3">
      <c r="A66" s="11" t="s">
        <v>436</v>
      </c>
      <c r="D66" s="28">
        <f>SUM(D61:D65)</f>
        <v>8166.2026157736473</v>
      </c>
      <c r="E66" s="34">
        <f>INDEX(O7:O15,MATCH($B$36,$A$7:$A$15,0))-D66</f>
        <v>0</v>
      </c>
      <c r="F66" s="2" t="s">
        <v>432</v>
      </c>
    </row>
    <row r="67" spans="1:9" x14ac:dyDescent="0.3">
      <c r="A67" s="11" t="s">
        <v>433</v>
      </c>
      <c r="D67" s="28">
        <f>$B$41-D66</f>
        <v>9215.7973842263527</v>
      </c>
    </row>
    <row r="69" spans="1:9" x14ac:dyDescent="0.3">
      <c r="A69" s="13" t="s">
        <v>440</v>
      </c>
      <c r="B69" s="23"/>
      <c r="C69" s="23"/>
      <c r="D69" s="23"/>
      <c r="E69" s="23"/>
      <c r="F69" s="23"/>
      <c r="G69" s="23"/>
      <c r="H69" s="23"/>
      <c r="I69" s="23"/>
    </row>
    <row r="70" spans="1:9" x14ac:dyDescent="0.3">
      <c r="A70" s="3" t="s">
        <v>148</v>
      </c>
      <c r="B70" s="3" t="s">
        <v>441</v>
      </c>
      <c r="C70" s="3" t="s">
        <v>442</v>
      </c>
      <c r="D70" s="3" t="s">
        <v>443</v>
      </c>
      <c r="E70" s="3" t="s">
        <v>444</v>
      </c>
    </row>
    <row r="71" spans="1:9" x14ac:dyDescent="0.3">
      <c r="A71" s="11">
        <v>1</v>
      </c>
      <c r="B71" s="45">
        <f>INDEX(RF_CAL!$AE$207:$AE$215,MATCH($B$36,RF_CAL!$D$207:$D$215,0))</f>
        <v>12</v>
      </c>
      <c r="C71" s="55">
        <f>INDEX(RF_CAL!$AO$207:$AO$215,MATCH($B$36,RF_CAL!$D$207:$D$215,0))</f>
        <v>3512.1428571428573</v>
      </c>
      <c r="D71" s="45">
        <f>INDEX(RF_CAL!$BO$207:$BO$215,MATCH($B$36,RF_CAL!$D$207:$D$215,0))</f>
        <v>11</v>
      </c>
      <c r="E71" s="55">
        <f>INDEX(RF_CAL!$BY$207:$BY$215,MATCH($B$36,RF_CAL!$D$207:$D$215,0))</f>
        <v>4669.25</v>
      </c>
    </row>
    <row r="72" spans="1:9" x14ac:dyDescent="0.3">
      <c r="A72" s="11">
        <v>2</v>
      </c>
      <c r="B72" s="45">
        <f>INDEX(RF_CAL!$AF$207:$AF$215,MATCH($B$36,RF_CAL!$D$207:$D$215,0))</f>
        <v>14</v>
      </c>
      <c r="C72" s="55">
        <f>INDEX(RF_CAL!$AP$207:$AP$215,MATCH($B$36,RF_CAL!$D$207:$D$215,0))</f>
        <v>4040.3636363636365</v>
      </c>
      <c r="D72" s="45">
        <f>INDEX(RF_CAL!$BP$207:$BP$215,MATCH($B$36,RF_CAL!$D$207:$D$215,0))</f>
        <v>14</v>
      </c>
      <c r="E72" s="55">
        <f>INDEX(RF_CAL!$BZ$207:$BZ$215,MATCH($B$36,RF_CAL!$D$207:$D$215,0))</f>
        <v>8401.5</v>
      </c>
    </row>
    <row r="73" spans="1:9" x14ac:dyDescent="0.3">
      <c r="A73" s="11">
        <v>3</v>
      </c>
      <c r="B73" s="45">
        <f>INDEX(RF_CAL!$AG$207:$AG$215,MATCH($B$36,RF_CAL!$D$207:$D$215,0))</f>
        <v>14</v>
      </c>
      <c r="C73" s="55">
        <f>INDEX(RF_CAL!$AQ$207:$AQ$215,MATCH($B$36,RF_CAL!$D$207:$D$215,0))</f>
        <v>3393.8823529411766</v>
      </c>
      <c r="D73" s="45">
        <f>INDEX(RF_CAL!$BQ$207:$BQ$215,MATCH($B$36,RF_CAL!$D$207:$D$215,0))</f>
        <v>12</v>
      </c>
      <c r="E73" s="55">
        <f>INDEX(RF_CAL!$CA$207:$CA$215,MATCH($B$36,RF_CAL!$D$207:$D$215,0))</f>
        <v>7604.25</v>
      </c>
    </row>
    <row r="74" spans="1:9" x14ac:dyDescent="0.3">
      <c r="A74" s="11">
        <v>4</v>
      </c>
      <c r="B74" s="45">
        <f>INDEX(RF_CAL!$AH$207:$AH$215,MATCH($B$36,RF_CAL!$D$207:$D$215,0))</f>
        <v>14</v>
      </c>
      <c r="C74" s="55">
        <f>INDEX(RF_CAL!$AR$207:$AR$215,MATCH($B$36,RF_CAL!$D$207:$D$215,0))</f>
        <v>2684.8333333333335</v>
      </c>
      <c r="D74" s="45">
        <f>INDEX(RF_CAL!$BR$207:$BR$215,MATCH($B$36,RF_CAL!$D$207:$D$215,0))</f>
        <v>9</v>
      </c>
      <c r="E74" s="55">
        <f>INDEX(RF_CAL!$CB$207:$CB$215,MATCH($B$36,RF_CAL!$D$207:$D$215,0))</f>
        <v>4077.7142857142858</v>
      </c>
    </row>
    <row r="75" spans="1:9" x14ac:dyDescent="0.3">
      <c r="A75" s="11">
        <v>5</v>
      </c>
      <c r="B75" s="45">
        <f>INDEX(RF_CAL!$AI$207:$AI$215,MATCH($B$36,RF_CAL!$D$207:$D$215,0))</f>
        <v>12</v>
      </c>
      <c r="C75" s="55">
        <f>INDEX(RF_CAL!$AS$207:$AS$215,MATCH($B$36,RF_CAL!$D$207:$D$215,0))</f>
        <v>3307.5294117647059</v>
      </c>
      <c r="D75" s="45">
        <f>INDEX(RF_CAL!$BS$207:$BS$215,MATCH($B$36,RF_CAL!$D$207:$D$215,0))</f>
        <v>10</v>
      </c>
      <c r="E75" s="55">
        <f>INDEX(RF_CAL!$CC$207:$CC$215,MATCH($B$36,RF_CAL!$D$207:$D$215,0))</f>
        <v>4206.666666666667</v>
      </c>
    </row>
    <row r="76" spans="1:9" x14ac:dyDescent="0.3">
      <c r="A76" s="11">
        <v>6</v>
      </c>
      <c r="B76" s="45">
        <f>INDEX(RF_CAL!$AJ$207:$AJ$215,MATCH($B$36,RF_CAL!$D$207:$D$215,0))</f>
        <v>14</v>
      </c>
      <c r="C76" s="55">
        <f>INDEX(RF_CAL!$AT$207:$AT$215,MATCH($B$36,RF_CAL!$D$207:$D$215,0))</f>
        <v>3280.125</v>
      </c>
      <c r="D76" s="45">
        <f>INDEX(RF_CAL!$BT$207:$BT$215,MATCH($B$36,RF_CAL!$D$207:$D$215,0))</f>
        <v>12</v>
      </c>
      <c r="E76" s="55">
        <f>INDEX(RF_CAL!$CD$207:$CD$215,MATCH($B$36,RF_CAL!$D$207:$D$215,0))</f>
        <v>7763.833333333333</v>
      </c>
    </row>
    <row r="77" spans="1:9" x14ac:dyDescent="0.3">
      <c r="A77" s="11">
        <v>7</v>
      </c>
      <c r="B77" s="45">
        <f>INDEX(RF_CAL!$AK$207:$AK$215,MATCH($B$36,RF_CAL!$D$207:$D$215,0))</f>
        <v>12</v>
      </c>
      <c r="C77" s="55">
        <f>INDEX(RF_CAL!$AU$207:$AU$215,MATCH($B$36,RF_CAL!$D$207:$D$215,0))</f>
        <v>4402.375</v>
      </c>
      <c r="D77" s="45">
        <f>INDEX(RF_CAL!$BU$207:$BU$215,MATCH($B$36,RF_CAL!$D$207:$D$215,0))</f>
        <v>14</v>
      </c>
      <c r="E77" s="55">
        <f>INDEX(RF_CAL!$CE$207:$CE$215,MATCH($B$36,RF_CAL!$D$207:$D$215,0))</f>
        <v>8476.5</v>
      </c>
    </row>
    <row r="78" spans="1:9" x14ac:dyDescent="0.3">
      <c r="A78" s="11">
        <v>8</v>
      </c>
      <c r="B78" s="45">
        <f>INDEX(RF_CAL!$AL$207:$AL$215,MATCH($B$36,RF_CAL!$D$207:$D$215,0))</f>
        <v>14</v>
      </c>
      <c r="C78" s="55">
        <f>INDEX(RF_CAL!$AV$207:$AV$215,MATCH($B$36,RF_CAL!$D$207:$D$215,0))</f>
        <v>4702.25</v>
      </c>
      <c r="D78" s="45">
        <f>INDEX(RF_CAL!$BV$207:$BV$215,MATCH($B$36,RF_CAL!$D$207:$D$215,0))</f>
        <v>12</v>
      </c>
      <c r="E78" s="55">
        <f>INDEX(RF_CAL!$CF$207:$CF$215,MATCH($B$36,RF_CAL!$D$207:$D$215,0))</f>
        <v>7488.8888888888887</v>
      </c>
    </row>
    <row r="79" spans="1:9" x14ac:dyDescent="0.3">
      <c r="A79" s="11">
        <v>9</v>
      </c>
      <c r="B79" s="45">
        <f>INDEX(RF_CAL!$AM$207:$AM$215,MATCH($B$36,RF_CAL!$D$207:$D$215,0))</f>
        <v>12</v>
      </c>
      <c r="C79" s="55">
        <f>INDEX(RF_CAL!$AW$207:$AW$215,MATCH($B$36,RF_CAL!$D$207:$D$215,0))</f>
        <v>5025.5555555555557</v>
      </c>
      <c r="D79" s="45">
        <f>INDEX(RF_CAL!$BW$207:$BW$215,MATCH($B$36,RF_CAL!$D$207:$D$215,0))</f>
        <v>10</v>
      </c>
      <c r="E79" s="55">
        <f>INDEX(RF_CAL!$CG$207:$CG$215,MATCH($B$36,RF_CAL!$D$207:$D$215,0))</f>
        <v>8392</v>
      </c>
    </row>
    <row r="80" spans="1:9" x14ac:dyDescent="0.3">
      <c r="A80" s="11">
        <v>10</v>
      </c>
      <c r="B80" s="45">
        <f>INDEX(RF_CAL!$AN$207:$AN$215,MATCH($B$36,RF_CAL!$D$207:$D$215,0))</f>
        <v>14</v>
      </c>
      <c r="C80" s="55">
        <f>INDEX(RF_CAL!$AX$207:$AX$215,MATCH($B$36,RF_CAL!$D$207:$D$215,0))</f>
        <v>3305.8571428571427</v>
      </c>
      <c r="D80" s="45">
        <f>INDEX(RF_CAL!$BX$207:$BX$215,MATCH($B$36,RF_CAL!$D$207:$D$215,0))</f>
        <v>10</v>
      </c>
      <c r="E80" s="55">
        <f>INDEX(RF_CAL!$CH$207:$CH$215,MATCH($B$36,RF_CAL!$D$207:$D$215,0))</f>
        <v>8517.8333333333339</v>
      </c>
    </row>
    <row r="81" spans="1:9" x14ac:dyDescent="0.3">
      <c r="A81" s="11" t="s">
        <v>445</v>
      </c>
      <c r="C81" s="28">
        <f>AVERAGE(C71:C80)</f>
        <v>3765.491428995841</v>
      </c>
      <c r="E81" s="28">
        <f>AVERAGE(E71:E80)</f>
        <v>6959.8436507936512</v>
      </c>
    </row>
    <row r="82" spans="1:9" x14ac:dyDescent="0.3">
      <c r="A82" s="11" t="s">
        <v>433</v>
      </c>
      <c r="C82" s="28">
        <f>$B$41-C81</f>
        <v>13616.508571004159</v>
      </c>
      <c r="E82" s="28">
        <f>$B$41-E81</f>
        <v>10422.156349206349</v>
      </c>
    </row>
    <row r="83" spans="1:9" x14ac:dyDescent="0.3">
      <c r="A83" s="11" t="s">
        <v>446</v>
      </c>
      <c r="C83" s="34">
        <f>C81-INDEX(S7:S15,MATCH($B$36,$A$7:$A$15,0))</f>
        <v>0</v>
      </c>
      <c r="E83" s="34">
        <f>E81-INDEX(W7:W15,MATCH($B$36,$A$7:$A$15,0))</f>
        <v>0</v>
      </c>
    </row>
    <row r="86" spans="1:9" x14ac:dyDescent="0.3">
      <c r="A86" s="13" t="s">
        <v>447</v>
      </c>
      <c r="B86" s="23"/>
      <c r="C86" s="23"/>
      <c r="D86" s="23"/>
      <c r="E86" s="23"/>
      <c r="F86" s="23"/>
      <c r="G86" s="23"/>
      <c r="H86" s="23"/>
      <c r="I86" s="23"/>
    </row>
    <row r="87" spans="1:9" x14ac:dyDescent="0.3">
      <c r="A87" s="2" t="s">
        <v>448</v>
      </c>
    </row>
    <row r="88" spans="1:9" x14ac:dyDescent="0.3">
      <c r="A88" s="2" t="s">
        <v>449</v>
      </c>
    </row>
    <row r="89" spans="1:9" x14ac:dyDescent="0.3">
      <c r="A89" s="2" t="s">
        <v>450</v>
      </c>
    </row>
    <row r="90" spans="1:9" x14ac:dyDescent="0.3">
      <c r="A90" s="2" t="s">
        <v>451</v>
      </c>
    </row>
    <row r="91" spans="1:9" x14ac:dyDescent="0.3">
      <c r="A91" s="2" t="s">
        <v>452</v>
      </c>
    </row>
    <row r="92" spans="1:9" x14ac:dyDescent="0.3">
      <c r="A92" s="84" t="s">
        <v>546</v>
      </c>
    </row>
    <row r="93" spans="1:9" x14ac:dyDescent="0.3">
      <c r="A93" s="2" t="s"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A1:Q58"/>
  <sheetViews>
    <sheetView showGridLines="0" topLeftCell="A38" zoomScaleNormal="100" workbookViewId="0">
      <selection activeCell="C38" sqref="C38"/>
    </sheetView>
  </sheetViews>
  <sheetFormatPr defaultColWidth="8.6640625" defaultRowHeight="14.4" x14ac:dyDescent="0.3"/>
  <cols>
    <col min="1" max="1" width="44" customWidth="1"/>
    <col min="2" max="2" width="40" customWidth="1"/>
    <col min="3" max="18" width="15" customWidth="1"/>
  </cols>
  <sheetData>
    <row r="1" spans="1:17" ht="16.8" x14ac:dyDescent="0.3">
      <c r="A1" s="1" t="s">
        <v>454</v>
      </c>
    </row>
    <row r="2" spans="1:17" x14ac:dyDescent="0.3">
      <c r="A2" s="84" t="s">
        <v>547</v>
      </c>
    </row>
    <row r="4" spans="1:17" ht="57.75" customHeight="1" x14ac:dyDescent="0.3">
      <c r="A4" s="3" t="s">
        <v>455</v>
      </c>
      <c r="B4" s="3" t="s">
        <v>456</v>
      </c>
      <c r="C4" s="3" t="s">
        <v>121</v>
      </c>
      <c r="D4" s="3" t="s">
        <v>457</v>
      </c>
      <c r="E4" s="3" t="s">
        <v>458</v>
      </c>
      <c r="F4" s="3" t="s">
        <v>459</v>
      </c>
      <c r="G4" s="3" t="s">
        <v>460</v>
      </c>
      <c r="H4" s="3" t="s">
        <v>461</v>
      </c>
      <c r="I4" s="3" t="s">
        <v>462</v>
      </c>
      <c r="J4" s="3" t="s">
        <v>463</v>
      </c>
      <c r="K4" s="3" t="s">
        <v>464</v>
      </c>
      <c r="L4" s="3" t="s">
        <v>465</v>
      </c>
      <c r="M4" s="3" t="s">
        <v>466</v>
      </c>
      <c r="N4" s="3" t="s">
        <v>467</v>
      </c>
      <c r="O4" s="3" t="s">
        <v>554</v>
      </c>
      <c r="P4" s="3" t="s">
        <v>468</v>
      </c>
      <c r="Q4" s="3" t="s">
        <v>469</v>
      </c>
    </row>
    <row r="5" spans="1:17" x14ac:dyDescent="0.3">
      <c r="A5" s="59" t="s">
        <v>395</v>
      </c>
      <c r="B5" s="11" t="s">
        <v>144</v>
      </c>
      <c r="C5" s="45">
        <f>DATASETS!N9</f>
        <v>117</v>
      </c>
      <c r="D5" s="60">
        <f>LR_CAL!B18</f>
        <v>0.35456721342400688</v>
      </c>
      <c r="E5" s="55">
        <f>LR_CAL!B19</f>
        <v>983.74254554570757</v>
      </c>
      <c r="F5" s="55">
        <f>LR_CAL!B20</f>
        <v>1517.1940695255953</v>
      </c>
      <c r="G5" s="55">
        <f>EDSA_TEST_ROAD!B21</f>
        <v>453292309.92886394</v>
      </c>
      <c r="H5" s="55">
        <f>EDSA_TEST_ROAD!B22</f>
        <v>5938.5275858573004</v>
      </c>
      <c r="I5" s="55">
        <f>EDSA_TEST_ROAD!B23</f>
        <v>7096.8875018784265</v>
      </c>
      <c r="J5" s="60">
        <f>EDSA_TEST_ROAD!B25</f>
        <v>-2.2279175463279111</v>
      </c>
      <c r="K5" s="55">
        <f>EDSA_TEST_ROAD!B26</f>
        <v>53446.748272715704</v>
      </c>
      <c r="L5" s="55">
        <f>EDSA_TEST_ROAD!B27</f>
        <v>53446.748272715704</v>
      </c>
      <c r="M5" s="38">
        <f>RANK(I5,$I$5:$I$9,1)</f>
        <v>4</v>
      </c>
      <c r="N5" s="38">
        <f>RANK(H5,$H$5:$H$9,1)</f>
        <v>4</v>
      </c>
      <c r="O5" s="61">
        <f>EDSA_TEST_ROAD!B30</f>
        <v>0.59568801848155695</v>
      </c>
      <c r="P5" s="45">
        <f>EDSA_TEST_ROAD!B31</f>
        <v>0</v>
      </c>
      <c r="Q5" s="61">
        <f>EDSA_TEST_ROAD!B32</f>
        <v>0.4660557826058892</v>
      </c>
    </row>
    <row r="6" spans="1:17" x14ac:dyDescent="0.3">
      <c r="A6" s="59" t="s">
        <v>396</v>
      </c>
      <c r="B6" s="11" t="s">
        <v>470</v>
      </c>
      <c r="C6" s="45">
        <f>DATASETS!N9</f>
        <v>117</v>
      </c>
      <c r="D6" s="60">
        <f>LR_CAL!B33</f>
        <v>0.87859110847885269</v>
      </c>
      <c r="E6" s="55">
        <f>LR_CAL!B34</f>
        <v>396.3920889740462</v>
      </c>
      <c r="F6" s="55">
        <f>LR_CAL!B35</f>
        <v>658.02269417015782</v>
      </c>
      <c r="G6" s="55">
        <f>EDSA_TEST_ROAD!C21</f>
        <v>125910352.00131202</v>
      </c>
      <c r="H6" s="55">
        <f>EDSA_TEST_ROAD!C22</f>
        <v>2369.7040160926813</v>
      </c>
      <c r="I6" s="55">
        <f>EDSA_TEST_ROAD!C23</f>
        <v>3740.326070178493</v>
      </c>
      <c r="J6" s="60">
        <f>EDSA_TEST_ROAD!C25</f>
        <v>0.10338599268727888</v>
      </c>
      <c r="K6" s="55">
        <f>EDSA_TEST_ROAD!C26</f>
        <v>21327.336144834131</v>
      </c>
      <c r="L6" s="55">
        <f>EDSA_TEST_ROAD!C27</f>
        <v>-911.70180966278804</v>
      </c>
      <c r="M6" s="38">
        <f>RANK(I6,$I$5:$I$9,1)</f>
        <v>1</v>
      </c>
      <c r="N6" s="38">
        <f>RANK(H6,$H$5:$H$9,1)</f>
        <v>1</v>
      </c>
      <c r="O6" s="61">
        <f>EDSA_TEST_ROAD!C30</f>
        <v>0.85370405823848428</v>
      </c>
      <c r="P6" s="45">
        <f>EDSA_TEST_ROAD!C31</f>
        <v>5</v>
      </c>
      <c r="Q6" s="61">
        <f>EDSA_TEST_ROAD!C32</f>
        <v>0.99089190783369507</v>
      </c>
    </row>
    <row r="7" spans="1:17" x14ac:dyDescent="0.3">
      <c r="A7" s="59" t="s">
        <v>397</v>
      </c>
      <c r="B7" s="11" t="s">
        <v>471</v>
      </c>
      <c r="C7" s="45">
        <f>DATASETS!N9</f>
        <v>117</v>
      </c>
      <c r="D7" s="60">
        <f>MLR_CALC!B90</f>
        <v>0.92452829514990387</v>
      </c>
      <c r="E7" s="55">
        <f>MLR_CALC!B91</f>
        <v>352.72115534544906</v>
      </c>
      <c r="F7" s="55">
        <f>MLR_CALC!B92</f>
        <v>518.80924358406207</v>
      </c>
      <c r="G7" s="55">
        <f>EDSA_TEST_ROAD!D21</f>
        <v>333090423.62461805</v>
      </c>
      <c r="H7" s="55">
        <f>EDSA_TEST_ROAD!D22</f>
        <v>5149.405190782415</v>
      </c>
      <c r="I7" s="55">
        <f>EDSA_TEST_ROAD!D23</f>
        <v>6083.588338259091</v>
      </c>
      <c r="J7" s="60">
        <f>EDSA_TEST_ROAD!D25</f>
        <v>-1.3719538129831341</v>
      </c>
      <c r="K7" s="55">
        <f>EDSA_TEST_ROAD!D26</f>
        <v>46344.646717041738</v>
      </c>
      <c r="L7" s="55">
        <f>EDSA_TEST_ROAD!D27</f>
        <v>45547.726243005316</v>
      </c>
      <c r="M7" s="38">
        <f>RANK(I7,$I$5:$I$9,1)</f>
        <v>3</v>
      </c>
      <c r="N7" s="38">
        <f>RANK(H7,$H$5:$H$9,1)</f>
        <v>3</v>
      </c>
      <c r="O7" s="61">
        <f>EDSA_TEST_ROAD!D30</f>
        <v>0.56029573839574776</v>
      </c>
      <c r="P7" s="45">
        <f>EDSA_TEST_ROAD!D31</f>
        <v>1</v>
      </c>
      <c r="Q7" s="61">
        <f>EDSA_TEST_ROAD!D32</f>
        <v>0.54496866827503732</v>
      </c>
    </row>
    <row r="8" spans="1:17" x14ac:dyDescent="0.3">
      <c r="A8" s="59" t="s">
        <v>398</v>
      </c>
      <c r="B8" s="11" t="s">
        <v>144</v>
      </c>
      <c r="C8" s="45">
        <f>DATASETS!N9</f>
        <v>117</v>
      </c>
      <c r="D8" s="60">
        <f>RF_CAL!B31</f>
        <v>0.58568192911424921</v>
      </c>
      <c r="E8" s="55">
        <f>RF_CAL!B32</f>
        <v>824.45577316657625</v>
      </c>
      <c r="F8" s="55">
        <f>RF_CAL!B33</f>
        <v>1215.5772485299908</v>
      </c>
      <c r="G8" s="55">
        <f>EDSA_TEST_ROAD!E21</f>
        <v>627492679.19731879</v>
      </c>
      <c r="H8" s="55">
        <f>EDSA_TEST_ROAD!E22</f>
        <v>7356.5085710041585</v>
      </c>
      <c r="I8" s="55">
        <f>EDSA_TEST_ROAD!E23</f>
        <v>8349.9346584091363</v>
      </c>
      <c r="J8" s="60">
        <f>EDSA_TEST_ROAD!E25</f>
        <v>-3.4684072176102019</v>
      </c>
      <c r="K8" s="55">
        <f>EDSA_TEST_ROAD!E26</f>
        <v>66208.577139037428</v>
      </c>
      <c r="L8" s="55">
        <f>EDSA_TEST_ROAD!E27</f>
        <v>66208.577139037428</v>
      </c>
      <c r="M8" s="38">
        <f>RANK(I8,$I$5:$I$9,1)</f>
        <v>5</v>
      </c>
      <c r="N8" s="38">
        <f>RANK(H8,$H$5:$H$9,1)</f>
        <v>5</v>
      </c>
      <c r="O8" s="61">
        <f>EDSA_TEST_ROAD!E30</f>
        <v>0.42437635850285604</v>
      </c>
      <c r="P8" s="45">
        <f>EDSA_TEST_ROAD!E31</f>
        <v>0</v>
      </c>
      <c r="Q8" s="61">
        <f>EDSA_TEST_ROAD!E32</f>
        <v>0.33856243742095316</v>
      </c>
    </row>
    <row r="9" spans="1:17" x14ac:dyDescent="0.3">
      <c r="A9" s="59" t="s">
        <v>399</v>
      </c>
      <c r="B9" s="11" t="s">
        <v>472</v>
      </c>
      <c r="C9" s="45">
        <f>DATASETS!N9</f>
        <v>117</v>
      </c>
      <c r="D9" s="60">
        <f>RF_CAL!C31</f>
        <v>0.93668938147524761</v>
      </c>
      <c r="E9" s="55">
        <f>RF_CAL!C32</f>
        <v>340.64423427987322</v>
      </c>
      <c r="F9" s="55">
        <f>RF_CAL!C33</f>
        <v>475.17534997779268</v>
      </c>
      <c r="G9" s="55">
        <f>EDSA_TEST_ROAD!F21</f>
        <v>297375211.14718819</v>
      </c>
      <c r="H9" s="55">
        <f>EDSA_TEST_ROAD!F22</f>
        <v>4294.3160493827163</v>
      </c>
      <c r="I9" s="55">
        <f>EDSA_TEST_ROAD!F23</f>
        <v>5748.1901610389814</v>
      </c>
      <c r="J9" s="60">
        <f>EDSA_TEST_ROAD!F25</f>
        <v>-1.1176239721684569</v>
      </c>
      <c r="K9" s="55">
        <f>EDSA_TEST_ROAD!F26</f>
        <v>38648.844444444447</v>
      </c>
      <c r="L9" s="55">
        <f>EDSA_TEST_ROAD!F27</f>
        <v>37985.657142857148</v>
      </c>
      <c r="M9" s="38">
        <f>RANK(I9,$I$5:$I$9,1)</f>
        <v>2</v>
      </c>
      <c r="N9" s="38">
        <f>RANK(H9,$H$5:$H$9,1)</f>
        <v>2</v>
      </c>
      <c r="O9" s="61">
        <f>EDSA_TEST_ROAD!F30</f>
        <v>0.77252266998688734</v>
      </c>
      <c r="P9" s="45">
        <f>EDSA_TEST_ROAD!F31</f>
        <v>3</v>
      </c>
      <c r="Q9" s="61">
        <f>EDSA_TEST_ROAD!F32</f>
        <v>0.62051532355434524</v>
      </c>
    </row>
    <row r="13" spans="1:17" x14ac:dyDescent="0.3">
      <c r="A13" s="11" t="s">
        <v>473</v>
      </c>
      <c r="B13" s="87" t="str">
        <f>INDEX($A$5:$A$9,MATCH(1,$M$5:$M$9,0))</f>
        <v>LR – extended</v>
      </c>
    </row>
    <row r="14" spans="1:17" x14ac:dyDescent="0.3">
      <c r="A14" s="11" t="s">
        <v>474</v>
      </c>
      <c r="B14" s="87" t="str">
        <f>INDEX($A$5:$A$9,MATCH(1,$N$5:$N$9,0))</f>
        <v>LR – extended</v>
      </c>
    </row>
    <row r="15" spans="1:17" x14ac:dyDescent="0.3">
      <c r="A15" s="11" t="s">
        <v>475</v>
      </c>
      <c r="B15" s="87" t="str">
        <f>IF(B13=B14,"Yes","No")</f>
        <v>Yes</v>
      </c>
    </row>
    <row r="16" spans="1:17" x14ac:dyDescent="0.3">
      <c r="A16" s="11" t="s">
        <v>555</v>
      </c>
      <c r="B16" s="88">
        <f>MIN($I$5:$I$9)/EDSA_TEST_ROAD!B28</f>
        <v>0.33629977253897619</v>
      </c>
    </row>
    <row r="17" spans="1:10" x14ac:dyDescent="0.3">
      <c r="A17" s="11" t="s">
        <v>550</v>
      </c>
      <c r="B17" s="88">
        <f>MAX($O$5:$O$9)</f>
        <v>0.85370405823848428</v>
      </c>
    </row>
    <row r="18" spans="1:10" x14ac:dyDescent="0.3">
      <c r="A18" s="86" t="s">
        <v>551</v>
      </c>
      <c r="B18" s="87" t="str">
        <f>IF(B17&gt;=0.85,"Yes","No – see conclusion")</f>
        <v>Yes</v>
      </c>
    </row>
    <row r="20" spans="1:10" x14ac:dyDescent="0.3">
      <c r="A20" s="13" t="s">
        <v>476</v>
      </c>
      <c r="B20" s="23"/>
      <c r="C20" s="23"/>
      <c r="D20" s="23"/>
      <c r="E20" s="23"/>
      <c r="F20" s="23"/>
      <c r="G20" s="23"/>
      <c r="H20" s="23"/>
      <c r="I20" s="23"/>
    </row>
    <row r="21" spans="1:10" ht="31.5" customHeight="1" x14ac:dyDescent="0.3">
      <c r="A21" s="3" t="s">
        <v>477</v>
      </c>
      <c r="B21" s="3" t="s">
        <v>478</v>
      </c>
      <c r="C21" s="3" t="s">
        <v>479</v>
      </c>
      <c r="D21" s="3" t="s">
        <v>480</v>
      </c>
      <c r="E21" s="3" t="s">
        <v>481</v>
      </c>
      <c r="F21" s="3" t="s">
        <v>482</v>
      </c>
      <c r="G21" s="3" t="s">
        <v>483</v>
      </c>
      <c r="H21" s="3" t="s">
        <v>484</v>
      </c>
    </row>
    <row r="22" spans="1:10" x14ac:dyDescent="0.3">
      <c r="A22" s="11" t="s">
        <v>485</v>
      </c>
      <c r="B22" s="35">
        <f>I5</f>
        <v>7096.8875018784265</v>
      </c>
      <c r="C22" s="35">
        <f>I6</f>
        <v>3740.326070178493</v>
      </c>
      <c r="D22" s="56">
        <f>C22/B22-1</f>
        <v>-0.47296246852039125</v>
      </c>
      <c r="E22" s="35">
        <f>H5</f>
        <v>5938.5275858573004</v>
      </c>
      <c r="F22" s="35">
        <f>H6</f>
        <v>2369.7040160926813</v>
      </c>
      <c r="G22" s="56">
        <f>F22/E22-1</f>
        <v>-0.60096101570090044</v>
      </c>
      <c r="H22" s="33" t="str">
        <f>IF(C22&lt;B22,"Improved","Not improved")</f>
        <v>Improved</v>
      </c>
    </row>
    <row r="23" spans="1:10" x14ac:dyDescent="0.3">
      <c r="A23" s="11" t="s">
        <v>486</v>
      </c>
      <c r="B23" s="35">
        <f>I5</f>
        <v>7096.8875018784265</v>
      </c>
      <c r="C23" s="35">
        <f>I7</f>
        <v>6083.588338259091</v>
      </c>
      <c r="D23" s="56">
        <f>C23/B23-1</f>
        <v>-0.14278078430172836</v>
      </c>
      <c r="E23" s="35">
        <f>H5</f>
        <v>5938.5275858573004</v>
      </c>
      <c r="F23" s="35">
        <f>H7</f>
        <v>5149.405190782415</v>
      </c>
      <c r="G23" s="56">
        <f>F23/E23-1</f>
        <v>-0.13288182696232531</v>
      </c>
      <c r="H23" s="33" t="str">
        <f>IF(C23&lt;B23,"Improved","Not improved")</f>
        <v>Improved</v>
      </c>
    </row>
    <row r="24" spans="1:10" x14ac:dyDescent="0.3">
      <c r="A24" s="11" t="s">
        <v>487</v>
      </c>
      <c r="B24" s="35">
        <f>I8</f>
        <v>8349.9346584091363</v>
      </c>
      <c r="C24" s="35">
        <f>I9</f>
        <v>5748.1901610389814</v>
      </c>
      <c r="D24" s="56">
        <f>C24/B24-1</f>
        <v>-0.31158860563656798</v>
      </c>
      <c r="E24" s="35">
        <f>H8</f>
        <v>7356.5085710041585</v>
      </c>
      <c r="F24" s="35">
        <f>H9</f>
        <v>4294.3160493827163</v>
      </c>
      <c r="G24" s="56">
        <f>F24/E24-1</f>
        <v>-0.41625622971352771</v>
      </c>
      <c r="H24" s="33" t="str">
        <f>IF(C24&lt;B24,"Improved","Not improved")</f>
        <v>Improved</v>
      </c>
    </row>
    <row r="26" spans="1:10" x14ac:dyDescent="0.3">
      <c r="A26" s="2" t="s">
        <v>488</v>
      </c>
    </row>
    <row r="28" spans="1:10" x14ac:dyDescent="0.3">
      <c r="A28" s="13" t="s">
        <v>489</v>
      </c>
      <c r="B28" s="23"/>
      <c r="C28" s="23"/>
      <c r="D28" s="23"/>
      <c r="E28" s="23"/>
      <c r="F28" s="23"/>
      <c r="G28" s="23"/>
      <c r="H28" s="23"/>
    </row>
    <row r="29" spans="1:10" ht="57.75" customHeight="1" x14ac:dyDescent="0.3">
      <c r="A29" s="3" t="s">
        <v>3</v>
      </c>
      <c r="B29" s="3" t="s">
        <v>147</v>
      </c>
      <c r="C29" s="3" t="s">
        <v>145</v>
      </c>
      <c r="D29" s="3" t="s">
        <v>395</v>
      </c>
      <c r="E29" s="3" t="s">
        <v>396</v>
      </c>
      <c r="F29" s="3" t="s">
        <v>397</v>
      </c>
      <c r="G29" s="3" t="s">
        <v>398</v>
      </c>
      <c r="H29" s="3" t="s">
        <v>399</v>
      </c>
      <c r="I29" s="63"/>
      <c r="J29" s="63"/>
    </row>
    <row r="30" spans="1:10" x14ac:dyDescent="0.3">
      <c r="A30" s="64">
        <f>EDSA_TEST_ROAD!A7</f>
        <v>2016</v>
      </c>
      <c r="B30" s="65">
        <f>EDSA_TEST_ROAD!E7</f>
        <v>13354</v>
      </c>
      <c r="C30" s="65">
        <f>EDSA_TEST_ROAD!F7</f>
        <v>9801</v>
      </c>
      <c r="D30" s="66">
        <f>EDSA_TEST_ROAD!G7</f>
        <v>4923.7804687605585</v>
      </c>
      <c r="E30" s="66">
        <f>EDSA_TEST_ROAD!K7</f>
        <v>9952.7833130938016</v>
      </c>
      <c r="F30" s="66">
        <f>EDSA_TEST_ROAD!O7</f>
        <v>5716.5969613225006</v>
      </c>
      <c r="G30" s="66">
        <f>EDSA_TEST_ROAD!S7</f>
        <v>3765.491428995841</v>
      </c>
      <c r="H30" s="66">
        <f>EDSA_TEST_ROAD!W7</f>
        <v>6959.8436507936512</v>
      </c>
      <c r="I30" s="9"/>
      <c r="J30" s="9"/>
    </row>
    <row r="31" spans="1:10" x14ac:dyDescent="0.3">
      <c r="A31" s="64">
        <f>EDSA_TEST_ROAD!A8</f>
        <v>2017</v>
      </c>
      <c r="B31" s="65">
        <f>EDSA_TEST_ROAD!E8</f>
        <v>12635</v>
      </c>
      <c r="C31" s="65">
        <f>EDSA_TEST_ROAD!F8</f>
        <v>13354</v>
      </c>
      <c r="D31" s="66">
        <f>EDSA_TEST_ROAD!G8</f>
        <v>4969.1054414014334</v>
      </c>
      <c r="E31" s="66">
        <f>EDSA_TEST_ROAD!K8</f>
        <v>13222.738859079716</v>
      </c>
      <c r="F31" s="66">
        <f>EDSA_TEST_ROAD!O8</f>
        <v>6810.1947231326212</v>
      </c>
      <c r="G31" s="66">
        <f>EDSA_TEST_ROAD!S8</f>
        <v>3765.491428995841</v>
      </c>
      <c r="H31" s="66">
        <f>EDSA_TEST_ROAD!W8</f>
        <v>6959.8436507936512</v>
      </c>
      <c r="I31" s="9"/>
      <c r="J31" s="9"/>
    </row>
    <row r="32" spans="1:10" x14ac:dyDescent="0.3">
      <c r="A32" s="64">
        <f>EDSA_TEST_ROAD!A9</f>
        <v>2018</v>
      </c>
      <c r="B32" s="65">
        <f>EDSA_TEST_ROAD!E9</f>
        <v>17276</v>
      </c>
      <c r="C32" s="65">
        <f>EDSA_TEST_ROAD!F9</f>
        <v>12635</v>
      </c>
      <c r="D32" s="66">
        <f>EDSA_TEST_ROAD!G9</f>
        <v>5216.7240567791332</v>
      </c>
      <c r="E32" s="66">
        <f>EDSA_TEST_ROAD!K9</f>
        <v>12581.764807868683</v>
      </c>
      <c r="F32" s="66">
        <f>EDSA_TEST_ROAD!O9</f>
        <v>6621.1752985551011</v>
      </c>
      <c r="G32" s="66">
        <f>EDSA_TEST_ROAD!S9</f>
        <v>3765.491428995841</v>
      </c>
      <c r="H32" s="66">
        <f>EDSA_TEST_ROAD!W9</f>
        <v>6959.8436507936512</v>
      </c>
      <c r="I32" s="9"/>
      <c r="J32" s="9"/>
    </row>
    <row r="33" spans="1:10" x14ac:dyDescent="0.3">
      <c r="A33" s="64">
        <f>EDSA_TEST_ROAD!A10</f>
        <v>2019</v>
      </c>
      <c r="B33" s="65">
        <f>EDSA_TEST_ROAD!E10</f>
        <v>17382</v>
      </c>
      <c r="C33" s="65">
        <f>EDSA_TEST_ROAD!F10</f>
        <v>17276</v>
      </c>
      <c r="D33" s="66">
        <f>EDSA_TEST_ROAD!G10</f>
        <v>5555.915419731914</v>
      </c>
      <c r="E33" s="66">
        <f>EDSA_TEST_ROAD!K10</f>
        <v>16914.756302874364</v>
      </c>
      <c r="F33" s="66">
        <f>EDSA_TEST_ROAD!O10</f>
        <v>8166.2026157736473</v>
      </c>
      <c r="G33" s="66">
        <f>EDSA_TEST_ROAD!S10</f>
        <v>3765.491428995841</v>
      </c>
      <c r="H33" s="66">
        <f>EDSA_TEST_ROAD!W10</f>
        <v>6959.8436507936512</v>
      </c>
      <c r="I33" s="9"/>
      <c r="J33" s="9"/>
    </row>
    <row r="34" spans="1:10" x14ac:dyDescent="0.3">
      <c r="A34" s="64">
        <f>EDSA_TEST_ROAD!A11</f>
        <v>2020</v>
      </c>
      <c r="B34" s="65">
        <f>EDSA_TEST_ROAD!E11</f>
        <v>7319</v>
      </c>
      <c r="C34" s="65">
        <f>EDSA_TEST_ROAD!F11</f>
        <v>17382</v>
      </c>
      <c r="D34" s="66">
        <f>EDSA_TEST_ROAD!G11</f>
        <v>4359.8406072665157</v>
      </c>
      <c r="E34" s="66">
        <f>EDSA_TEST_ROAD!K11</f>
        <v>16756.600584062038</v>
      </c>
      <c r="F34" s="66">
        <f>EDSA_TEST_ROAD!O11</f>
        <v>7717.4602370182092</v>
      </c>
      <c r="G34" s="66">
        <f>EDSA_TEST_ROAD!S11</f>
        <v>3765.491428995841</v>
      </c>
      <c r="H34" s="66">
        <f>EDSA_TEST_ROAD!W11</f>
        <v>6854.5936507936512</v>
      </c>
      <c r="I34" s="9"/>
      <c r="J34" s="9"/>
    </row>
    <row r="35" spans="1:10" x14ac:dyDescent="0.3">
      <c r="A35" s="64">
        <f>EDSA_TEST_ROAD!A12</f>
        <v>2021</v>
      </c>
      <c r="B35" s="65">
        <f>EDSA_TEST_ROAD!E12</f>
        <v>6523</v>
      </c>
      <c r="C35" s="65">
        <f>EDSA_TEST_ROAD!F12</f>
        <v>7319</v>
      </c>
      <c r="D35" s="66">
        <f>EDSA_TEST_ROAD!G12</f>
        <v>5038.9769550449664</v>
      </c>
      <c r="E35" s="66">
        <f>EDSA_TEST_ROAD!K12</f>
        <v>7559.2591326903048</v>
      </c>
      <c r="F35" s="66">
        <f>EDSA_TEST_ROAD!O12</f>
        <v>4719.0594683860345</v>
      </c>
      <c r="G35" s="66">
        <f>EDSA_TEST_ROAD!S12</f>
        <v>3765.491428995841</v>
      </c>
      <c r="H35" s="66">
        <f>EDSA_TEST_ROAD!W12</f>
        <v>6854.5936507936512</v>
      </c>
      <c r="I35" s="9"/>
      <c r="J35" s="9"/>
    </row>
    <row r="36" spans="1:10" x14ac:dyDescent="0.3">
      <c r="A36" s="64">
        <f>EDSA_TEST_ROAD!A13</f>
        <v>2022</v>
      </c>
      <c r="B36" s="65">
        <f>EDSA_TEST_ROAD!E13</f>
        <v>8009</v>
      </c>
      <c r="C36" s="65">
        <f>EDSA_TEST_ROAD!F13</f>
        <v>6523</v>
      </c>
      <c r="D36" s="66">
        <f>EDSA_TEST_ROAD!G13</f>
        <v>5236.2259452449043</v>
      </c>
      <c r="E36" s="66">
        <f>EDSA_TEST_ROAD!K13</f>
        <v>6837.3158024320201</v>
      </c>
      <c r="F36" s="66">
        <f>EDSA_TEST_ROAD!O13</f>
        <v>4487.4085688115438</v>
      </c>
      <c r="G36" s="66">
        <f>EDSA_TEST_ROAD!S13</f>
        <v>3765.491428995841</v>
      </c>
      <c r="H36" s="66">
        <f>EDSA_TEST_ROAD!W13</f>
        <v>6854.5936507936512</v>
      </c>
      <c r="I36" s="9"/>
      <c r="J36" s="9"/>
    </row>
    <row r="37" spans="1:10" x14ac:dyDescent="0.3">
      <c r="A37" s="64">
        <f>EDSA_TEST_ROAD!A14</f>
        <v>2023</v>
      </c>
      <c r="B37" s="65">
        <f>EDSA_TEST_ROAD!E14</f>
        <v>8727</v>
      </c>
      <c r="C37" s="65">
        <f>EDSA_TEST_ROAD!F14</f>
        <v>8009</v>
      </c>
      <c r="D37" s="66">
        <f>EDSA_TEST_ROAD!G14</f>
        <v>5578.370275536352</v>
      </c>
      <c r="E37" s="66">
        <f>EDSA_TEST_ROAD!K14</f>
        <v>8253.5626061454586</v>
      </c>
      <c r="F37" s="66">
        <f>EDSA_TEST_ROAD!O14</f>
        <v>5032.2809191266551</v>
      </c>
      <c r="G37" s="66">
        <f>EDSA_TEST_ROAD!S14</f>
        <v>3765.491428995841</v>
      </c>
      <c r="H37" s="66">
        <f>EDSA_TEST_ROAD!W14</f>
        <v>6854.5936507936512</v>
      </c>
      <c r="I37" s="9"/>
      <c r="J37" s="9"/>
    </row>
    <row r="38" spans="1:10" ht="17.399999999999999" customHeight="1" x14ac:dyDescent="0.3">
      <c r="A38" s="4">
        <f>EDSA_TEST_ROAD!A15</f>
        <v>2024</v>
      </c>
      <c r="B38" s="6">
        <f>EDSA_TEST_ROAD!E15</f>
        <v>8873</v>
      </c>
      <c r="C38" s="6">
        <f>EDSA_TEST_ROAD!F15</f>
        <v>8727</v>
      </c>
      <c r="D38" s="9">
        <f>EDSA_TEST_ROAD!G15</f>
        <v>5772.3125575185122</v>
      </c>
      <c r="E38" s="9">
        <f>EDSA_TEST_ROAD!K15</f>
        <v>8930.9204014164006</v>
      </c>
      <c r="F38" s="9">
        <f>EDSA_TEST_ROAD!O15</f>
        <v>5279.8949648683702</v>
      </c>
      <c r="G38" s="9">
        <f>EDSA_TEST_ROAD!S15</f>
        <v>3765.491428995841</v>
      </c>
      <c r="H38" s="9">
        <f>EDSA_TEST_ROAD!W15</f>
        <v>6854.5936507936512</v>
      </c>
      <c r="I38" s="9"/>
      <c r="J38" s="63"/>
    </row>
    <row r="39" spans="1:10" ht="37.799999999999997" customHeight="1" x14ac:dyDescent="0.3">
      <c r="A39" s="4"/>
      <c r="B39" s="6"/>
      <c r="C39" s="6"/>
      <c r="D39" s="9"/>
      <c r="E39" s="9"/>
      <c r="F39" s="9"/>
      <c r="G39" s="9"/>
      <c r="H39" s="9"/>
      <c r="I39" s="9"/>
      <c r="J39" s="63"/>
    </row>
    <row r="40" spans="1:10" ht="39.6" x14ac:dyDescent="0.3">
      <c r="A40" s="3" t="s">
        <v>490</v>
      </c>
      <c r="C40" s="3" t="s">
        <v>395</v>
      </c>
      <c r="D40" s="3" t="s">
        <v>396</v>
      </c>
      <c r="E40" s="3" t="s">
        <v>397</v>
      </c>
      <c r="F40" s="3" t="s">
        <v>398</v>
      </c>
      <c r="G40" s="3" t="s">
        <v>399</v>
      </c>
      <c r="H40" s="63"/>
      <c r="I40" s="61"/>
    </row>
    <row r="41" spans="1:10" x14ac:dyDescent="0.3">
      <c r="A41" s="4">
        <f>EDSA_TEST_ROAD!A7</f>
        <v>2016</v>
      </c>
      <c r="C41" s="61">
        <f>EDSA_TEST_ROAD!AA7</f>
        <v>0.3687120315082042</v>
      </c>
      <c r="D41" s="61">
        <f>EDSA_TEST_ROAD!AB7</f>
        <v>0.74530352801361399</v>
      </c>
      <c r="E41" s="61">
        <f>EDSA_TEST_ROAD!AC7</f>
        <v>0.42808124616762777</v>
      </c>
      <c r="F41" s="61">
        <f>EDSA_TEST_ROAD!AD7</f>
        <v>0.28197479624051536</v>
      </c>
      <c r="G41" s="61">
        <f>EDSA_TEST_ROAD!AE7</f>
        <v>0.52118044412113607</v>
      </c>
      <c r="H41" s="61"/>
      <c r="I41" s="61"/>
    </row>
    <row r="42" spans="1:10" x14ac:dyDescent="0.3">
      <c r="A42" s="4">
        <f>EDSA_TEST_ROAD!A8</f>
        <v>2017</v>
      </c>
      <c r="C42" s="61">
        <f>EDSA_TEST_ROAD!AA8</f>
        <v>0.39328100050664294</v>
      </c>
      <c r="D42" s="61">
        <f>EDSA_TEST_ROAD!AB8</f>
        <v>0.95348327193670623</v>
      </c>
      <c r="E42" s="61">
        <f>EDSA_TEST_ROAD!AC8</f>
        <v>0.53899443792106227</v>
      </c>
      <c r="F42" s="61">
        <f>EDSA_TEST_ROAD!AD8</f>
        <v>0.29802069085839666</v>
      </c>
      <c r="G42" s="61">
        <f>EDSA_TEST_ROAD!AE8</f>
        <v>0.55083843694449164</v>
      </c>
      <c r="H42" s="61"/>
      <c r="I42" s="61"/>
    </row>
    <row r="43" spans="1:10" x14ac:dyDescent="0.3">
      <c r="A43" s="4">
        <f>EDSA_TEST_ROAD!A9</f>
        <v>2018</v>
      </c>
      <c r="C43" s="61">
        <f>EDSA_TEST_ROAD!AA9</f>
        <v>0.30196365227941269</v>
      </c>
      <c r="D43" s="61">
        <f>EDSA_TEST_ROAD!AB9</f>
        <v>0.72827997267125977</v>
      </c>
      <c r="E43" s="61">
        <f>EDSA_TEST_ROAD!AC9</f>
        <v>0.38325858407936453</v>
      </c>
      <c r="F43" s="61">
        <f>EDSA_TEST_ROAD!AD9</f>
        <v>0.2179608375200186</v>
      </c>
      <c r="G43" s="61">
        <f>EDSA_TEST_ROAD!AE9</f>
        <v>0.40286198488039193</v>
      </c>
      <c r="H43" s="61"/>
      <c r="I43" s="61"/>
    </row>
    <row r="44" spans="1:10" x14ac:dyDescent="0.3">
      <c r="A44" s="4">
        <f>EDSA_TEST_ROAD!A10</f>
        <v>2019</v>
      </c>
      <c r="C44" s="61">
        <f>EDSA_TEST_ROAD!AA10</f>
        <v>0.31963614197053936</v>
      </c>
      <c r="D44" s="61">
        <f>EDSA_TEST_ROAD!AB10</f>
        <v>0.97311910613705932</v>
      </c>
      <c r="E44" s="61">
        <f>EDSA_TEST_ROAD!AC10</f>
        <v>0.46980799768574655</v>
      </c>
      <c r="F44" s="61">
        <f>EDSA_TEST_ROAD!AD10</f>
        <v>0.21663165510274085</v>
      </c>
      <c r="G44" s="61">
        <f>EDSA_TEST_ROAD!AE10</f>
        <v>0.40040522671692846</v>
      </c>
      <c r="H44" s="61"/>
      <c r="I44" s="61"/>
    </row>
    <row r="45" spans="1:10" x14ac:dyDescent="0.3">
      <c r="A45" s="4">
        <f>EDSA_TEST_ROAD!A11</f>
        <v>2020</v>
      </c>
      <c r="C45" s="61">
        <f>EDSA_TEST_ROAD!AA11</f>
        <v>0.59568801848155695</v>
      </c>
      <c r="D45" s="61">
        <f>EDSA_TEST_ROAD!AB11</f>
        <v>-0.28946585381364098</v>
      </c>
      <c r="E45" s="61">
        <f>EDSA_TEST_ROAD!AC11</f>
        <v>0.94555810397346507</v>
      </c>
      <c r="F45" s="61">
        <f>EDSA_TEST_ROAD!AD11</f>
        <v>0.51448168178656117</v>
      </c>
      <c r="G45" s="61">
        <f>EDSA_TEST_ROAD!AE11</f>
        <v>0.93654784134357849</v>
      </c>
      <c r="H45" s="61"/>
      <c r="I45" s="61"/>
    </row>
    <row r="46" spans="1:10" x14ac:dyDescent="0.3">
      <c r="A46" s="4">
        <f>EDSA_TEST_ROAD!A12</f>
        <v>2021</v>
      </c>
      <c r="C46" s="61">
        <f>EDSA_TEST_ROAD!AA12</f>
        <v>0.77249378430859517</v>
      </c>
      <c r="D46" s="61">
        <f>EDSA_TEST_ROAD!AB12</f>
        <v>0.84113764637585398</v>
      </c>
      <c r="E46" s="61">
        <f>EDSA_TEST_ROAD!AC12</f>
        <v>0.72344925163054341</v>
      </c>
      <c r="F46" s="61">
        <f>EDSA_TEST_ROAD!AD12</f>
        <v>0.57726374812139214</v>
      </c>
      <c r="G46" s="61">
        <f>EDSA_TEST_ROAD!AE12</f>
        <v>0.94916546822111736</v>
      </c>
      <c r="H46" s="61"/>
      <c r="I46" s="61"/>
    </row>
    <row r="47" spans="1:10" x14ac:dyDescent="0.3">
      <c r="A47" s="4">
        <f>EDSA_TEST_ROAD!A13</f>
        <v>2022</v>
      </c>
      <c r="C47" s="61">
        <f>EDSA_TEST_ROAD!AA13</f>
        <v>0.65379272633848218</v>
      </c>
      <c r="D47" s="61">
        <f>EDSA_TEST_ROAD!AB13</f>
        <v>0.85370405823848428</v>
      </c>
      <c r="E47" s="61">
        <f>EDSA_TEST_ROAD!AC13</f>
        <v>0.56029573839574776</v>
      </c>
      <c r="F47" s="61">
        <f>EDSA_TEST_ROAD!AD13</f>
        <v>0.47015750143536539</v>
      </c>
      <c r="G47" s="61">
        <f>EDSA_TEST_ROAD!AE13</f>
        <v>0.85586136231660026</v>
      </c>
      <c r="H47" s="61"/>
      <c r="I47" s="61"/>
    </row>
    <row r="48" spans="1:10" x14ac:dyDescent="0.3">
      <c r="A48" s="4">
        <f>EDSA_TEST_ROAD!A14</f>
        <v>2023</v>
      </c>
      <c r="C48" s="61">
        <f>EDSA_TEST_ROAD!AA14</f>
        <v>0.63920823599591525</v>
      </c>
      <c r="D48" s="61">
        <f>EDSA_TEST_ROAD!AB14</f>
        <v>0.94575026998343747</v>
      </c>
      <c r="E48" s="61">
        <f>EDSA_TEST_ROAD!AC14</f>
        <v>0.57663354178144322</v>
      </c>
      <c r="F48" s="61">
        <f>EDSA_TEST_ROAD!AD14</f>
        <v>0.43147604319879018</v>
      </c>
      <c r="G48" s="61">
        <f>EDSA_TEST_ROAD!AE14</f>
        <v>0.78544673436388801</v>
      </c>
      <c r="H48" s="61"/>
      <c r="I48" s="61"/>
    </row>
    <row r="49" spans="1:9" x14ac:dyDescent="0.3">
      <c r="A49" s="4">
        <f>EDSA_TEST_ROAD!A15</f>
        <v>2024</v>
      </c>
      <c r="C49" s="61">
        <f>EDSA_TEST_ROAD!AA15</f>
        <v>0.65054801730175948</v>
      </c>
      <c r="D49" s="61">
        <f>EDSA_TEST_ROAD!AB15</f>
        <v>0.99347228655286823</v>
      </c>
      <c r="E49" s="61">
        <f>EDSA_TEST_ROAD!AC15</f>
        <v>0.59505183870938461</v>
      </c>
      <c r="F49" s="61">
        <f>EDSA_TEST_ROAD!AD15</f>
        <v>0.42437635850285604</v>
      </c>
      <c r="G49" s="61">
        <f>EDSA_TEST_ROAD!AE15</f>
        <v>0.77252266998688734</v>
      </c>
      <c r="H49" s="61"/>
    </row>
    <row r="50" spans="1:9" x14ac:dyDescent="0.3">
      <c r="A50" s="4"/>
      <c r="C50" s="61">
        <v>0.59599999999999997</v>
      </c>
      <c r="D50" s="61">
        <v>0.85399999999999998</v>
      </c>
      <c r="E50" s="61">
        <v>0.56000000000000005</v>
      </c>
      <c r="F50" s="61">
        <v>0.42399999999999999</v>
      </c>
      <c r="G50" s="61">
        <v>0.77300000000000002</v>
      </c>
      <c r="H50" s="85" t="s">
        <v>552</v>
      </c>
    </row>
    <row r="51" spans="1:9" ht="31.8" customHeight="1" x14ac:dyDescent="0.3"/>
    <row r="52" spans="1:9" x14ac:dyDescent="0.3">
      <c r="A52" s="13" t="s">
        <v>491</v>
      </c>
      <c r="B52" s="23"/>
      <c r="C52" s="23"/>
      <c r="D52" s="23"/>
      <c r="E52" s="23"/>
      <c r="F52" s="23"/>
      <c r="G52" s="23"/>
      <c r="H52" s="23"/>
      <c r="I52" s="23"/>
    </row>
    <row r="53" spans="1:9" x14ac:dyDescent="0.3">
      <c r="A53" s="59" t="s">
        <v>553</v>
      </c>
    </row>
    <row r="54" spans="1:9" x14ac:dyDescent="0.3">
      <c r="A54" s="84" t="s">
        <v>548</v>
      </c>
    </row>
    <row r="55" spans="1:9" x14ac:dyDescent="0.3">
      <c r="A55" s="2" t="s">
        <v>492</v>
      </c>
    </row>
    <row r="56" spans="1:9" x14ac:dyDescent="0.3">
      <c r="A56" s="2" t="s">
        <v>549</v>
      </c>
    </row>
    <row r="57" spans="1:9" x14ac:dyDescent="0.3">
      <c r="A57" s="2"/>
    </row>
    <row r="58" spans="1:9" x14ac:dyDescent="0.3">
      <c r="A58" s="8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Y27"/>
  <sheetViews>
    <sheetView showGridLines="0" topLeftCell="K1" zoomScaleNormal="100" workbookViewId="0">
      <selection activeCell="U25" sqref="U25"/>
    </sheetView>
  </sheetViews>
  <sheetFormatPr defaultColWidth="8.6640625" defaultRowHeight="14.4" x14ac:dyDescent="0.3"/>
  <cols>
    <col min="1" max="1" width="44" customWidth="1"/>
    <col min="2" max="21" width="11" customWidth="1"/>
    <col min="22" max="22" width="34" customWidth="1"/>
    <col min="23" max="25" width="11" customWidth="1"/>
  </cols>
  <sheetData>
    <row r="1" spans="1:25" x14ac:dyDescent="0.3">
      <c r="A1" s="2" t="s">
        <v>493</v>
      </c>
    </row>
    <row r="2" spans="1:25" x14ac:dyDescent="0.3">
      <c r="A2" s="2" t="s">
        <v>494</v>
      </c>
    </row>
    <row r="4" spans="1:25" ht="42" customHeight="1" x14ac:dyDescent="0.3">
      <c r="A4" s="62" t="s">
        <v>2</v>
      </c>
      <c r="B4" s="62" t="s">
        <v>495</v>
      </c>
      <c r="C4" s="62" t="s">
        <v>496</v>
      </c>
      <c r="D4" s="62" t="s">
        <v>497</v>
      </c>
      <c r="E4" s="62" t="s">
        <v>498</v>
      </c>
      <c r="F4" s="62" t="s">
        <v>499</v>
      </c>
      <c r="G4" s="62" t="s">
        <v>500</v>
      </c>
      <c r="H4" s="62" t="s">
        <v>501</v>
      </c>
      <c r="I4" s="62" t="s">
        <v>502</v>
      </c>
      <c r="J4" s="62" t="s">
        <v>503</v>
      </c>
      <c r="K4" s="62" t="s">
        <v>504</v>
      </c>
      <c r="L4" s="62" t="s">
        <v>505</v>
      </c>
      <c r="M4" s="62" t="s">
        <v>506</v>
      </c>
      <c r="N4" s="62" t="s">
        <v>507</v>
      </c>
      <c r="O4" s="62" t="s">
        <v>508</v>
      </c>
      <c r="P4" s="62" t="s">
        <v>509</v>
      </c>
      <c r="Q4" s="62" t="s">
        <v>510</v>
      </c>
      <c r="R4" s="62" t="s">
        <v>511</v>
      </c>
      <c r="S4" s="62" t="s">
        <v>512</v>
      </c>
      <c r="T4" s="62" t="s">
        <v>513</v>
      </c>
      <c r="U4" s="62" t="s">
        <v>514</v>
      </c>
      <c r="V4" s="62" t="s">
        <v>515</v>
      </c>
      <c r="W4" s="62" t="s">
        <v>516</v>
      </c>
      <c r="X4" s="62" t="s">
        <v>517</v>
      </c>
      <c r="Y4" s="62" t="s">
        <v>518</v>
      </c>
    </row>
    <row r="5" spans="1:25" x14ac:dyDescent="0.3">
      <c r="A5" s="5" t="s">
        <v>519</v>
      </c>
      <c r="B5" s="5">
        <v>119824</v>
      </c>
      <c r="C5" s="5">
        <v>117482</v>
      </c>
      <c r="D5" s="5">
        <v>105118</v>
      </c>
      <c r="E5" s="5">
        <v>108592</v>
      </c>
      <c r="F5" s="5">
        <v>116767</v>
      </c>
      <c r="G5" s="5">
        <v>84967</v>
      </c>
      <c r="H5" s="5">
        <v>72582</v>
      </c>
      <c r="I5" s="5">
        <v>147617</v>
      </c>
      <c r="J5" s="5">
        <v>177881</v>
      </c>
      <c r="K5" s="5">
        <v>195138</v>
      </c>
      <c r="L5" s="5">
        <v>887</v>
      </c>
      <c r="M5" s="5">
        <v>1005</v>
      </c>
      <c r="N5" s="5">
        <v>868</v>
      </c>
      <c r="O5" s="5">
        <v>953</v>
      </c>
      <c r="P5" s="5">
        <v>1127</v>
      </c>
      <c r="Q5" s="5">
        <v>484</v>
      </c>
      <c r="R5" s="5">
        <v>350</v>
      </c>
      <c r="S5" s="5">
        <v>808</v>
      </c>
      <c r="T5" s="5">
        <v>951</v>
      </c>
      <c r="U5" s="5">
        <v>1041</v>
      </c>
      <c r="V5" s="89" t="s">
        <v>520</v>
      </c>
      <c r="W5" s="5">
        <v>3.6</v>
      </c>
      <c r="X5" s="5">
        <v>8</v>
      </c>
      <c r="Y5" s="11">
        <f t="shared" ref="Y5:Y19" si="0">W5*X5</f>
        <v>28.8</v>
      </c>
    </row>
    <row r="6" spans="1:25" x14ac:dyDescent="0.3">
      <c r="A6" s="5" t="s">
        <v>521</v>
      </c>
      <c r="B6" s="5">
        <v>367675</v>
      </c>
      <c r="C6" s="5">
        <v>364781</v>
      </c>
      <c r="D6" s="5">
        <v>367728</v>
      </c>
      <c r="E6" s="5">
        <v>383828</v>
      </c>
      <c r="F6" s="5">
        <v>405882</v>
      </c>
      <c r="G6" s="5">
        <v>328114</v>
      </c>
      <c r="H6" s="5">
        <v>372271</v>
      </c>
      <c r="I6" s="5">
        <v>385096</v>
      </c>
      <c r="J6" s="5">
        <v>407342</v>
      </c>
      <c r="K6" s="5">
        <v>419952</v>
      </c>
      <c r="L6" s="5">
        <v>9801</v>
      </c>
      <c r="M6" s="5">
        <v>13354</v>
      </c>
      <c r="N6" s="5">
        <v>12635</v>
      </c>
      <c r="O6" s="5">
        <v>17276</v>
      </c>
      <c r="P6" s="5">
        <v>17382</v>
      </c>
      <c r="Q6" s="5">
        <v>7319</v>
      </c>
      <c r="R6" s="5">
        <v>6523</v>
      </c>
      <c r="S6" s="5">
        <v>8009</v>
      </c>
      <c r="T6" s="5">
        <v>8727</v>
      </c>
      <c r="U6" s="5">
        <v>8873</v>
      </c>
      <c r="V6" s="89" t="s">
        <v>522</v>
      </c>
      <c r="W6" s="5">
        <v>23.8</v>
      </c>
      <c r="X6" s="5">
        <v>12</v>
      </c>
      <c r="Y6" s="11">
        <f t="shared" si="0"/>
        <v>285.60000000000002</v>
      </c>
    </row>
    <row r="7" spans="1:25" x14ac:dyDescent="0.3">
      <c r="A7" s="5" t="s">
        <v>523</v>
      </c>
      <c r="B7" s="5">
        <v>194119</v>
      </c>
      <c r="C7" s="5">
        <v>218155</v>
      </c>
      <c r="D7" s="5">
        <v>218751</v>
      </c>
      <c r="E7" s="5">
        <v>235744</v>
      </c>
      <c r="F7" s="5">
        <v>236060</v>
      </c>
      <c r="G7" s="5">
        <v>192418</v>
      </c>
      <c r="H7" s="5">
        <v>212285</v>
      </c>
      <c r="I7" s="5">
        <v>211819</v>
      </c>
      <c r="J7" s="5">
        <v>238695</v>
      </c>
      <c r="K7" s="5">
        <v>250762</v>
      </c>
      <c r="L7" s="5">
        <v>4598</v>
      </c>
      <c r="M7" s="5">
        <v>5911</v>
      </c>
      <c r="N7" s="5">
        <v>5794</v>
      </c>
      <c r="O7" s="5">
        <v>8252</v>
      </c>
      <c r="P7" s="5">
        <v>8735</v>
      </c>
      <c r="Q7" s="5">
        <v>5208</v>
      </c>
      <c r="R7" s="5">
        <v>5769</v>
      </c>
      <c r="S7" s="5">
        <v>7255</v>
      </c>
      <c r="T7" s="5">
        <v>8119</v>
      </c>
      <c r="U7" s="5">
        <v>8633</v>
      </c>
      <c r="V7" s="89" t="s">
        <v>520</v>
      </c>
      <c r="W7" s="5">
        <v>43.87</v>
      </c>
      <c r="X7" s="5">
        <v>10</v>
      </c>
      <c r="Y7" s="11">
        <f t="shared" si="0"/>
        <v>438.7</v>
      </c>
    </row>
    <row r="8" spans="1:25" x14ac:dyDescent="0.3">
      <c r="A8" s="5" t="s">
        <v>524</v>
      </c>
      <c r="B8" s="5">
        <v>173195</v>
      </c>
      <c r="C8" s="5">
        <v>175185</v>
      </c>
      <c r="D8" s="5">
        <v>191120</v>
      </c>
      <c r="E8" s="5">
        <v>203487</v>
      </c>
      <c r="F8" s="5">
        <v>203582</v>
      </c>
      <c r="G8" s="5">
        <v>190626</v>
      </c>
      <c r="H8" s="5">
        <v>209339</v>
      </c>
      <c r="I8" s="5">
        <v>186079</v>
      </c>
      <c r="J8" s="5">
        <v>190184</v>
      </c>
      <c r="K8" s="5">
        <v>202820</v>
      </c>
      <c r="L8" s="5">
        <v>1528</v>
      </c>
      <c r="M8" s="5">
        <v>1877</v>
      </c>
      <c r="N8" s="5">
        <v>2365</v>
      </c>
      <c r="O8" s="5">
        <v>2540</v>
      </c>
      <c r="P8" s="5">
        <v>2737</v>
      </c>
      <c r="Q8" s="5">
        <v>1401</v>
      </c>
      <c r="R8" s="5">
        <v>1283</v>
      </c>
      <c r="S8" s="5">
        <v>1786</v>
      </c>
      <c r="T8" s="5">
        <v>1817</v>
      </c>
      <c r="U8" s="5">
        <v>1659</v>
      </c>
      <c r="V8" s="89" t="s">
        <v>520</v>
      </c>
      <c r="W8" s="5">
        <v>7.6</v>
      </c>
      <c r="X8" s="5">
        <v>8</v>
      </c>
      <c r="Y8" s="11">
        <f t="shared" si="0"/>
        <v>60.8</v>
      </c>
    </row>
    <row r="9" spans="1:25" x14ac:dyDescent="0.3">
      <c r="A9" s="5" t="s">
        <v>525</v>
      </c>
      <c r="B9" s="5">
        <v>91185</v>
      </c>
      <c r="C9" s="5">
        <v>89848</v>
      </c>
      <c r="D9" s="5">
        <v>90586</v>
      </c>
      <c r="E9" s="5">
        <v>91766</v>
      </c>
      <c r="F9" s="5">
        <v>100065</v>
      </c>
      <c r="G9" s="5">
        <v>110916</v>
      </c>
      <c r="H9" s="5">
        <v>114715</v>
      </c>
      <c r="I9" s="5">
        <v>194464</v>
      </c>
      <c r="J9" s="5">
        <v>134321</v>
      </c>
      <c r="K9" s="5">
        <v>119119</v>
      </c>
      <c r="L9" s="5">
        <v>789</v>
      </c>
      <c r="M9" s="5">
        <v>979</v>
      </c>
      <c r="N9" s="5">
        <v>937</v>
      </c>
      <c r="O9" s="5">
        <v>930</v>
      </c>
      <c r="P9" s="5">
        <v>1101</v>
      </c>
      <c r="Q9" s="5">
        <v>502</v>
      </c>
      <c r="R9" s="5">
        <v>395</v>
      </c>
      <c r="S9" s="5">
        <v>538</v>
      </c>
      <c r="T9" s="5">
        <v>587</v>
      </c>
      <c r="U9" s="5">
        <v>481</v>
      </c>
      <c r="V9" s="89" t="s">
        <v>520</v>
      </c>
      <c r="W9" s="5">
        <v>7</v>
      </c>
      <c r="X9" s="5">
        <v>6</v>
      </c>
      <c r="Y9" s="11">
        <f t="shared" si="0"/>
        <v>42</v>
      </c>
    </row>
    <row r="10" spans="1:25" x14ac:dyDescent="0.3">
      <c r="A10" s="5" t="s">
        <v>526</v>
      </c>
      <c r="B10" s="5">
        <v>126567</v>
      </c>
      <c r="C10" s="5">
        <v>99923</v>
      </c>
      <c r="D10" s="5">
        <v>103377</v>
      </c>
      <c r="E10" s="5">
        <v>100909</v>
      </c>
      <c r="F10" s="5">
        <v>130434</v>
      </c>
      <c r="G10" s="5">
        <v>142755</v>
      </c>
      <c r="H10" s="5">
        <v>187189</v>
      </c>
      <c r="I10" s="5">
        <v>260549</v>
      </c>
      <c r="J10" s="5">
        <v>176904</v>
      </c>
      <c r="K10" s="5">
        <v>193641</v>
      </c>
      <c r="L10" s="5">
        <v>1481</v>
      </c>
      <c r="M10" s="5">
        <v>1075</v>
      </c>
      <c r="N10" s="5">
        <v>970</v>
      </c>
      <c r="O10" s="5">
        <v>1130</v>
      </c>
      <c r="P10" s="5">
        <v>1293</v>
      </c>
      <c r="Q10" s="5">
        <v>639</v>
      </c>
      <c r="R10" s="5">
        <v>223</v>
      </c>
      <c r="S10" s="5">
        <v>909</v>
      </c>
      <c r="T10" s="5">
        <v>947</v>
      </c>
      <c r="U10" s="5">
        <v>1040</v>
      </c>
      <c r="V10" s="89" t="s">
        <v>520</v>
      </c>
      <c r="W10" s="5">
        <v>49.56</v>
      </c>
      <c r="X10" s="5">
        <v>8</v>
      </c>
      <c r="Y10" s="11">
        <f t="shared" si="0"/>
        <v>396.48</v>
      </c>
    </row>
    <row r="11" spans="1:25" x14ac:dyDescent="0.3">
      <c r="A11" s="5" t="s">
        <v>527</v>
      </c>
      <c r="B11" s="5">
        <v>121433</v>
      </c>
      <c r="C11" s="5">
        <v>153425</v>
      </c>
      <c r="D11" s="5">
        <v>153955</v>
      </c>
      <c r="E11" s="5">
        <v>174480</v>
      </c>
      <c r="F11" s="5">
        <v>180737</v>
      </c>
      <c r="G11" s="5">
        <v>172490</v>
      </c>
      <c r="H11" s="5">
        <v>185699</v>
      </c>
      <c r="I11" s="5">
        <v>179661</v>
      </c>
      <c r="J11" s="5">
        <v>146597</v>
      </c>
      <c r="K11" s="5">
        <v>188765</v>
      </c>
      <c r="L11" s="5">
        <v>1973</v>
      </c>
      <c r="M11" s="5">
        <v>2289</v>
      </c>
      <c r="N11" s="5">
        <v>2006</v>
      </c>
      <c r="O11" s="5">
        <v>2683</v>
      </c>
      <c r="P11" s="5">
        <v>2922</v>
      </c>
      <c r="Q11" s="5">
        <v>1266</v>
      </c>
      <c r="R11" s="5">
        <v>1080</v>
      </c>
      <c r="S11" s="5">
        <v>1349</v>
      </c>
      <c r="T11" s="5">
        <v>2167</v>
      </c>
      <c r="U11" s="5">
        <v>1930</v>
      </c>
      <c r="V11" s="89" t="s">
        <v>520</v>
      </c>
      <c r="W11" s="5">
        <v>12.1</v>
      </c>
      <c r="X11" s="5">
        <v>6</v>
      </c>
      <c r="Y11" s="11">
        <f t="shared" si="0"/>
        <v>72.599999999999994</v>
      </c>
    </row>
    <row r="12" spans="1:25" x14ac:dyDescent="0.3">
      <c r="A12" s="5" t="s">
        <v>528</v>
      </c>
      <c r="B12" s="5">
        <v>99813</v>
      </c>
      <c r="C12" s="5">
        <v>94779</v>
      </c>
      <c r="D12" s="5">
        <v>102573</v>
      </c>
      <c r="E12" s="5">
        <v>113727</v>
      </c>
      <c r="F12" s="5">
        <v>119820</v>
      </c>
      <c r="G12" s="5">
        <v>111540</v>
      </c>
      <c r="H12" s="5">
        <v>139933</v>
      </c>
      <c r="I12" s="5">
        <v>128504</v>
      </c>
      <c r="J12" s="5">
        <v>137916</v>
      </c>
      <c r="K12" s="5">
        <v>159962</v>
      </c>
      <c r="L12" s="5">
        <v>1505</v>
      </c>
      <c r="M12" s="5">
        <v>1707</v>
      </c>
      <c r="N12" s="5">
        <v>1769</v>
      </c>
      <c r="O12" s="5">
        <v>2068</v>
      </c>
      <c r="P12" s="5">
        <v>2404</v>
      </c>
      <c r="Q12" s="5">
        <v>154</v>
      </c>
      <c r="R12" s="5">
        <v>1362</v>
      </c>
      <c r="S12" s="5">
        <v>1070</v>
      </c>
      <c r="T12" s="5">
        <v>2245</v>
      </c>
      <c r="U12" s="5">
        <v>2505</v>
      </c>
      <c r="V12" s="89" t="s">
        <v>529</v>
      </c>
      <c r="W12" s="5">
        <v>2.2000000000000002</v>
      </c>
      <c r="X12" s="5">
        <v>10</v>
      </c>
      <c r="Y12" s="11">
        <f t="shared" si="0"/>
        <v>22</v>
      </c>
    </row>
    <row r="13" spans="1:25" x14ac:dyDescent="0.3">
      <c r="A13" s="5" t="s">
        <v>530</v>
      </c>
      <c r="B13" s="5">
        <v>93706</v>
      </c>
      <c r="C13" s="5">
        <v>95595</v>
      </c>
      <c r="D13" s="5">
        <v>98644</v>
      </c>
      <c r="E13" s="5">
        <v>103463</v>
      </c>
      <c r="F13" s="5">
        <v>120385</v>
      </c>
      <c r="G13" s="5">
        <v>113196</v>
      </c>
      <c r="H13" s="5">
        <v>100812</v>
      </c>
      <c r="I13" s="5">
        <v>119625</v>
      </c>
      <c r="J13" s="5">
        <v>121928</v>
      </c>
      <c r="K13" s="5">
        <v>131163</v>
      </c>
      <c r="V13" s="89" t="s">
        <v>529</v>
      </c>
      <c r="W13" s="5">
        <v>9</v>
      </c>
      <c r="X13" s="5">
        <v>7</v>
      </c>
      <c r="Y13" s="11">
        <f t="shared" si="0"/>
        <v>63</v>
      </c>
    </row>
    <row r="14" spans="1:25" x14ac:dyDescent="0.3">
      <c r="A14" s="5" t="s">
        <v>531</v>
      </c>
      <c r="B14" s="5">
        <v>186321</v>
      </c>
      <c r="C14" s="5">
        <v>187111</v>
      </c>
      <c r="D14" s="5">
        <v>195335</v>
      </c>
      <c r="E14" s="5">
        <v>204604</v>
      </c>
      <c r="F14" s="5">
        <v>230099</v>
      </c>
      <c r="G14" s="5">
        <v>237759</v>
      </c>
      <c r="H14" s="5">
        <v>262128</v>
      </c>
      <c r="I14" s="5">
        <v>280606</v>
      </c>
      <c r="J14" s="5">
        <v>312486</v>
      </c>
      <c r="K14" s="5">
        <v>298680</v>
      </c>
      <c r="L14" s="5">
        <v>1498</v>
      </c>
      <c r="M14" s="5">
        <v>1996</v>
      </c>
      <c r="N14" s="5">
        <v>2029</v>
      </c>
      <c r="O14" s="5">
        <v>2378</v>
      </c>
      <c r="P14" s="5">
        <v>2635</v>
      </c>
      <c r="Q14" s="5">
        <v>1178</v>
      </c>
      <c r="R14" s="5">
        <v>1753</v>
      </c>
      <c r="S14" s="5">
        <v>1955</v>
      </c>
      <c r="T14" s="5">
        <v>2529</v>
      </c>
      <c r="U14" s="5">
        <v>2883</v>
      </c>
      <c r="V14" s="89" t="s">
        <v>520</v>
      </c>
      <c r="W14" s="5">
        <v>6.1</v>
      </c>
      <c r="X14" s="5">
        <v>10</v>
      </c>
      <c r="Y14" s="11">
        <f t="shared" si="0"/>
        <v>61</v>
      </c>
    </row>
    <row r="15" spans="1:25" x14ac:dyDescent="0.3">
      <c r="A15" s="5" t="s">
        <v>532</v>
      </c>
      <c r="B15" s="5">
        <v>259195</v>
      </c>
      <c r="C15" s="5">
        <v>272255</v>
      </c>
      <c r="D15" s="5">
        <v>272720</v>
      </c>
      <c r="E15" s="5">
        <v>244916</v>
      </c>
      <c r="F15" s="5">
        <v>317471</v>
      </c>
      <c r="G15" s="5">
        <v>282137</v>
      </c>
      <c r="H15" s="5">
        <v>302316</v>
      </c>
      <c r="I15" s="5">
        <v>346184</v>
      </c>
      <c r="J15" s="5">
        <v>407988</v>
      </c>
      <c r="K15" s="5">
        <v>413345</v>
      </c>
      <c r="L15" s="5">
        <v>3158</v>
      </c>
      <c r="M15" s="5">
        <v>4032</v>
      </c>
      <c r="N15" s="5">
        <v>4649</v>
      </c>
      <c r="O15" s="5">
        <v>5148</v>
      </c>
      <c r="P15" s="5">
        <v>4998</v>
      </c>
      <c r="Q15" s="5">
        <v>3262</v>
      </c>
      <c r="R15" s="5">
        <v>3057</v>
      </c>
      <c r="S15" s="5">
        <v>3846</v>
      </c>
      <c r="T15" s="5">
        <v>4874</v>
      </c>
      <c r="U15" s="5">
        <v>5091</v>
      </c>
      <c r="V15" s="89" t="s">
        <v>520</v>
      </c>
      <c r="W15" s="5">
        <v>12.4</v>
      </c>
      <c r="X15" s="5">
        <v>18</v>
      </c>
      <c r="Y15" s="11">
        <f t="shared" si="0"/>
        <v>223.20000000000002</v>
      </c>
    </row>
    <row r="16" spans="1:25" x14ac:dyDescent="0.3">
      <c r="A16" s="5" t="s">
        <v>533</v>
      </c>
      <c r="B16" s="5">
        <v>70395</v>
      </c>
      <c r="C16" s="5">
        <v>76295</v>
      </c>
      <c r="D16" s="5">
        <v>81740</v>
      </c>
      <c r="E16" s="5">
        <v>89473</v>
      </c>
      <c r="F16" s="5">
        <v>95041</v>
      </c>
      <c r="G16" s="5">
        <v>87544</v>
      </c>
      <c r="H16" s="5">
        <v>106906</v>
      </c>
      <c r="I16" s="5">
        <v>99108</v>
      </c>
      <c r="J16" s="5">
        <v>114674</v>
      </c>
      <c r="K16" s="5">
        <v>88475</v>
      </c>
      <c r="L16" s="5">
        <v>426</v>
      </c>
      <c r="M16" s="5">
        <v>309</v>
      </c>
      <c r="N16" s="5">
        <v>323</v>
      </c>
      <c r="O16" s="5">
        <v>480</v>
      </c>
      <c r="P16" s="5">
        <v>527</v>
      </c>
      <c r="Q16" s="5">
        <v>306</v>
      </c>
      <c r="R16" s="5">
        <v>248</v>
      </c>
      <c r="S16" s="5">
        <v>357</v>
      </c>
      <c r="T16" s="5">
        <v>427</v>
      </c>
      <c r="U16" s="5">
        <v>389</v>
      </c>
      <c r="V16" s="89" t="s">
        <v>520</v>
      </c>
      <c r="W16" s="5">
        <v>6.5730000000000004</v>
      </c>
      <c r="X16" s="5">
        <v>5</v>
      </c>
      <c r="Y16" s="11">
        <f t="shared" si="0"/>
        <v>32.865000000000002</v>
      </c>
    </row>
    <row r="17" spans="1:25" x14ac:dyDescent="0.3">
      <c r="A17" s="5" t="s">
        <v>534</v>
      </c>
      <c r="B17" s="5">
        <v>69687</v>
      </c>
      <c r="C17" s="5">
        <v>70012</v>
      </c>
      <c r="D17" s="5">
        <v>80285</v>
      </c>
      <c r="E17" s="5">
        <v>82257</v>
      </c>
      <c r="F17" s="5">
        <v>84279</v>
      </c>
      <c r="G17" s="5">
        <v>107595</v>
      </c>
      <c r="H17" s="5">
        <v>102816</v>
      </c>
      <c r="I17" s="5">
        <v>98102</v>
      </c>
      <c r="J17" s="5">
        <v>104615</v>
      </c>
      <c r="K17" s="5">
        <v>116325</v>
      </c>
      <c r="L17" s="5">
        <v>1065</v>
      </c>
      <c r="M17" s="5">
        <v>1066</v>
      </c>
      <c r="N17" s="5">
        <v>924</v>
      </c>
      <c r="O17" s="5">
        <v>1094</v>
      </c>
      <c r="P17" s="5">
        <v>1389</v>
      </c>
      <c r="Q17" s="5">
        <v>839</v>
      </c>
      <c r="R17" s="5">
        <v>580</v>
      </c>
      <c r="S17" s="5">
        <v>699</v>
      </c>
      <c r="T17" s="5">
        <v>634</v>
      </c>
      <c r="U17" s="5">
        <v>660</v>
      </c>
      <c r="V17" s="89" t="s">
        <v>520</v>
      </c>
      <c r="W17" s="5">
        <v>9.6999999999999993</v>
      </c>
      <c r="X17" s="5">
        <v>10</v>
      </c>
      <c r="Y17" s="11">
        <f t="shared" si="0"/>
        <v>97</v>
      </c>
    </row>
    <row r="18" spans="1:25" x14ac:dyDescent="0.3">
      <c r="A18" s="5" t="s">
        <v>535</v>
      </c>
      <c r="B18" s="5">
        <v>173015</v>
      </c>
      <c r="C18" s="5">
        <v>153626</v>
      </c>
      <c r="D18" s="5">
        <v>162662</v>
      </c>
      <c r="E18" s="5">
        <v>178214</v>
      </c>
      <c r="F18" s="5">
        <v>221360</v>
      </c>
      <c r="G18" s="5">
        <v>223133</v>
      </c>
      <c r="H18" s="5">
        <v>233466</v>
      </c>
      <c r="I18" s="5">
        <v>228470</v>
      </c>
      <c r="J18" s="5">
        <v>243636</v>
      </c>
      <c r="K18" s="5">
        <v>266610</v>
      </c>
      <c r="L18" s="5">
        <v>837</v>
      </c>
      <c r="M18" s="5">
        <v>1320</v>
      </c>
      <c r="N18" s="5">
        <v>688</v>
      </c>
      <c r="O18" s="5">
        <v>1332</v>
      </c>
      <c r="P18" s="5">
        <v>1321</v>
      </c>
      <c r="Q18" s="5">
        <v>514</v>
      </c>
      <c r="R18" s="5">
        <v>533</v>
      </c>
      <c r="S18" s="5">
        <v>752</v>
      </c>
      <c r="T18" s="5">
        <v>1136</v>
      </c>
      <c r="U18" s="5">
        <v>1358</v>
      </c>
      <c r="V18" s="89" t="s">
        <v>520</v>
      </c>
      <c r="W18" s="5">
        <v>117.5</v>
      </c>
      <c r="X18" s="5">
        <v>6</v>
      </c>
      <c r="Y18" s="11">
        <f t="shared" si="0"/>
        <v>705</v>
      </c>
    </row>
    <row r="19" spans="1:25" x14ac:dyDescent="0.3">
      <c r="A19" s="5" t="s">
        <v>536</v>
      </c>
      <c r="B19" s="5">
        <v>82170</v>
      </c>
      <c r="C19" s="5">
        <v>80079</v>
      </c>
      <c r="D19" s="5">
        <v>82957</v>
      </c>
      <c r="E19" s="5">
        <v>92165</v>
      </c>
      <c r="F19" s="5">
        <v>97927</v>
      </c>
      <c r="G19" s="5">
        <v>111070</v>
      </c>
      <c r="H19" s="5">
        <v>123390</v>
      </c>
      <c r="I19" s="5">
        <v>100556</v>
      </c>
      <c r="J19" s="5">
        <v>121189</v>
      </c>
      <c r="K19" s="5">
        <v>126009</v>
      </c>
      <c r="L19" s="5">
        <v>279</v>
      </c>
      <c r="M19" s="5">
        <v>126</v>
      </c>
      <c r="N19" s="5">
        <v>891</v>
      </c>
      <c r="O19" s="5">
        <v>812</v>
      </c>
      <c r="P19" s="5">
        <v>882</v>
      </c>
      <c r="Q19" s="5">
        <v>721</v>
      </c>
      <c r="R19" s="5">
        <v>463</v>
      </c>
      <c r="S19" s="5">
        <v>334</v>
      </c>
      <c r="T19" s="5">
        <v>426</v>
      </c>
      <c r="U19" s="5">
        <v>473</v>
      </c>
      <c r="V19" s="89" t="s">
        <v>520</v>
      </c>
      <c r="W19" s="5">
        <v>684.85500000000002</v>
      </c>
      <c r="X19" s="5">
        <v>6</v>
      </c>
      <c r="Y19" s="11">
        <f t="shared" si="0"/>
        <v>4109.13</v>
      </c>
    </row>
    <row r="20" spans="1:25" x14ac:dyDescent="0.3">
      <c r="A20" s="5" t="s">
        <v>537</v>
      </c>
      <c r="V20" s="89" t="s">
        <v>538</v>
      </c>
    </row>
    <row r="21" spans="1:25" x14ac:dyDescent="0.3">
      <c r="A21" s="5" t="s">
        <v>539</v>
      </c>
      <c r="V21" s="89" t="s">
        <v>538</v>
      </c>
    </row>
    <row r="22" spans="1:25" x14ac:dyDescent="0.3">
      <c r="A22" s="5" t="s">
        <v>540</v>
      </c>
      <c r="V22" s="89" t="s">
        <v>538</v>
      </c>
    </row>
    <row r="23" spans="1:25" x14ac:dyDescent="0.3">
      <c r="A23" s="5" t="s">
        <v>541</v>
      </c>
      <c r="V23" s="89" t="s">
        <v>538</v>
      </c>
    </row>
    <row r="24" spans="1:25" x14ac:dyDescent="0.3">
      <c r="A24" s="5" t="s">
        <v>542</v>
      </c>
      <c r="V24" s="89" t="s">
        <v>538</v>
      </c>
    </row>
    <row r="25" spans="1:25" x14ac:dyDescent="0.3">
      <c r="V25" s="89" t="s">
        <v>538</v>
      </c>
    </row>
    <row r="27" spans="1:25" x14ac:dyDescent="0.3">
      <c r="A27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DATASETS</vt:lpstr>
      <vt:lpstr>LR_CAL</vt:lpstr>
      <vt:lpstr>RF_CAL</vt:lpstr>
      <vt:lpstr>MLR_CALC</vt:lpstr>
      <vt:lpstr>EDSA_TEST_ROAD</vt:lpstr>
      <vt:lpstr>MODEL_COMPARISON</vt:lpstr>
      <vt:lpstr>SOURCE_DATA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chester lauzon</cp:lastModifiedBy>
  <cp:revision>0</cp:revision>
  <cp:lastPrinted>2026-10-11T01:35:14Z</cp:lastPrinted>
  <dcterms:created xsi:type="dcterms:W3CDTF">2026-10-11T01:08:28Z</dcterms:created>
  <dcterms:modified xsi:type="dcterms:W3CDTF">2026-10-11T06:51:29Z</dcterms:modified>
  <dc:language>en-US</dc:language>
</cp:coreProperties>
</file>